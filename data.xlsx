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drawings/drawing2.xml" ContentType="application/vnd.openxmlformats-officedocument.drawing+xml"/>
  <Override PartName="/xl/comments49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drawings/drawing3.xml" ContentType="application/vnd.openxmlformats-officedocument.drawing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8.xml" ContentType="application/vnd.ms-excel.person+xml"/>
  <Override PartName="/xl/persons/person18.xml" ContentType="application/vnd.ms-excel.person+xml"/>
  <Override PartName="/xl/persons/person.xml" ContentType="application/vnd.ms-excel.person+xml"/>
  <Override PartName="/xl/persons/person5.xml" ContentType="application/vnd.ms-excel.person+xml"/>
  <Override PartName="/xl/persons/person4.xml" ContentType="application/vnd.ms-excel.person+xml"/>
  <Override PartName="/xl/persons/person21.xml" ContentType="application/vnd.ms-excel.person+xml"/>
  <Override PartName="/xl/persons/person25.xml" ContentType="application/vnd.ms-excel.person+xml"/>
  <Override PartName="/xl/persons/person16.xml" ContentType="application/vnd.ms-excel.person+xml"/>
  <Override PartName="/xl/persons/person0.xml" ContentType="application/vnd.ms-excel.person+xml"/>
  <Override PartName="/xl/persons/person13.xml" ContentType="application/vnd.ms-excel.person+xml"/>
  <Override PartName="/xl/persons/person6.xml" ContentType="application/vnd.ms-excel.person+xml"/>
  <Override PartName="/xl/persons/person31.xml" ContentType="application/vnd.ms-excel.person+xml"/>
  <Override PartName="/xl/persons/person30.xml" ContentType="application/vnd.ms-excel.person+xml"/>
  <Override PartName="/xl/persons/person24.xml" ContentType="application/vnd.ms-excel.person+xml"/>
  <Override PartName="/xl/persons/person11.xml" ContentType="application/vnd.ms-excel.person+xml"/>
  <Override PartName="/xl/persons/person12.xml" ContentType="application/vnd.ms-excel.person+xml"/>
  <Override PartName="/xl/persons/person17.xml" ContentType="application/vnd.ms-excel.person+xml"/>
  <Override PartName="/xl/persons/person2.xml" ContentType="application/vnd.ms-excel.person+xml"/>
  <Override PartName="/xl/persons/person14.xml" ContentType="application/vnd.ms-excel.person+xml"/>
  <Override PartName="/xl/persons/person34.xml" ContentType="application/vnd.ms-excel.person+xml"/>
  <Override PartName="/xl/persons/person29.xml" ContentType="application/vnd.ms-excel.person+xml"/>
  <Override PartName="/xl/persons/person23.xml" ContentType="application/vnd.ms-excel.person+xml"/>
  <Override PartName="/xl/persons/person10.xml" ContentType="application/vnd.ms-excel.person+xml"/>
  <Override PartName="/xl/persons/person35.xml" ContentType="application/vnd.ms-excel.person+xml"/>
  <Override PartName="/xl/persons/person20.xml" ContentType="application/vnd.ms-excel.person+xml"/>
  <Override PartName="/xl/persons/person33.xml" ContentType="application/vnd.ms-excel.person+xml"/>
  <Override PartName="/xl/persons/person28.xml" ContentType="application/vnd.ms-excel.person+xml"/>
  <Override PartName="/xl/persons/person15.xml" ContentType="application/vnd.ms-excel.person+xml"/>
  <Override PartName="/xl/persons/person3.xml" ContentType="application/vnd.ms-excel.person+xml"/>
  <Override PartName="/xl/persons/person22.xml" ContentType="application/vnd.ms-excel.person+xml"/>
  <Override PartName="/xl/persons/person9.xml" ContentType="application/vnd.ms-excel.person+xml"/>
  <Override PartName="/xl/persons/person7.xml" ContentType="application/vnd.ms-excel.person+xml"/>
  <Override PartName="/xl/persons/person19.xml" ContentType="application/vnd.ms-excel.person+xml"/>
  <Override PartName="/xl/persons/person32.xml" ContentType="application/vnd.ms-excel.person+xml"/>
  <Override PartName="/xl/persons/person26.xml" ContentType="application/vnd.ms-excel.person+xml"/>
  <Override PartName="/xl/persons/person1.xml" ContentType="application/vnd.ms-excel.person+xml"/>
  <Override PartName="/xl/persons/person27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URFACE\Desktop\Com.Luxemburgo\"/>
    </mc:Choice>
  </mc:AlternateContent>
  <xr:revisionPtr revIDLastSave="0" documentId="13_ncr:1_{4A0ECAF7-1494-499C-900E-81CA4D69BAE4}" xr6:coauthVersionLast="47" xr6:coauthVersionMax="47" xr10:uidLastSave="{00000000-0000-0000-0000-000000000000}"/>
  <bookViews>
    <workbookView xWindow="-110" yWindow="-110" windowWidth="21820" windowHeight="14020" firstSheet="58" activeTab="64" xr2:uid="{7DA2A2DF-D00F-49D4-843B-887E0A2F7E8A}"/>
  </bookViews>
  <sheets>
    <sheet name="OCT-19" sheetId="1" r:id="rId1"/>
    <sheet name="NOV-19" sheetId="2" r:id="rId2"/>
    <sheet name="DIC-19" sheetId="3" r:id="rId3"/>
    <sheet name="ENE-20" sheetId="5" r:id="rId4"/>
    <sheet name="FEB-20" sheetId="9" r:id="rId5"/>
    <sheet name="MAR-20" sheetId="12" r:id="rId6"/>
    <sheet name="ABR-20" sheetId="14" r:id="rId7"/>
    <sheet name="MAY-20" sheetId="18" r:id="rId8"/>
    <sheet name="JUN-20" sheetId="19" r:id="rId9"/>
    <sheet name="JUL-20" sheetId="20" r:id="rId10"/>
    <sheet name="AGO-20" sheetId="21" r:id="rId11"/>
    <sheet name="SEPT-20" sheetId="22" r:id="rId12"/>
    <sheet name="OCT-20" sheetId="23" r:id="rId13"/>
    <sheet name="NOV-20" sheetId="24" r:id="rId14"/>
    <sheet name="DIC-20" sheetId="25" r:id="rId15"/>
    <sheet name="ENE-21" sheetId="27" r:id="rId16"/>
    <sheet name="FEB-21" sheetId="28" r:id="rId17"/>
    <sheet name="MAR-21" sheetId="29" r:id="rId18"/>
    <sheet name="ABR-21" sheetId="30" r:id="rId19"/>
    <sheet name="MAY-21" sheetId="31" r:id="rId20"/>
    <sheet name="JUN-21" sheetId="32" r:id="rId21"/>
    <sheet name="JUL-21" sheetId="34" r:id="rId22"/>
    <sheet name="AGO-21" sheetId="35" r:id="rId23"/>
    <sheet name="SEP-21" sheetId="36" r:id="rId24"/>
    <sheet name="OCT-21" sheetId="37" r:id="rId25"/>
    <sheet name="NOV-21" sheetId="38" r:id="rId26"/>
    <sheet name="DIC-21" sheetId="39" r:id="rId27"/>
    <sheet name="ENE-22" sheetId="40" r:id="rId28"/>
    <sheet name="FEB-22" sheetId="41" r:id="rId29"/>
    <sheet name="MAR-22" sheetId="42" r:id="rId30"/>
    <sheet name="ABR-22" sheetId="43" r:id="rId31"/>
    <sheet name="May-22" sheetId="44" r:id="rId32"/>
    <sheet name="Jun-22" sheetId="45" r:id="rId33"/>
    <sheet name="Jul-22" sheetId="46" r:id="rId34"/>
    <sheet name="Ago-22" sheetId="47" r:id="rId35"/>
    <sheet name="Sep-22" sheetId="48" r:id="rId36"/>
    <sheet name="Oct-22" sheetId="50" r:id="rId37"/>
    <sheet name="Nov-22" sheetId="51" r:id="rId38"/>
    <sheet name="Dic-22" sheetId="52" r:id="rId39"/>
    <sheet name="Ene-23" sheetId="53" r:id="rId40"/>
    <sheet name="Feb-23" sheetId="54" r:id="rId41"/>
    <sheet name="Mar-23" sheetId="55" r:id="rId42"/>
    <sheet name="Abr-23" sheetId="56" r:id="rId43"/>
    <sheet name="May-23" sheetId="57" r:id="rId44"/>
    <sheet name="Jun-23" sheetId="58" r:id="rId45"/>
    <sheet name="Jul-23" sheetId="59" r:id="rId46"/>
    <sheet name="Ago-23" sheetId="60" r:id="rId47"/>
    <sheet name="Sep-23" sheetId="61" r:id="rId48"/>
    <sheet name="Oct-23" sheetId="62" r:id="rId49"/>
    <sheet name="Nov-23" sheetId="63" r:id="rId50"/>
    <sheet name="Dic-23" sheetId="64" r:id="rId51"/>
    <sheet name="Ene-24" sheetId="65" r:id="rId52"/>
    <sheet name="Feb-24" sheetId="66" r:id="rId53"/>
    <sheet name="Mar-24" sheetId="67" r:id="rId54"/>
    <sheet name="Abr-24" sheetId="68" r:id="rId55"/>
    <sheet name="May-24" sheetId="69" r:id="rId56"/>
    <sheet name="Jun-24" sheetId="70" r:id="rId57"/>
    <sheet name="Jul-24" sheetId="71" r:id="rId58"/>
    <sheet name="Ago-24" sheetId="72" r:id="rId59"/>
    <sheet name="Sep-24" sheetId="73" r:id="rId60"/>
    <sheet name="Oct-24" sheetId="74" r:id="rId61"/>
    <sheet name="Nov-24" sheetId="75" r:id="rId62"/>
    <sheet name="Dic-24" sheetId="76" r:id="rId63"/>
    <sheet name="Ene-25" sheetId="77" r:id="rId64"/>
    <sheet name="Feb-25" sheetId="78" r:id="rId65"/>
    <sheet name="ES-Ventas" sheetId="33" r:id="rId66"/>
    <sheet name="Valor Equipos" sheetId="8" r:id="rId67"/>
    <sheet name="Inventarios" sheetId="26" r:id="rId68"/>
    <sheet name="Aportes- Estado Situacion " sheetId="16" r:id="rId69"/>
    <sheet name="EERR contable y Resumen Flujo" sheetId="7" r:id="rId70"/>
    <sheet name="EERR 31DIC19" sheetId="10" r:id="rId71"/>
    <sheet name="EERR 20ENE20" sheetId="11" r:id="rId72"/>
    <sheet name="EERR 19FEB20+AF Mar20 a Sep21" sheetId="13" r:id="rId73"/>
    <sheet name="OC SIDTECH" sheetId="6" r:id="rId74"/>
    <sheet name="Plan vs Real" sheetId="17" r:id="rId75"/>
    <sheet name="datos" sheetId="4" r:id="rId76"/>
    <sheet name="Informe de compatibilidad" sheetId="49" r:id="rId77"/>
  </sheets>
  <externalReferences>
    <externalReference r:id="rId78"/>
    <externalReference r:id="rId79"/>
    <externalReference r:id="rId80"/>
  </externalReferences>
  <definedNames>
    <definedName name="_xlnm._FilterDatabase" localSheetId="72" hidden="1">'EERR 19FEB20+AF Mar20 a Sep21'!$A$62:$E$92</definedName>
    <definedName name="_xlnm.Print_Area" localSheetId="68">'Aportes- Estado Situacion '!$K$11:$P$37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0" i="77" l="1"/>
  <c r="AK54" i="77"/>
  <c r="AK32" i="78"/>
  <c r="AK33" i="78"/>
  <c r="AK34" i="78"/>
  <c r="AK35" i="78"/>
  <c r="AK40" i="78"/>
  <c r="AK18" i="78"/>
  <c r="G59" i="78"/>
  <c r="H59" i="78" s="1"/>
  <c r="I59" i="78" s="1"/>
  <c r="I61" i="78" s="1"/>
  <c r="M54" i="78"/>
  <c r="B50" i="78"/>
  <c r="C50" i="78" s="1"/>
  <c r="AQ48" i="78"/>
  <c r="AP47" i="78"/>
  <c r="AJ46" i="78"/>
  <c r="AI46" i="78"/>
  <c r="AH46" i="78"/>
  <c r="AG46" i="78"/>
  <c r="AF46" i="78"/>
  <c r="AE46" i="78"/>
  <c r="AD46" i="78"/>
  <c r="AC46" i="78"/>
  <c r="AB46" i="78"/>
  <c r="AA46" i="78"/>
  <c r="Z46" i="78"/>
  <c r="Y46" i="78"/>
  <c r="X46" i="78"/>
  <c r="W46" i="78"/>
  <c r="V46" i="78"/>
  <c r="U46" i="78"/>
  <c r="T46" i="78"/>
  <c r="S46" i="78"/>
  <c r="R46" i="78"/>
  <c r="Q46" i="78"/>
  <c r="P46" i="78"/>
  <c r="O46" i="78"/>
  <c r="N46" i="78"/>
  <c r="M46" i="78"/>
  <c r="K46" i="78"/>
  <c r="J46" i="78"/>
  <c r="I46" i="78"/>
  <c r="H46" i="78"/>
  <c r="G46" i="78"/>
  <c r="F46" i="78"/>
  <c r="AP45" i="78"/>
  <c r="AQ45" i="78" s="1"/>
  <c r="AP42" i="78"/>
  <c r="AP43" i="78" s="1"/>
  <c r="AK41" i="78"/>
  <c r="AK31" i="78"/>
  <c r="AK30" i="78"/>
  <c r="AK29" i="78"/>
  <c r="AK28" i="78"/>
  <c r="AK27" i="78"/>
  <c r="D23" i="78"/>
  <c r="AJ22" i="78"/>
  <c r="AI22" i="78"/>
  <c r="AH22" i="78"/>
  <c r="AG22" i="78"/>
  <c r="AF22" i="78"/>
  <c r="AE22" i="78"/>
  <c r="AD22" i="78"/>
  <c r="AC22" i="78"/>
  <c r="AB22" i="78"/>
  <c r="AA22" i="78"/>
  <c r="Z22" i="78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D22" i="78"/>
  <c r="AK20" i="78"/>
  <c r="AK19" i="78"/>
  <c r="AK17" i="78"/>
  <c r="AK16" i="78"/>
  <c r="AK15" i="78"/>
  <c r="AK14" i="78"/>
  <c r="AK13" i="78"/>
  <c r="AK12" i="78"/>
  <c r="AK11" i="78"/>
  <c r="AK10" i="78"/>
  <c r="AK9" i="78"/>
  <c r="AK8" i="78"/>
  <c r="AK7" i="78"/>
  <c r="AK6" i="78"/>
  <c r="AK5" i="78"/>
  <c r="AK56" i="77"/>
  <c r="AK49" i="77"/>
  <c r="AK53" i="77"/>
  <c r="AK57" i="77"/>
  <c r="D22" i="75"/>
  <c r="D27" i="76"/>
  <c r="D29" i="77"/>
  <c r="AK51" i="77"/>
  <c r="AK52" i="77"/>
  <c r="D52" i="77"/>
  <c r="AK47" i="77"/>
  <c r="AK55" i="77"/>
  <c r="AK10" i="77"/>
  <c r="AK11" i="77"/>
  <c r="AK12" i="77"/>
  <c r="AK13" i="77"/>
  <c r="AK14" i="77"/>
  <c r="AK15" i="77"/>
  <c r="AK16" i="77"/>
  <c r="AK17" i="77"/>
  <c r="AK18" i="77"/>
  <c r="AK19" i="77"/>
  <c r="AK20" i="77"/>
  <c r="AK21" i="77"/>
  <c r="AK22" i="77"/>
  <c r="AK23" i="77"/>
  <c r="AK17" i="76"/>
  <c r="AK18" i="76"/>
  <c r="AK19" i="76"/>
  <c r="AK20" i="76"/>
  <c r="AK21" i="76"/>
  <c r="AK22" i="76"/>
  <c r="AK18" i="75"/>
  <c r="AK19" i="75"/>
  <c r="AK20" i="75"/>
  <c r="L46" i="77"/>
  <c r="AK41" i="77"/>
  <c r="AK34" i="76"/>
  <c r="AK29" i="75"/>
  <c r="AK36" i="77"/>
  <c r="AK37" i="77"/>
  <c r="AK38" i="77"/>
  <c r="AK39" i="77"/>
  <c r="AK40" i="77"/>
  <c r="AK34" i="77"/>
  <c r="G76" i="77"/>
  <c r="H76" i="77" s="1"/>
  <c r="I76" i="77" s="1"/>
  <c r="I78" i="77" s="1"/>
  <c r="M71" i="77"/>
  <c r="B67" i="77"/>
  <c r="C67" i="77" s="1"/>
  <c r="AQ65" i="77"/>
  <c r="AP64" i="77"/>
  <c r="AJ63" i="77"/>
  <c r="AI63" i="77"/>
  <c r="AH63" i="77"/>
  <c r="AG63" i="77"/>
  <c r="AF63" i="77"/>
  <c r="AE63" i="77"/>
  <c r="AD63" i="77"/>
  <c r="AC63" i="77"/>
  <c r="AB63" i="77"/>
  <c r="AA63" i="77"/>
  <c r="Y63" i="77"/>
  <c r="X63" i="77"/>
  <c r="W63" i="77"/>
  <c r="V63" i="77"/>
  <c r="U63" i="77"/>
  <c r="T63" i="77"/>
  <c r="S63" i="77"/>
  <c r="R63" i="77"/>
  <c r="Q63" i="77"/>
  <c r="P63" i="77"/>
  <c r="O63" i="77"/>
  <c r="M63" i="77"/>
  <c r="K63" i="77"/>
  <c r="J63" i="77"/>
  <c r="I63" i="77"/>
  <c r="H63" i="77"/>
  <c r="G63" i="77"/>
  <c r="F63" i="77"/>
  <c r="AP62" i="77"/>
  <c r="AQ62" i="77" s="1"/>
  <c r="AP59" i="77"/>
  <c r="AP60" i="77" s="1"/>
  <c r="AK48" i="77"/>
  <c r="AK45" i="77"/>
  <c r="AK44" i="77"/>
  <c r="AK43" i="77"/>
  <c r="AK42" i="77"/>
  <c r="AK35" i="77"/>
  <c r="D30" i="77"/>
  <c r="AJ29" i="77"/>
  <c r="AI29" i="77"/>
  <c r="AH29" i="77"/>
  <c r="AG29" i="77"/>
  <c r="AF29" i="77"/>
  <c r="AE29" i="77"/>
  <c r="AD29" i="77"/>
  <c r="AC29" i="77"/>
  <c r="AB29" i="77"/>
  <c r="AA29" i="77"/>
  <c r="Z29" i="77"/>
  <c r="Y29" i="77"/>
  <c r="X29" i="77"/>
  <c r="W29" i="77"/>
  <c r="V29" i="77"/>
  <c r="T29" i="77"/>
  <c r="S29" i="77"/>
  <c r="R29" i="77"/>
  <c r="Q29" i="77"/>
  <c r="P29" i="77"/>
  <c r="O29" i="77"/>
  <c r="N29" i="77"/>
  <c r="M29" i="77"/>
  <c r="L29" i="77"/>
  <c r="K29" i="77"/>
  <c r="J29" i="77"/>
  <c r="H29" i="77"/>
  <c r="G29" i="77"/>
  <c r="F29" i="77"/>
  <c r="AK27" i="77"/>
  <c r="AK26" i="77"/>
  <c r="AK24" i="77"/>
  <c r="AK9" i="77"/>
  <c r="AK8" i="77"/>
  <c r="AK7" i="77"/>
  <c r="AK6" i="77"/>
  <c r="AK5" i="77"/>
  <c r="AK45" i="76"/>
  <c r="AK46" i="76"/>
  <c r="AK47" i="76"/>
  <c r="AK48" i="76"/>
  <c r="Z38" i="76"/>
  <c r="AK38" i="76" s="1"/>
  <c r="AK41" i="75"/>
  <c r="D38" i="76"/>
  <c r="D43" i="75"/>
  <c r="U15" i="76"/>
  <c r="L46" i="78" l="1"/>
  <c r="AK22" i="78"/>
  <c r="D41" i="78" s="1"/>
  <c r="D46" i="78" s="1"/>
  <c r="AK46" i="78"/>
  <c r="G60" i="78"/>
  <c r="G61" i="78" s="1"/>
  <c r="G62" i="78" s="1"/>
  <c r="AP44" i="78"/>
  <c r="AP46" i="78"/>
  <c r="AP49" i="78" s="1"/>
  <c r="AQ42" i="78"/>
  <c r="AQ43" i="78" s="1"/>
  <c r="L63" i="77"/>
  <c r="AK46" i="77"/>
  <c r="N63" i="77"/>
  <c r="I29" i="77"/>
  <c r="Z63" i="77"/>
  <c r="G77" i="77"/>
  <c r="G78" i="77" s="1"/>
  <c r="G79" i="77" s="1"/>
  <c r="AP61" i="77"/>
  <c r="AP63" i="77"/>
  <c r="AP66" i="77" s="1"/>
  <c r="AK63" i="77"/>
  <c r="AK29" i="77"/>
  <c r="U29" i="77"/>
  <c r="AQ59" i="77"/>
  <c r="AQ60" i="77" s="1"/>
  <c r="AK39" i="76"/>
  <c r="AK42" i="76"/>
  <c r="AK42" i="74"/>
  <c r="AK43" i="74"/>
  <c r="AK44" i="74"/>
  <c r="AL22" i="78" l="1"/>
  <c r="AL46" i="78"/>
  <c r="AQ44" i="78"/>
  <c r="AQ46" i="78"/>
  <c r="AQ49" i="78" s="1"/>
  <c r="D58" i="77"/>
  <c r="D63" i="77" s="1"/>
  <c r="AL63" i="77" s="1"/>
  <c r="AL29" i="77"/>
  <c r="AQ61" i="77"/>
  <c r="AQ63" i="77"/>
  <c r="AQ66" i="77" s="1"/>
  <c r="I10" i="76"/>
  <c r="AK14" i="76"/>
  <c r="AK15" i="76"/>
  <c r="AK16" i="76"/>
  <c r="AK23" i="76"/>
  <c r="AK24" i="76"/>
  <c r="AK44" i="76"/>
  <c r="G67" i="76" l="1"/>
  <c r="H67" i="76" s="1"/>
  <c r="I67" i="76" s="1"/>
  <c r="I69" i="76" s="1"/>
  <c r="M62" i="76"/>
  <c r="B58" i="76"/>
  <c r="C58" i="76" s="1"/>
  <c r="AQ56" i="76"/>
  <c r="AP55" i="76"/>
  <c r="AJ54" i="76"/>
  <c r="AI54" i="76"/>
  <c r="AH54" i="76"/>
  <c r="AG54" i="76"/>
  <c r="AF54" i="76"/>
  <c r="AE54" i="76"/>
  <c r="AD54" i="76"/>
  <c r="AC54" i="76"/>
  <c r="AB54" i="76"/>
  <c r="AA54" i="76"/>
  <c r="Z54" i="76"/>
  <c r="Y54" i="76"/>
  <c r="X54" i="76"/>
  <c r="W54" i="76"/>
  <c r="V54" i="76"/>
  <c r="U54" i="76"/>
  <c r="T54" i="76"/>
  <c r="S54" i="76"/>
  <c r="R54" i="76"/>
  <c r="Q54" i="76"/>
  <c r="P54" i="76"/>
  <c r="O54" i="76"/>
  <c r="N54" i="76"/>
  <c r="M54" i="76"/>
  <c r="L54" i="76"/>
  <c r="K54" i="76"/>
  <c r="J54" i="76"/>
  <c r="I54" i="76"/>
  <c r="H54" i="76"/>
  <c r="G54" i="76"/>
  <c r="F54" i="76"/>
  <c r="AP53" i="76"/>
  <c r="AQ53" i="76" s="1"/>
  <c r="AP50" i="76"/>
  <c r="AP51" i="76" s="1"/>
  <c r="AK49" i="76"/>
  <c r="AK43" i="76"/>
  <c r="AK36" i="76"/>
  <c r="AK35" i="76"/>
  <c r="AK37" i="76"/>
  <c r="AK41" i="76"/>
  <c r="AK40" i="76"/>
  <c r="AK33" i="76"/>
  <c r="AK32" i="76"/>
  <c r="D28" i="76"/>
  <c r="AJ27" i="76"/>
  <c r="AI27" i="76"/>
  <c r="AH27" i="76"/>
  <c r="AG27" i="76"/>
  <c r="AF27" i="76"/>
  <c r="AE27" i="76"/>
  <c r="AD27" i="76"/>
  <c r="AC27" i="76"/>
  <c r="AB27" i="76"/>
  <c r="AA27" i="76"/>
  <c r="Z27" i="76"/>
  <c r="Y27" i="76"/>
  <c r="X27" i="76"/>
  <c r="W27" i="76"/>
  <c r="V27" i="76"/>
  <c r="U27" i="76"/>
  <c r="T27" i="76"/>
  <c r="S27" i="76"/>
  <c r="Q27" i="76"/>
  <c r="P27" i="76"/>
  <c r="O27" i="76"/>
  <c r="N27" i="76"/>
  <c r="M27" i="76"/>
  <c r="L27" i="76"/>
  <c r="K27" i="76"/>
  <c r="J27" i="76"/>
  <c r="I27" i="76"/>
  <c r="H27" i="76"/>
  <c r="G27" i="76"/>
  <c r="F27" i="76"/>
  <c r="AK25" i="76"/>
  <c r="AK13" i="76"/>
  <c r="AK12" i="76"/>
  <c r="AK11" i="76"/>
  <c r="AK10" i="76"/>
  <c r="AK9" i="76"/>
  <c r="AK7" i="76"/>
  <c r="AK6" i="76"/>
  <c r="AK5" i="76"/>
  <c r="AK28" i="75"/>
  <c r="AK37" i="75"/>
  <c r="AK32" i="75"/>
  <c r="AK34" i="75"/>
  <c r="AK38" i="75"/>
  <c r="AK36" i="75"/>
  <c r="AK30" i="75"/>
  <c r="AK31" i="75"/>
  <c r="AK33" i="75"/>
  <c r="AK35" i="75"/>
  <c r="AK39" i="75"/>
  <c r="AK40" i="75"/>
  <c r="AK42" i="75"/>
  <c r="AK43" i="75"/>
  <c r="AK44" i="75"/>
  <c r="AK45" i="75"/>
  <c r="AK46" i="75"/>
  <c r="AK7" i="75"/>
  <c r="AK9" i="75"/>
  <c r="AK10" i="75"/>
  <c r="AK11" i="75"/>
  <c r="AK13" i="75"/>
  <c r="AK14" i="75"/>
  <c r="AK15" i="75"/>
  <c r="AK16" i="75"/>
  <c r="AK17" i="75"/>
  <c r="AH22" i="75"/>
  <c r="AI22" i="75"/>
  <c r="AJ22" i="75"/>
  <c r="R8" i="75"/>
  <c r="R12" i="75" s="1"/>
  <c r="AK12" i="75" s="1"/>
  <c r="AH18" i="74"/>
  <c r="AK18" i="74" s="1"/>
  <c r="G64" i="75"/>
  <c r="H64" i="75" s="1"/>
  <c r="I64" i="75" s="1"/>
  <c r="I66" i="75" s="1"/>
  <c r="M59" i="75"/>
  <c r="AQ53" i="75"/>
  <c r="AP52" i="75"/>
  <c r="AJ51" i="75"/>
  <c r="AI51" i="75"/>
  <c r="AH51" i="75"/>
  <c r="AG51" i="75"/>
  <c r="AF51" i="75"/>
  <c r="AE51" i="75"/>
  <c r="AD51" i="75"/>
  <c r="AC51" i="75"/>
  <c r="AB51" i="75"/>
  <c r="AA51" i="75"/>
  <c r="Z51" i="75"/>
  <c r="Y51" i="75"/>
  <c r="X51" i="75"/>
  <c r="W51" i="75"/>
  <c r="V51" i="75"/>
  <c r="U51" i="75"/>
  <c r="T51" i="75"/>
  <c r="S51" i="75"/>
  <c r="R51" i="75"/>
  <c r="Q51" i="75"/>
  <c r="P51" i="75"/>
  <c r="O51" i="75"/>
  <c r="N51" i="75"/>
  <c r="M51" i="75"/>
  <c r="L51" i="75"/>
  <c r="K51" i="75"/>
  <c r="J51" i="75"/>
  <c r="I51" i="75"/>
  <c r="H51" i="75"/>
  <c r="G51" i="75"/>
  <c r="F51" i="75"/>
  <c r="AP50" i="75"/>
  <c r="AQ50" i="75" s="1"/>
  <c r="AP47" i="75"/>
  <c r="AP48" i="75" s="1"/>
  <c r="AK27" i="75"/>
  <c r="D23" i="75"/>
  <c r="AG22" i="75"/>
  <c r="AF22" i="75"/>
  <c r="AE22" i="75"/>
  <c r="AD22" i="75"/>
  <c r="AC22" i="75"/>
  <c r="AB22" i="75"/>
  <c r="AA22" i="75"/>
  <c r="Z22" i="75"/>
  <c r="Y22" i="75"/>
  <c r="X22" i="75"/>
  <c r="W22" i="75"/>
  <c r="V22" i="75"/>
  <c r="U22" i="75"/>
  <c r="T22" i="75"/>
  <c r="S22" i="75"/>
  <c r="Q22" i="75"/>
  <c r="P22" i="75"/>
  <c r="O22" i="75"/>
  <c r="N22" i="75"/>
  <c r="M22" i="75"/>
  <c r="L22" i="75"/>
  <c r="K22" i="75"/>
  <c r="J22" i="75"/>
  <c r="I22" i="75"/>
  <c r="H22" i="75"/>
  <c r="G22" i="75"/>
  <c r="F22" i="75"/>
  <c r="AK6" i="75"/>
  <c r="AK5" i="75"/>
  <c r="G68" i="76" l="1"/>
  <c r="G69" i="76" s="1"/>
  <c r="G70" i="76" s="1"/>
  <c r="AK54" i="76"/>
  <c r="AP52" i="76"/>
  <c r="AP54" i="76"/>
  <c r="AP57" i="76" s="1"/>
  <c r="R27" i="76"/>
  <c r="AK8" i="76"/>
  <c r="AK27" i="76" s="1"/>
  <c r="AQ50" i="76"/>
  <c r="AQ51" i="76" s="1"/>
  <c r="AK8" i="75"/>
  <c r="AK22" i="75" s="1"/>
  <c r="D46" i="75" s="1"/>
  <c r="D51" i="75" s="1"/>
  <c r="R22" i="75"/>
  <c r="AK51" i="75"/>
  <c r="G65" i="75"/>
  <c r="G66" i="75" s="1"/>
  <c r="G67" i="75" s="1"/>
  <c r="AP49" i="75"/>
  <c r="AP51" i="75"/>
  <c r="AP54" i="75" s="1"/>
  <c r="AQ47" i="75"/>
  <c r="AQ48" i="75" s="1"/>
  <c r="D49" i="76" l="1"/>
  <c r="D54" i="76" s="1"/>
  <c r="AL54" i="76" s="1"/>
  <c r="AL27" i="76"/>
  <c r="AQ52" i="76"/>
  <c r="AQ54" i="76"/>
  <c r="AQ57" i="76" s="1"/>
  <c r="AL22" i="75"/>
  <c r="AL51" i="75"/>
  <c r="AQ51" i="75"/>
  <c r="AQ54" i="75" s="1"/>
  <c r="AQ49" i="75"/>
  <c r="AK36" i="74" l="1"/>
  <c r="AK35" i="74"/>
  <c r="AK33" i="73"/>
  <c r="AK16" i="74"/>
  <c r="AK17" i="74"/>
  <c r="AK19" i="74"/>
  <c r="AK20" i="74"/>
  <c r="AK21" i="74"/>
  <c r="AK31" i="73"/>
  <c r="AK32" i="73"/>
  <c r="AK34" i="73"/>
  <c r="AK35" i="73"/>
  <c r="AK36" i="73"/>
  <c r="AK37" i="73"/>
  <c r="AK38" i="73"/>
  <c r="AK39" i="73"/>
  <c r="AK40" i="73"/>
  <c r="AK41" i="73"/>
  <c r="AK42" i="73"/>
  <c r="AK34" i="74"/>
  <c r="AK37" i="74"/>
  <c r="AK38" i="74"/>
  <c r="AK39" i="74"/>
  <c r="AK40" i="74"/>
  <c r="AK41" i="74"/>
  <c r="G63" i="74"/>
  <c r="H63" i="74" s="1"/>
  <c r="I63" i="74" s="1"/>
  <c r="I65" i="74" s="1"/>
  <c r="M58" i="74"/>
  <c r="AQ52" i="74"/>
  <c r="AP51" i="74"/>
  <c r="AJ50" i="74"/>
  <c r="AI50" i="74"/>
  <c r="AH50" i="74"/>
  <c r="AG50" i="74"/>
  <c r="AF50" i="74"/>
  <c r="AE50" i="74"/>
  <c r="AD50" i="74"/>
  <c r="AC50" i="74"/>
  <c r="AB50" i="74"/>
  <c r="AA50" i="74"/>
  <c r="Z50" i="74"/>
  <c r="Y50" i="74"/>
  <c r="X50" i="74"/>
  <c r="W50" i="74"/>
  <c r="V50" i="74"/>
  <c r="U50" i="74"/>
  <c r="T50" i="74"/>
  <c r="S50" i="74"/>
  <c r="R50" i="74"/>
  <c r="Q50" i="74"/>
  <c r="P50" i="74"/>
  <c r="O50" i="74"/>
  <c r="N50" i="74"/>
  <c r="M50" i="74"/>
  <c r="L50" i="74"/>
  <c r="K50" i="74"/>
  <c r="J50" i="74"/>
  <c r="I50" i="74"/>
  <c r="H50" i="74"/>
  <c r="G50" i="74"/>
  <c r="F50" i="74"/>
  <c r="AP49" i="74"/>
  <c r="AQ49" i="74" s="1"/>
  <c r="AP46" i="74"/>
  <c r="AQ46" i="74" s="1"/>
  <c r="AQ47" i="74" s="1"/>
  <c r="AK45" i="74"/>
  <c r="AK33" i="74"/>
  <c r="AK32" i="74"/>
  <c r="D28" i="74"/>
  <c r="AJ27" i="74"/>
  <c r="AI27" i="74"/>
  <c r="AH27" i="74"/>
  <c r="AG27" i="74"/>
  <c r="AF27" i="74"/>
  <c r="AE27" i="74"/>
  <c r="AD27" i="74"/>
  <c r="AC27" i="74"/>
  <c r="AB27" i="74"/>
  <c r="AA27" i="74"/>
  <c r="Z27" i="74"/>
  <c r="Y27" i="74"/>
  <c r="X27" i="74"/>
  <c r="W27" i="74"/>
  <c r="V27" i="74"/>
  <c r="U27" i="74"/>
  <c r="T27" i="74"/>
  <c r="S27" i="74"/>
  <c r="R27" i="74"/>
  <c r="Q27" i="74"/>
  <c r="P27" i="74"/>
  <c r="O27" i="74"/>
  <c r="N27" i="74"/>
  <c r="M27" i="74"/>
  <c r="L27" i="74"/>
  <c r="K27" i="74"/>
  <c r="J27" i="74"/>
  <c r="I27" i="74"/>
  <c r="H27" i="74"/>
  <c r="G27" i="74"/>
  <c r="F27" i="74"/>
  <c r="D27" i="74"/>
  <c r="AK25" i="74"/>
  <c r="AK24" i="74"/>
  <c r="AK23" i="74"/>
  <c r="AK22" i="74"/>
  <c r="AK15" i="74"/>
  <c r="AK14" i="74"/>
  <c r="AK13" i="74"/>
  <c r="AK12" i="74"/>
  <c r="AK11" i="74"/>
  <c r="AK10" i="74"/>
  <c r="AK9" i="74"/>
  <c r="AK8" i="74"/>
  <c r="AK7" i="74"/>
  <c r="AK6" i="74"/>
  <c r="AK5" i="74"/>
  <c r="AK13" i="73"/>
  <c r="AK14" i="73"/>
  <c r="AK15" i="73"/>
  <c r="AK16" i="73"/>
  <c r="AK17" i="73"/>
  <c r="AK18" i="73"/>
  <c r="AK19" i="73"/>
  <c r="AK20" i="73"/>
  <c r="AK21" i="73"/>
  <c r="AK22" i="73"/>
  <c r="AK23" i="73"/>
  <c r="G61" i="73"/>
  <c r="H61" i="73" s="1"/>
  <c r="I61" i="73" s="1"/>
  <c r="I63" i="73" s="1"/>
  <c r="M56" i="73"/>
  <c r="AQ50" i="73"/>
  <c r="AP49" i="73"/>
  <c r="AJ48" i="73"/>
  <c r="AI48" i="73"/>
  <c r="AH48" i="73"/>
  <c r="AG48" i="73"/>
  <c r="AF48" i="73"/>
  <c r="AE48" i="73"/>
  <c r="AD48" i="73"/>
  <c r="AC48" i="73"/>
  <c r="AB48" i="73"/>
  <c r="AA48" i="73"/>
  <c r="Z48" i="73"/>
  <c r="Y48" i="73"/>
  <c r="X48" i="73"/>
  <c r="W48" i="73"/>
  <c r="V48" i="73"/>
  <c r="U48" i="73"/>
  <c r="T48" i="73"/>
  <c r="S48" i="73"/>
  <c r="R48" i="73"/>
  <c r="Q48" i="73"/>
  <c r="P48" i="73"/>
  <c r="O48" i="73"/>
  <c r="N48" i="73"/>
  <c r="M48" i="73"/>
  <c r="L48" i="73"/>
  <c r="K48" i="73"/>
  <c r="J48" i="73"/>
  <c r="I48" i="73"/>
  <c r="H48" i="73"/>
  <c r="G48" i="73"/>
  <c r="F48" i="73"/>
  <c r="AP47" i="73"/>
  <c r="AQ47" i="73" s="1"/>
  <c r="AP44" i="73"/>
  <c r="AQ44" i="73" s="1"/>
  <c r="AQ45" i="73" s="1"/>
  <c r="AK43" i="73"/>
  <c r="AK30" i="73"/>
  <c r="D26" i="73"/>
  <c r="AJ25" i="73"/>
  <c r="AI25" i="73"/>
  <c r="AH25" i="73"/>
  <c r="AG25" i="73"/>
  <c r="AF25" i="73"/>
  <c r="AE25" i="73"/>
  <c r="AD25" i="73"/>
  <c r="AC25" i="73"/>
  <c r="AB25" i="73"/>
  <c r="AA25" i="73"/>
  <c r="Z25" i="73"/>
  <c r="Y25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K25" i="73"/>
  <c r="J25" i="73"/>
  <c r="I25" i="73"/>
  <c r="H25" i="73"/>
  <c r="G25" i="73"/>
  <c r="F25" i="73"/>
  <c r="D25" i="73"/>
  <c r="AK12" i="73"/>
  <c r="AK11" i="73"/>
  <c r="AK10" i="73"/>
  <c r="AK9" i="73"/>
  <c r="AK8" i="73"/>
  <c r="AK7" i="73"/>
  <c r="AK6" i="73"/>
  <c r="AK5" i="73"/>
  <c r="AK13" i="72"/>
  <c r="AK14" i="72"/>
  <c r="AK15" i="72"/>
  <c r="AK41" i="72"/>
  <c r="AK39" i="72"/>
  <c r="AK42" i="72"/>
  <c r="AK43" i="72"/>
  <c r="AK29" i="72"/>
  <c r="AK38" i="72"/>
  <c r="AK32" i="72"/>
  <c r="AK33" i="72"/>
  <c r="AK37" i="72"/>
  <c r="AK40" i="72"/>
  <c r="AK24" i="72"/>
  <c r="AK28" i="72"/>
  <c r="AK30" i="72"/>
  <c r="AK35" i="72"/>
  <c r="AK34" i="71"/>
  <c r="AK35" i="71"/>
  <c r="AK36" i="71"/>
  <c r="G62" i="72"/>
  <c r="H62" i="72" s="1"/>
  <c r="I62" i="72" s="1"/>
  <c r="I64" i="72" s="1"/>
  <c r="M57" i="72"/>
  <c r="AQ51" i="72"/>
  <c r="AP50" i="72"/>
  <c r="AJ49" i="72"/>
  <c r="AI49" i="72"/>
  <c r="AH49" i="72"/>
  <c r="AG49" i="72"/>
  <c r="AF49" i="72"/>
  <c r="AE49" i="72"/>
  <c r="AD49" i="72"/>
  <c r="AC49" i="72"/>
  <c r="AB49" i="72"/>
  <c r="AA49" i="72"/>
  <c r="Z49" i="72"/>
  <c r="Y49" i="72"/>
  <c r="X49" i="72"/>
  <c r="W49" i="72"/>
  <c r="V49" i="72"/>
  <c r="U49" i="72"/>
  <c r="T49" i="72"/>
  <c r="S49" i="72"/>
  <c r="R49" i="72"/>
  <c r="Q49" i="72"/>
  <c r="P49" i="72"/>
  <c r="O49" i="72"/>
  <c r="N49" i="72"/>
  <c r="M49" i="72"/>
  <c r="L49" i="72"/>
  <c r="K49" i="72"/>
  <c r="J49" i="72"/>
  <c r="I49" i="72"/>
  <c r="H49" i="72"/>
  <c r="G49" i="72"/>
  <c r="F49" i="72"/>
  <c r="AP48" i="72"/>
  <c r="AQ48" i="72" s="1"/>
  <c r="AP45" i="72"/>
  <c r="AQ45" i="72" s="1"/>
  <c r="AQ46" i="72" s="1"/>
  <c r="AK44" i="72"/>
  <c r="AK31" i="72"/>
  <c r="AK36" i="72"/>
  <c r="AK34" i="72"/>
  <c r="AK27" i="72"/>
  <c r="AK26" i="72"/>
  <c r="AK25" i="72"/>
  <c r="AK23" i="72"/>
  <c r="AJ18" i="72"/>
  <c r="AI18" i="72"/>
  <c r="AH18" i="72"/>
  <c r="AG18" i="72"/>
  <c r="AF18" i="72"/>
  <c r="AE18" i="72"/>
  <c r="AD18" i="72"/>
  <c r="AC18" i="72"/>
  <c r="AB18" i="72"/>
  <c r="AA18" i="72"/>
  <c r="Z18" i="72"/>
  <c r="Y18" i="72"/>
  <c r="X18" i="72"/>
  <c r="W18" i="72"/>
  <c r="V18" i="72"/>
  <c r="U18" i="72"/>
  <c r="T18" i="72"/>
  <c r="S18" i="72"/>
  <c r="R18" i="72"/>
  <c r="Q18" i="72"/>
  <c r="P18" i="72"/>
  <c r="O18" i="72"/>
  <c r="N18" i="72"/>
  <c r="M18" i="72"/>
  <c r="L18" i="72"/>
  <c r="K18" i="72"/>
  <c r="J18" i="72"/>
  <c r="I18" i="72"/>
  <c r="H18" i="72"/>
  <c r="G18" i="72"/>
  <c r="F18" i="72"/>
  <c r="D18" i="72"/>
  <c r="AK16" i="72"/>
  <c r="AK12" i="72"/>
  <c r="AK11" i="72"/>
  <c r="AK10" i="72"/>
  <c r="AK9" i="72"/>
  <c r="AK8" i="72"/>
  <c r="AK7" i="72"/>
  <c r="D19" i="72"/>
  <c r="AK6" i="72"/>
  <c r="AK5" i="72"/>
  <c r="AK6" i="71"/>
  <c r="AK6" i="70"/>
  <c r="AK6" i="69"/>
  <c r="AK10" i="68"/>
  <c r="AK11" i="68"/>
  <c r="AK12" i="67"/>
  <c r="AK15" i="66"/>
  <c r="AD8" i="71"/>
  <c r="D8" i="71"/>
  <c r="D12" i="70"/>
  <c r="AK50" i="74" l="1"/>
  <c r="AP47" i="74"/>
  <c r="AP50" i="74" s="1"/>
  <c r="AP53" i="74" s="1"/>
  <c r="AK27" i="74"/>
  <c r="D45" i="74" s="1"/>
  <c r="D50" i="74" s="1"/>
  <c r="G64" i="74"/>
  <c r="G65" i="74" s="1"/>
  <c r="G66" i="74" s="1"/>
  <c r="AQ48" i="74"/>
  <c r="AQ50" i="74"/>
  <c r="AQ53" i="74" s="1"/>
  <c r="AP45" i="73"/>
  <c r="AP46" i="73" s="1"/>
  <c r="AK25" i="73"/>
  <c r="D43" i="73" s="1"/>
  <c r="D48" i="73" s="1"/>
  <c r="AK48" i="73"/>
  <c r="G62" i="73"/>
  <c r="G63" i="73" s="1"/>
  <c r="G64" i="73" s="1"/>
  <c r="AQ46" i="73"/>
  <c r="AQ48" i="73"/>
  <c r="AQ51" i="73" s="1"/>
  <c r="AK49" i="72"/>
  <c r="G63" i="72"/>
  <c r="G64" i="72" s="1"/>
  <c r="G65" i="72" s="1"/>
  <c r="AP46" i="72"/>
  <c r="AP47" i="72" s="1"/>
  <c r="AQ47" i="72"/>
  <c r="AQ49" i="72"/>
  <c r="AQ52" i="72" s="1"/>
  <c r="AK18" i="72"/>
  <c r="D44" i="72" s="1"/>
  <c r="D49" i="72" s="1"/>
  <c r="AK35" i="70"/>
  <c r="AK36" i="70"/>
  <c r="AK37" i="70"/>
  <c r="AK38" i="70"/>
  <c r="AK39" i="70"/>
  <c r="AK40" i="70"/>
  <c r="AK31" i="71"/>
  <c r="AK32" i="71"/>
  <c r="AK33" i="71"/>
  <c r="AK15" i="71"/>
  <c r="AK16" i="71"/>
  <c r="AK17" i="71"/>
  <c r="AK18" i="71"/>
  <c r="AK19" i="71"/>
  <c r="D22" i="71"/>
  <c r="D22" i="70"/>
  <c r="D22" i="69"/>
  <c r="D19" i="66"/>
  <c r="D22" i="68"/>
  <c r="AK29" i="71"/>
  <c r="AK30" i="71"/>
  <c r="AK37" i="71"/>
  <c r="AK38" i="71"/>
  <c r="G58" i="71"/>
  <c r="H58" i="71" s="1"/>
  <c r="I58" i="71" s="1"/>
  <c r="I60" i="71" s="1"/>
  <c r="M53" i="71"/>
  <c r="AQ47" i="71"/>
  <c r="AP46" i="71"/>
  <c r="AJ45" i="71"/>
  <c r="AI45" i="71"/>
  <c r="AH45" i="71"/>
  <c r="AG45" i="71"/>
  <c r="AF45" i="71"/>
  <c r="AE45" i="71"/>
  <c r="AD45" i="71"/>
  <c r="AC45" i="71"/>
  <c r="AB45" i="71"/>
  <c r="AA45" i="71"/>
  <c r="Z45" i="71"/>
  <c r="Y45" i="71"/>
  <c r="X45" i="71"/>
  <c r="W45" i="71"/>
  <c r="V45" i="71"/>
  <c r="U45" i="71"/>
  <c r="T45" i="71"/>
  <c r="S45" i="71"/>
  <c r="R45" i="71"/>
  <c r="Q45" i="71"/>
  <c r="P45" i="71"/>
  <c r="O45" i="71"/>
  <c r="N45" i="71"/>
  <c r="M45" i="71"/>
  <c r="L45" i="71"/>
  <c r="K45" i="71"/>
  <c r="J45" i="71"/>
  <c r="I45" i="71"/>
  <c r="H45" i="71"/>
  <c r="G45" i="71"/>
  <c r="F45" i="71"/>
  <c r="AP44" i="71"/>
  <c r="AQ44" i="71" s="1"/>
  <c r="AP41" i="71"/>
  <c r="AQ41" i="71" s="1"/>
  <c r="AQ42" i="71" s="1"/>
  <c r="AK40" i="71"/>
  <c r="AK28" i="71"/>
  <c r="AK27" i="71"/>
  <c r="D23" i="71"/>
  <c r="AJ22" i="71"/>
  <c r="AI22" i="71"/>
  <c r="AH22" i="71"/>
  <c r="AG22" i="71"/>
  <c r="AF22" i="71"/>
  <c r="AE22" i="71"/>
  <c r="AD22" i="71"/>
  <c r="AC22" i="71"/>
  <c r="AB22" i="71"/>
  <c r="AA22" i="71"/>
  <c r="Z22" i="71"/>
  <c r="Y22" i="71"/>
  <c r="X22" i="71"/>
  <c r="W22" i="71"/>
  <c r="V22" i="71"/>
  <c r="U22" i="71"/>
  <c r="T22" i="71"/>
  <c r="S22" i="71"/>
  <c r="R22" i="71"/>
  <c r="Q22" i="71"/>
  <c r="P22" i="71"/>
  <c r="O22" i="71"/>
  <c r="N22" i="71"/>
  <c r="M22" i="71"/>
  <c r="L22" i="71"/>
  <c r="K22" i="71"/>
  <c r="J22" i="71"/>
  <c r="I22" i="71"/>
  <c r="H22" i="71"/>
  <c r="F22" i="71"/>
  <c r="AK20" i="71"/>
  <c r="AK14" i="71"/>
  <c r="AK13" i="71"/>
  <c r="AK12" i="71"/>
  <c r="AK11" i="71"/>
  <c r="AK10" i="71"/>
  <c r="AK9" i="71"/>
  <c r="AK8" i="71"/>
  <c r="G22" i="71"/>
  <c r="AK7" i="71"/>
  <c r="AK5" i="71"/>
  <c r="AK29" i="70"/>
  <c r="AK28" i="70"/>
  <c r="AK34" i="70"/>
  <c r="AK33" i="70"/>
  <c r="G10" i="26"/>
  <c r="G11" i="70"/>
  <c r="AK11" i="70" s="1"/>
  <c r="AK12" i="70"/>
  <c r="G9" i="26"/>
  <c r="G60" i="70"/>
  <c r="H60" i="70" s="1"/>
  <c r="I60" i="70" s="1"/>
  <c r="I62" i="70" s="1"/>
  <c r="M55" i="70"/>
  <c r="AQ49" i="70"/>
  <c r="AP48" i="70"/>
  <c r="AJ47" i="70"/>
  <c r="AI47" i="70"/>
  <c r="AH47" i="70"/>
  <c r="AG47" i="70"/>
  <c r="AF47" i="70"/>
  <c r="AE47" i="70"/>
  <c r="AD47" i="70"/>
  <c r="AC47" i="70"/>
  <c r="AB47" i="70"/>
  <c r="AA47" i="70"/>
  <c r="Z47" i="70"/>
  <c r="Y47" i="70"/>
  <c r="X47" i="70"/>
  <c r="W47" i="70"/>
  <c r="V47" i="70"/>
  <c r="U47" i="70"/>
  <c r="T47" i="70"/>
  <c r="S47" i="70"/>
  <c r="R47" i="70"/>
  <c r="Q47" i="70"/>
  <c r="P47" i="70"/>
  <c r="O47" i="70"/>
  <c r="N47" i="70"/>
  <c r="M47" i="70"/>
  <c r="L47" i="70"/>
  <c r="K47" i="70"/>
  <c r="J47" i="70"/>
  <c r="I47" i="70"/>
  <c r="H47" i="70"/>
  <c r="G47" i="70"/>
  <c r="F47" i="70"/>
  <c r="AP46" i="70"/>
  <c r="AQ46" i="70" s="1"/>
  <c r="AP43" i="70"/>
  <c r="AP44" i="70" s="1"/>
  <c r="AP45" i="70" s="1"/>
  <c r="AK42" i="70"/>
  <c r="AK41" i="70"/>
  <c r="AK32" i="70"/>
  <c r="AK31" i="70"/>
  <c r="AK30" i="70"/>
  <c r="AK27" i="70"/>
  <c r="AJ22" i="70"/>
  <c r="AI22" i="70"/>
  <c r="AH22" i="70"/>
  <c r="AG22" i="70"/>
  <c r="AF22" i="70"/>
  <c r="AE22" i="70"/>
  <c r="AD22" i="70"/>
  <c r="AC22" i="70"/>
  <c r="AB22" i="70"/>
  <c r="AA22" i="70"/>
  <c r="Z22" i="70"/>
  <c r="Y22" i="70"/>
  <c r="X22" i="70"/>
  <c r="W22" i="70"/>
  <c r="V22" i="70"/>
  <c r="U22" i="70"/>
  <c r="T22" i="70"/>
  <c r="S22" i="70"/>
  <c r="R22" i="70"/>
  <c r="Q22" i="70"/>
  <c r="P22" i="70"/>
  <c r="O22" i="70"/>
  <c r="N22" i="70"/>
  <c r="M22" i="70"/>
  <c r="L22" i="70"/>
  <c r="K22" i="70"/>
  <c r="J22" i="70"/>
  <c r="I22" i="70"/>
  <c r="H22" i="70"/>
  <c r="F22" i="70"/>
  <c r="AK20" i="70"/>
  <c r="AK19" i="70"/>
  <c r="AK18" i="70"/>
  <c r="AK17" i="70"/>
  <c r="AK16" i="70"/>
  <c r="AK15" i="70"/>
  <c r="AK14" i="70"/>
  <c r="AK13" i="70"/>
  <c r="AK10" i="70"/>
  <c r="AK9" i="70"/>
  <c r="AK8" i="70"/>
  <c r="AK7" i="70"/>
  <c r="D23" i="70"/>
  <c r="AK5" i="70"/>
  <c r="AK18" i="69"/>
  <c r="AK19" i="69"/>
  <c r="AK17" i="69"/>
  <c r="AK20" i="69"/>
  <c r="AK28" i="69"/>
  <c r="AK29" i="69"/>
  <c r="AK30" i="69"/>
  <c r="AK31" i="69"/>
  <c r="AK32" i="69"/>
  <c r="AK34" i="69"/>
  <c r="AK35" i="69"/>
  <c r="AK37" i="69"/>
  <c r="AK38" i="69"/>
  <c r="AK39" i="69"/>
  <c r="AP48" i="74" l="1"/>
  <c r="AL50" i="74"/>
  <c r="AL27" i="74"/>
  <c r="AP48" i="73"/>
  <c r="AP51" i="73" s="1"/>
  <c r="AL48" i="73"/>
  <c r="AL25" i="73"/>
  <c r="AL49" i="72"/>
  <c r="AP49" i="72"/>
  <c r="AP52" i="72" s="1"/>
  <c r="AL18" i="72"/>
  <c r="AP42" i="71"/>
  <c r="AP43" i="71" s="1"/>
  <c r="AK45" i="71"/>
  <c r="G59" i="71"/>
  <c r="G60" i="71" s="1"/>
  <c r="G61" i="71" s="1"/>
  <c r="AQ43" i="71"/>
  <c r="AQ45" i="71"/>
  <c r="AQ48" i="71" s="1"/>
  <c r="AK22" i="71"/>
  <c r="AK47" i="70"/>
  <c r="G61" i="70"/>
  <c r="G62" i="70" s="1"/>
  <c r="G63" i="70" s="1"/>
  <c r="G22" i="70"/>
  <c r="AQ43" i="70"/>
  <c r="AQ44" i="70" s="1"/>
  <c r="AQ45" i="70" s="1"/>
  <c r="AK22" i="70"/>
  <c r="D42" i="70" s="1"/>
  <c r="D47" i="70" s="1"/>
  <c r="AP47" i="70"/>
  <c r="AP50" i="70" s="1"/>
  <c r="D7" i="69"/>
  <c r="AP45" i="71" l="1"/>
  <c r="AP48" i="71" s="1"/>
  <c r="D40" i="71"/>
  <c r="D45" i="71" s="1"/>
  <c r="AL45" i="71" s="1"/>
  <c r="AL22" i="71"/>
  <c r="AL47" i="70"/>
  <c r="AQ47" i="70"/>
  <c r="AQ50" i="70" s="1"/>
  <c r="AL22" i="70"/>
  <c r="G57" i="69"/>
  <c r="G58" i="69" s="1"/>
  <c r="G59" i="69" s="1"/>
  <c r="G60" i="69" s="1"/>
  <c r="AK28" i="67"/>
  <c r="AK29" i="67"/>
  <c r="AK30" i="67"/>
  <c r="AK31" i="67"/>
  <c r="AK32" i="67"/>
  <c r="AK33" i="67"/>
  <c r="AK34" i="67"/>
  <c r="AK35" i="67"/>
  <c r="AK36" i="67"/>
  <c r="AK37" i="67"/>
  <c r="AK38" i="67"/>
  <c r="AK39" i="67"/>
  <c r="AK40" i="67"/>
  <c r="AK41" i="67"/>
  <c r="AK42" i="67"/>
  <c r="AK28" i="68"/>
  <c r="AK29" i="68"/>
  <c r="AK30" i="68"/>
  <c r="AK31" i="68"/>
  <c r="AK32" i="68"/>
  <c r="AK33" i="68"/>
  <c r="AK34" i="68"/>
  <c r="AK35" i="68"/>
  <c r="AK36" i="68"/>
  <c r="AK37" i="68"/>
  <c r="AK38" i="68"/>
  <c r="AK39" i="68"/>
  <c r="AK40" i="68"/>
  <c r="AK41" i="68"/>
  <c r="AK42" i="68"/>
  <c r="AK43" i="68"/>
  <c r="M52" i="69"/>
  <c r="AQ46" i="69"/>
  <c r="AP45" i="69"/>
  <c r="AJ44" i="69"/>
  <c r="AI44" i="69"/>
  <c r="AH44" i="69"/>
  <c r="AG44" i="69"/>
  <c r="AF44" i="69"/>
  <c r="AE44" i="69"/>
  <c r="AD44" i="69"/>
  <c r="AC44" i="69"/>
  <c r="AB44" i="69"/>
  <c r="AA44" i="69"/>
  <c r="Z44" i="69"/>
  <c r="Y44" i="69"/>
  <c r="X44" i="69"/>
  <c r="W44" i="69"/>
  <c r="V44" i="69"/>
  <c r="U44" i="69"/>
  <c r="T44" i="69"/>
  <c r="S44" i="69"/>
  <c r="R44" i="69"/>
  <c r="Q44" i="69"/>
  <c r="P44" i="69"/>
  <c r="O44" i="69"/>
  <c r="N44" i="69"/>
  <c r="M44" i="69"/>
  <c r="L44" i="69"/>
  <c r="K44" i="69"/>
  <c r="J44" i="69"/>
  <c r="I44" i="69"/>
  <c r="H44" i="69"/>
  <c r="G44" i="69"/>
  <c r="F44" i="69"/>
  <c r="AP43" i="69"/>
  <c r="AQ43" i="69" s="1"/>
  <c r="AP40" i="69"/>
  <c r="AP41" i="69" s="1"/>
  <c r="AK27" i="69"/>
  <c r="D23" i="69"/>
  <c r="AJ22" i="69"/>
  <c r="AI22" i="69"/>
  <c r="AH22" i="69"/>
  <c r="AG22" i="69"/>
  <c r="AF22" i="69"/>
  <c r="AE22" i="69"/>
  <c r="AD22" i="69"/>
  <c r="AC22" i="69"/>
  <c r="AB22" i="69"/>
  <c r="AA22" i="69"/>
  <c r="Z22" i="69"/>
  <c r="Y22" i="69"/>
  <c r="X22" i="69"/>
  <c r="W22" i="69"/>
  <c r="V22" i="69"/>
  <c r="U22" i="69"/>
  <c r="T22" i="69"/>
  <c r="S22" i="69"/>
  <c r="R22" i="69"/>
  <c r="Q22" i="69"/>
  <c r="P22" i="69"/>
  <c r="O22" i="69"/>
  <c r="N22" i="69"/>
  <c r="M22" i="69"/>
  <c r="L22" i="69"/>
  <c r="K22" i="69"/>
  <c r="J22" i="69"/>
  <c r="I22" i="69"/>
  <c r="H22" i="69"/>
  <c r="G22" i="69"/>
  <c r="F22" i="69"/>
  <c r="AK16" i="69"/>
  <c r="AK15" i="69"/>
  <c r="AK14" i="69"/>
  <c r="AK13" i="69"/>
  <c r="AK12" i="69"/>
  <c r="AK11" i="69"/>
  <c r="AK10" i="69"/>
  <c r="AK9" i="69"/>
  <c r="AK8" i="69"/>
  <c r="AK7" i="69"/>
  <c r="AK5" i="69"/>
  <c r="H57" i="69" l="1"/>
  <c r="I57" i="69" s="1"/>
  <c r="I59" i="69" s="1"/>
  <c r="AK22" i="69"/>
  <c r="D39" i="69" s="1"/>
  <c r="D44" i="69" s="1"/>
  <c r="AK44" i="69"/>
  <c r="AQ40" i="69"/>
  <c r="AQ41" i="69" s="1"/>
  <c r="AQ42" i="69" s="1"/>
  <c r="AP42" i="69"/>
  <c r="AP44" i="69"/>
  <c r="AP47" i="69" s="1"/>
  <c r="D27" i="68"/>
  <c r="AK14" i="67"/>
  <c r="AK15" i="67"/>
  <c r="D31" i="68"/>
  <c r="AK15" i="68"/>
  <c r="AK16" i="68"/>
  <c r="AK17" i="68"/>
  <c r="AK18" i="68"/>
  <c r="AK19" i="68"/>
  <c r="AK20" i="68"/>
  <c r="M57" i="68"/>
  <c r="AQ51" i="68"/>
  <c r="AP50" i="68"/>
  <c r="AJ49" i="68"/>
  <c r="AI49" i="68"/>
  <c r="AH49" i="68"/>
  <c r="AG49" i="68"/>
  <c r="AF49" i="68"/>
  <c r="AE49" i="68"/>
  <c r="AD49" i="68"/>
  <c r="AC49" i="68"/>
  <c r="AB49" i="68"/>
  <c r="AA49" i="68"/>
  <c r="Z49" i="68"/>
  <c r="Y49" i="68"/>
  <c r="X49" i="68"/>
  <c r="W49" i="68"/>
  <c r="V49" i="68"/>
  <c r="U49" i="68"/>
  <c r="T49" i="68"/>
  <c r="S49" i="68"/>
  <c r="R49" i="68"/>
  <c r="Q49" i="68"/>
  <c r="P49" i="68"/>
  <c r="O49" i="68"/>
  <c r="N49" i="68"/>
  <c r="M49" i="68"/>
  <c r="L49" i="68"/>
  <c r="K49" i="68"/>
  <c r="J49" i="68"/>
  <c r="I49" i="68"/>
  <c r="H49" i="68"/>
  <c r="G49" i="68"/>
  <c r="F49" i="68"/>
  <c r="AP45" i="68"/>
  <c r="AP46" i="68" s="1"/>
  <c r="AK44" i="68"/>
  <c r="AP48" i="68"/>
  <c r="AQ48" i="68" s="1"/>
  <c r="AK27" i="68"/>
  <c r="D23" i="68"/>
  <c r="AJ22" i="68"/>
  <c r="AI22" i="68"/>
  <c r="AH22" i="68"/>
  <c r="AG22" i="68"/>
  <c r="AF22" i="68"/>
  <c r="AE22" i="68"/>
  <c r="AD22" i="68"/>
  <c r="AC22" i="68"/>
  <c r="AB22" i="68"/>
  <c r="Z22" i="68"/>
  <c r="Y22" i="68"/>
  <c r="X22" i="68"/>
  <c r="W22" i="68"/>
  <c r="V22" i="68"/>
  <c r="U22" i="68"/>
  <c r="T22" i="68"/>
  <c r="S22" i="68"/>
  <c r="R22" i="68"/>
  <c r="Q22" i="68"/>
  <c r="P22" i="68"/>
  <c r="O22" i="68"/>
  <c r="N22" i="68"/>
  <c r="M22" i="68"/>
  <c r="L22" i="68"/>
  <c r="J22" i="68"/>
  <c r="I22" i="68"/>
  <c r="H22" i="68"/>
  <c r="G22" i="68"/>
  <c r="F22" i="68"/>
  <c r="AK13" i="68"/>
  <c r="AK12" i="68"/>
  <c r="AA22" i="68"/>
  <c r="AK9" i="68"/>
  <c r="AK8" i="68"/>
  <c r="AK7" i="68"/>
  <c r="AK6" i="68"/>
  <c r="AK5" i="68"/>
  <c r="AL22" i="69" l="1"/>
  <c r="AQ44" i="69"/>
  <c r="AQ47" i="69" s="1"/>
  <c r="AL44" i="69"/>
  <c r="K22" i="68"/>
  <c r="AK14" i="68"/>
  <c r="AK49" i="68"/>
  <c r="AK22" i="68"/>
  <c r="D44" i="68" s="1"/>
  <c r="AP47" i="68"/>
  <c r="AP49" i="68"/>
  <c r="AP52" i="68" s="1"/>
  <c r="AQ45" i="68"/>
  <c r="AQ46" i="68" s="1"/>
  <c r="AK29" i="66"/>
  <c r="AK30" i="66"/>
  <c r="AK31" i="66"/>
  <c r="AK32" i="66"/>
  <c r="AK33" i="66"/>
  <c r="AK34" i="66"/>
  <c r="AK35" i="66"/>
  <c r="AK36" i="66"/>
  <c r="AK38" i="66"/>
  <c r="AK39" i="66"/>
  <c r="AK40" i="66"/>
  <c r="AA16" i="67"/>
  <c r="AL22" i="68" l="1"/>
  <c r="AQ47" i="68"/>
  <c r="AQ49" i="68"/>
  <c r="AQ52" i="68" s="1"/>
  <c r="D36" i="67"/>
  <c r="D36" i="66"/>
  <c r="AK19" i="67"/>
  <c r="AK13" i="67"/>
  <c r="AK16" i="67"/>
  <c r="AK17" i="67"/>
  <c r="AK18" i="67"/>
  <c r="D22" i="67"/>
  <c r="D23" i="65"/>
  <c r="M55" i="67" l="1"/>
  <c r="AQ49" i="67"/>
  <c r="AP48" i="67"/>
  <c r="AJ47" i="67"/>
  <c r="AI47" i="67"/>
  <c r="AH47" i="67"/>
  <c r="AG47" i="67"/>
  <c r="AF47" i="67"/>
  <c r="AE47" i="67"/>
  <c r="AD47" i="67"/>
  <c r="AC47" i="67"/>
  <c r="AB47" i="67"/>
  <c r="AA47" i="67"/>
  <c r="Z47" i="67"/>
  <c r="Y47" i="67"/>
  <c r="X47" i="67"/>
  <c r="W47" i="67"/>
  <c r="V47" i="67"/>
  <c r="T47" i="67"/>
  <c r="S47" i="67"/>
  <c r="R47" i="67"/>
  <c r="Q47" i="67"/>
  <c r="P47" i="67"/>
  <c r="O47" i="67"/>
  <c r="N47" i="67"/>
  <c r="M47" i="67"/>
  <c r="L47" i="67"/>
  <c r="K47" i="67"/>
  <c r="J47" i="67"/>
  <c r="I47" i="67"/>
  <c r="H47" i="67"/>
  <c r="G47" i="67"/>
  <c r="F47" i="67"/>
  <c r="AP46" i="67"/>
  <c r="AQ46" i="67" s="1"/>
  <c r="AP43" i="67"/>
  <c r="AQ43" i="67" s="1"/>
  <c r="AQ44" i="67" s="1"/>
  <c r="AK27" i="67"/>
  <c r="AJ22" i="67"/>
  <c r="AI22" i="67"/>
  <c r="AH22" i="67"/>
  <c r="AG22" i="67"/>
  <c r="AF22" i="67"/>
  <c r="AE22" i="67"/>
  <c r="AD22" i="67"/>
  <c r="AC22" i="67"/>
  <c r="AB22" i="67"/>
  <c r="AA22" i="67"/>
  <c r="Z22" i="67"/>
  <c r="Y22" i="67"/>
  <c r="X22" i="67"/>
  <c r="W22" i="67"/>
  <c r="V22" i="67"/>
  <c r="U22" i="67"/>
  <c r="T22" i="67"/>
  <c r="S22" i="67"/>
  <c r="R22" i="67"/>
  <c r="Q22" i="67"/>
  <c r="P22" i="67"/>
  <c r="O22" i="67"/>
  <c r="N22" i="67"/>
  <c r="M22" i="67"/>
  <c r="L22" i="67"/>
  <c r="K22" i="67"/>
  <c r="J22" i="67"/>
  <c r="I22" i="67"/>
  <c r="H22" i="67"/>
  <c r="G22" i="67"/>
  <c r="F22" i="67"/>
  <c r="AK20" i="67"/>
  <c r="AK11" i="67"/>
  <c r="AK10" i="67"/>
  <c r="AK9" i="67"/>
  <c r="AK8" i="67"/>
  <c r="AK7" i="67"/>
  <c r="AK6" i="67"/>
  <c r="AK5" i="67"/>
  <c r="U37" i="66"/>
  <c r="AK37" i="66" s="1"/>
  <c r="D37" i="66"/>
  <c r="D10" i="66"/>
  <c r="AK22" i="67" l="1"/>
  <c r="D42" i="67" s="1"/>
  <c r="D28" i="68" s="1"/>
  <c r="D49" i="68" s="1"/>
  <c r="AL49" i="68" s="1"/>
  <c r="U47" i="67"/>
  <c r="AK47" i="67"/>
  <c r="AP44" i="67"/>
  <c r="AP45" i="67" s="1"/>
  <c r="D23" i="67"/>
  <c r="AQ47" i="67"/>
  <c r="AQ50" i="67" s="1"/>
  <c r="AQ45" i="67"/>
  <c r="AK25" i="66"/>
  <c r="M53" i="66"/>
  <c r="AQ47" i="66"/>
  <c r="AP46" i="66"/>
  <c r="AJ45" i="66"/>
  <c r="AH45" i="66"/>
  <c r="AG45" i="66"/>
  <c r="AF45" i="66"/>
  <c r="AE45" i="66"/>
  <c r="AD45" i="66"/>
  <c r="AC45" i="66"/>
  <c r="AB45" i="66"/>
  <c r="AA45" i="66"/>
  <c r="Z45" i="66"/>
  <c r="Y45" i="66"/>
  <c r="X45" i="66"/>
  <c r="W45" i="66"/>
  <c r="U45" i="66"/>
  <c r="T45" i="66"/>
  <c r="S45" i="66"/>
  <c r="R45" i="66"/>
  <c r="Q45" i="66"/>
  <c r="O45" i="66"/>
  <c r="N45" i="66"/>
  <c r="M45" i="66"/>
  <c r="L45" i="66"/>
  <c r="K45" i="66"/>
  <c r="J45" i="66"/>
  <c r="I45" i="66"/>
  <c r="H45" i="66"/>
  <c r="G45" i="66"/>
  <c r="F45" i="66"/>
  <c r="AP44" i="66"/>
  <c r="AP41" i="66"/>
  <c r="AK28" i="66"/>
  <c r="AK27" i="66"/>
  <c r="AK26" i="66"/>
  <c r="AK24" i="66"/>
  <c r="D20" i="66"/>
  <c r="AJ19" i="66"/>
  <c r="AI19" i="66"/>
  <c r="AH19" i="66"/>
  <c r="AG19" i="66"/>
  <c r="AF19" i="66"/>
  <c r="AE19" i="66"/>
  <c r="AD19" i="66"/>
  <c r="AC19" i="66"/>
  <c r="AB19" i="66"/>
  <c r="AA19" i="66"/>
  <c r="Z19" i="66"/>
  <c r="Y19" i="66"/>
  <c r="X19" i="66"/>
  <c r="W19" i="66"/>
  <c r="V19" i="66"/>
  <c r="U19" i="66"/>
  <c r="T19" i="66"/>
  <c r="S19" i="66"/>
  <c r="R19" i="66"/>
  <c r="Q19" i="66"/>
  <c r="P19" i="66"/>
  <c r="O19" i="66"/>
  <c r="N19" i="66"/>
  <c r="M19" i="66"/>
  <c r="L19" i="66"/>
  <c r="K19" i="66"/>
  <c r="J19" i="66"/>
  <c r="I19" i="66"/>
  <c r="H19" i="66"/>
  <c r="G19" i="66"/>
  <c r="F19" i="66"/>
  <c r="AK17" i="66"/>
  <c r="AK16" i="66"/>
  <c r="AK14" i="66"/>
  <c r="AK13" i="66"/>
  <c r="AK12" i="66"/>
  <c r="AK11" i="66"/>
  <c r="AK10" i="66"/>
  <c r="AK9" i="66"/>
  <c r="AK8" i="66"/>
  <c r="AK7" i="66"/>
  <c r="AK6" i="66"/>
  <c r="AK5" i="66"/>
  <c r="AK40" i="65"/>
  <c r="AK41" i="65"/>
  <c r="AK42" i="65"/>
  <c r="AK43" i="65"/>
  <c r="AK44" i="65"/>
  <c r="AK45" i="65"/>
  <c r="AK46" i="65"/>
  <c r="AK47" i="65"/>
  <c r="D58" i="63"/>
  <c r="P31" i="65"/>
  <c r="D31" i="65"/>
  <c r="D40" i="64"/>
  <c r="D55" i="64"/>
  <c r="AK37" i="65"/>
  <c r="AK38" i="65"/>
  <c r="AK39" i="65"/>
  <c r="AK36" i="65"/>
  <c r="AL22" i="67" l="1"/>
  <c r="AP47" i="67"/>
  <c r="AP50" i="67" s="1"/>
  <c r="AK19" i="66"/>
  <c r="D40" i="66" s="1"/>
  <c r="D28" i="67" s="1"/>
  <c r="D47" i="67" s="1"/>
  <c r="AL47" i="67" s="1"/>
  <c r="AI45" i="66"/>
  <c r="AQ41" i="66"/>
  <c r="AQ42" i="66" s="1"/>
  <c r="AP42" i="66"/>
  <c r="AP43" i="66" s="1"/>
  <c r="P45" i="66"/>
  <c r="D45" i="66"/>
  <c r="V45" i="66"/>
  <c r="AK45" i="66"/>
  <c r="AQ44" i="66"/>
  <c r="AK14" i="65"/>
  <c r="AK17" i="65"/>
  <c r="AK18" i="65"/>
  <c r="AK19" i="65"/>
  <c r="AL19" i="66" l="1"/>
  <c r="AP45" i="66"/>
  <c r="AP48" i="66" s="1"/>
  <c r="AL45" i="66"/>
  <c r="AQ43" i="66"/>
  <c r="AQ45" i="66"/>
  <c r="AQ48" i="66" s="1"/>
  <c r="M65" i="65"/>
  <c r="AQ59" i="65"/>
  <c r="AP58" i="65"/>
  <c r="AJ57" i="65"/>
  <c r="AI57" i="65"/>
  <c r="AH57" i="65"/>
  <c r="AG57" i="65"/>
  <c r="AF57" i="65"/>
  <c r="AE57" i="65"/>
  <c r="AD57" i="65"/>
  <c r="AC57" i="65"/>
  <c r="AB57" i="65"/>
  <c r="AA57" i="65"/>
  <c r="Z57" i="65"/>
  <c r="Y57" i="65"/>
  <c r="X57" i="65"/>
  <c r="W57" i="65"/>
  <c r="U57" i="65"/>
  <c r="T57" i="65"/>
  <c r="S57" i="65"/>
  <c r="R57" i="65"/>
  <c r="Q57" i="65"/>
  <c r="P57" i="65"/>
  <c r="O57" i="65"/>
  <c r="N57" i="65"/>
  <c r="M57" i="65"/>
  <c r="L57" i="65"/>
  <c r="K57" i="65"/>
  <c r="J57" i="65"/>
  <c r="I57" i="65"/>
  <c r="H57" i="65"/>
  <c r="G57" i="65"/>
  <c r="F57" i="65"/>
  <c r="AP56" i="65"/>
  <c r="AP53" i="65"/>
  <c r="AQ52" i="65"/>
  <c r="B52" i="65"/>
  <c r="AQ51" i="65"/>
  <c r="AP51" i="65"/>
  <c r="B50" i="65"/>
  <c r="D50" i="65" s="1"/>
  <c r="V50" i="65" s="1"/>
  <c r="AK50" i="65" s="1"/>
  <c r="AK49" i="65"/>
  <c r="AK48" i="65"/>
  <c r="AK35" i="65"/>
  <c r="AK34" i="65"/>
  <c r="AK33" i="65"/>
  <c r="AK32" i="65"/>
  <c r="AK31" i="65"/>
  <c r="AK30" i="65"/>
  <c r="AK29" i="65"/>
  <c r="AK28" i="65"/>
  <c r="D24" i="65"/>
  <c r="AJ23" i="65"/>
  <c r="AI23" i="65"/>
  <c r="AH23" i="65"/>
  <c r="AG23" i="65"/>
  <c r="AF23" i="65"/>
  <c r="AE23" i="65"/>
  <c r="AD23" i="65"/>
  <c r="AC23" i="65"/>
  <c r="AB23" i="65"/>
  <c r="AA23" i="65"/>
  <c r="Z23" i="65"/>
  <c r="Y23" i="65"/>
  <c r="X23" i="65"/>
  <c r="W23" i="65"/>
  <c r="V23" i="65"/>
  <c r="U23" i="65"/>
  <c r="T23" i="65"/>
  <c r="S23" i="65"/>
  <c r="R23" i="65"/>
  <c r="Q23" i="65"/>
  <c r="P23" i="65"/>
  <c r="N23" i="65"/>
  <c r="M23" i="65"/>
  <c r="L23" i="65"/>
  <c r="K23" i="65"/>
  <c r="J23" i="65"/>
  <c r="I23" i="65"/>
  <c r="H23" i="65"/>
  <c r="G23" i="65"/>
  <c r="F23" i="65"/>
  <c r="AP52" i="65"/>
  <c r="AK21" i="65"/>
  <c r="AK20" i="65"/>
  <c r="AK13" i="65"/>
  <c r="AK12" i="65"/>
  <c r="AK11" i="65"/>
  <c r="AK10" i="65"/>
  <c r="AK9" i="65"/>
  <c r="AK8" i="65"/>
  <c r="AK7" i="65"/>
  <c r="AK6" i="65"/>
  <c r="AK5" i="65"/>
  <c r="AK48" i="64"/>
  <c r="AK49" i="64"/>
  <c r="AK50" i="64"/>
  <c r="AK51" i="64"/>
  <c r="AK52" i="64"/>
  <c r="AK38" i="64"/>
  <c r="AK39" i="64"/>
  <c r="AK40" i="64"/>
  <c r="AK41" i="64"/>
  <c r="AK42" i="64"/>
  <c r="AK43" i="64"/>
  <c r="AK44" i="64"/>
  <c r="AK45" i="64"/>
  <c r="AK46" i="64"/>
  <c r="AK47" i="64"/>
  <c r="M70" i="64"/>
  <c r="AQ64" i="64"/>
  <c r="AP63" i="64"/>
  <c r="AJ62" i="64"/>
  <c r="AI62" i="64"/>
  <c r="AH62" i="64"/>
  <c r="AG62" i="64"/>
  <c r="AF62" i="64"/>
  <c r="AE62" i="64"/>
  <c r="AD62" i="64"/>
  <c r="AC62" i="64"/>
  <c r="AB62" i="64"/>
  <c r="AA62" i="64"/>
  <c r="Z62" i="64"/>
  <c r="Y62" i="64"/>
  <c r="X62" i="64"/>
  <c r="W62" i="64"/>
  <c r="V62" i="64"/>
  <c r="U62" i="64"/>
  <c r="T62" i="64"/>
  <c r="S62" i="64"/>
  <c r="R62" i="64"/>
  <c r="Q62" i="64"/>
  <c r="P62" i="64"/>
  <c r="O62" i="64"/>
  <c r="N62" i="64"/>
  <c r="M62" i="64"/>
  <c r="L62" i="64"/>
  <c r="K62" i="64"/>
  <c r="J62" i="64"/>
  <c r="I62" i="64"/>
  <c r="H62" i="64"/>
  <c r="G62" i="64"/>
  <c r="F62" i="64"/>
  <c r="AP61" i="64"/>
  <c r="AP58" i="64"/>
  <c r="AQ57" i="64"/>
  <c r="AK55" i="64"/>
  <c r="AK54" i="64"/>
  <c r="AK53" i="64"/>
  <c r="AK37" i="64"/>
  <c r="D33" i="64"/>
  <c r="AJ32" i="64"/>
  <c r="AI32" i="64"/>
  <c r="AH32" i="64"/>
  <c r="AG32" i="64"/>
  <c r="AF32" i="64"/>
  <c r="AE32" i="64"/>
  <c r="AD32" i="64"/>
  <c r="AC32" i="64"/>
  <c r="AB32" i="64"/>
  <c r="AA32" i="64"/>
  <c r="Z32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H32" i="64"/>
  <c r="G32" i="64"/>
  <c r="F32" i="64"/>
  <c r="D32" i="64"/>
  <c r="AP57" i="64" s="1"/>
  <c r="AK30" i="64"/>
  <c r="AK29" i="64"/>
  <c r="AK28" i="64"/>
  <c r="AK27" i="64"/>
  <c r="AK26" i="64"/>
  <c r="AK25" i="64"/>
  <c r="AK24" i="64"/>
  <c r="AK23" i="64"/>
  <c r="AK22" i="64"/>
  <c r="AK21" i="64"/>
  <c r="AK20" i="64"/>
  <c r="AK19" i="64"/>
  <c r="AK18" i="64"/>
  <c r="AK17" i="64"/>
  <c r="AK16" i="64"/>
  <c r="AK15" i="64"/>
  <c r="AK14" i="64"/>
  <c r="AK13" i="64"/>
  <c r="AK12" i="64"/>
  <c r="AK11" i="64"/>
  <c r="AK10" i="64"/>
  <c r="AK9" i="64"/>
  <c r="AK8" i="64"/>
  <c r="AK7" i="64"/>
  <c r="AK6" i="64"/>
  <c r="AK5" i="64"/>
  <c r="AK50" i="62"/>
  <c r="AK51" i="62"/>
  <c r="AK52" i="62"/>
  <c r="AK53" i="62"/>
  <c r="AK54" i="62"/>
  <c r="AK59" i="63"/>
  <c r="AK60" i="63"/>
  <c r="AK61" i="63"/>
  <c r="AK62" i="63"/>
  <c r="AK47" i="63"/>
  <c r="AK48" i="63"/>
  <c r="AK49" i="63"/>
  <c r="AK50" i="63"/>
  <c r="AK51" i="63"/>
  <c r="AK52" i="63"/>
  <c r="AK53" i="63"/>
  <c r="AK54" i="63"/>
  <c r="AK55" i="63"/>
  <c r="AK56" i="63"/>
  <c r="AK57" i="63"/>
  <c r="AK58" i="63"/>
  <c r="AK63" i="63"/>
  <c r="AK64" i="63"/>
  <c r="AK38" i="63"/>
  <c r="AK37" i="63"/>
  <c r="AK36" i="63"/>
  <c r="AK35" i="63"/>
  <c r="AK34" i="63"/>
  <c r="AK34" i="62"/>
  <c r="AK35" i="62"/>
  <c r="M79" i="63"/>
  <c r="AQ73" i="63"/>
  <c r="AP72" i="63"/>
  <c r="AJ71" i="63"/>
  <c r="AI71" i="63"/>
  <c r="AH71" i="63"/>
  <c r="AG71" i="63"/>
  <c r="AF71" i="63"/>
  <c r="AE71" i="63"/>
  <c r="AD71" i="63"/>
  <c r="AC71" i="63"/>
  <c r="AB71" i="63"/>
  <c r="AA71" i="63"/>
  <c r="Z71" i="63"/>
  <c r="Y71" i="63"/>
  <c r="X71" i="63"/>
  <c r="W71" i="63"/>
  <c r="V71" i="63"/>
  <c r="U71" i="63"/>
  <c r="T71" i="63"/>
  <c r="S71" i="63"/>
  <c r="R71" i="63"/>
  <c r="Q71" i="63"/>
  <c r="P71" i="63"/>
  <c r="O71" i="63"/>
  <c r="N71" i="63"/>
  <c r="M71" i="63"/>
  <c r="L71" i="63"/>
  <c r="K71" i="63"/>
  <c r="J71" i="63"/>
  <c r="I71" i="63"/>
  <c r="H71" i="63"/>
  <c r="G71" i="63"/>
  <c r="AP70" i="63"/>
  <c r="AP67" i="63"/>
  <c r="AQ66" i="63"/>
  <c r="B66" i="63"/>
  <c r="B64" i="63"/>
  <c r="D64" i="63" s="1"/>
  <c r="AK46" i="63"/>
  <c r="AJ41" i="63"/>
  <c r="AI41" i="63"/>
  <c r="AH41" i="63"/>
  <c r="AG41" i="63"/>
  <c r="AF41" i="63"/>
  <c r="AE41" i="63"/>
  <c r="AD41" i="63"/>
  <c r="AC41" i="63"/>
  <c r="AB41" i="63"/>
  <c r="AA41" i="63"/>
  <c r="Z41" i="63"/>
  <c r="Y41" i="63"/>
  <c r="X41" i="63"/>
  <c r="W41" i="63"/>
  <c r="V41" i="63"/>
  <c r="U41" i="63"/>
  <c r="T41" i="63"/>
  <c r="S41" i="63"/>
  <c r="R41" i="63"/>
  <c r="Q41" i="63"/>
  <c r="P41" i="63"/>
  <c r="O41" i="63"/>
  <c r="N41" i="63"/>
  <c r="M41" i="63"/>
  <c r="L41" i="63"/>
  <c r="K41" i="63"/>
  <c r="J41" i="63"/>
  <c r="I41" i="63"/>
  <c r="H41" i="63"/>
  <c r="G41" i="63"/>
  <c r="F41" i="63"/>
  <c r="AK39" i="63"/>
  <c r="AK33" i="63"/>
  <c r="AK32" i="63"/>
  <c r="AK31" i="63"/>
  <c r="AK30" i="63"/>
  <c r="AK29" i="63"/>
  <c r="AK28" i="63"/>
  <c r="AK27" i="63"/>
  <c r="AK26" i="63"/>
  <c r="AK25" i="63"/>
  <c r="AK24" i="63"/>
  <c r="AK23" i="63"/>
  <c r="AK22" i="63"/>
  <c r="AK21" i="63"/>
  <c r="AK20" i="63"/>
  <c r="AK19" i="63"/>
  <c r="AK18" i="63"/>
  <c r="AK17" i="63"/>
  <c r="AK16" i="63"/>
  <c r="AK15" i="63"/>
  <c r="AK14" i="63"/>
  <c r="AK13" i="63"/>
  <c r="AK12" i="63"/>
  <c r="AK11" i="63"/>
  <c r="AK10" i="63"/>
  <c r="AK9" i="63"/>
  <c r="AK8" i="63"/>
  <c r="AK7" i="63"/>
  <c r="AK6" i="63"/>
  <c r="AK5" i="63"/>
  <c r="AK29" i="62"/>
  <c r="AK30" i="62"/>
  <c r="AK31" i="62"/>
  <c r="AK32" i="62"/>
  <c r="AK33" i="62"/>
  <c r="AK36" i="62"/>
  <c r="AK37" i="62"/>
  <c r="AP65" i="62"/>
  <c r="AP63" i="62"/>
  <c r="AP60" i="62"/>
  <c r="AQ59" i="62"/>
  <c r="AM45" i="66" l="1"/>
  <c r="V57" i="65"/>
  <c r="AK57" i="65"/>
  <c r="AQ53" i="65"/>
  <c r="AQ54" i="65" s="1"/>
  <c r="AQ55" i="65" s="1"/>
  <c r="AP54" i="65"/>
  <c r="AP57" i="65" s="1"/>
  <c r="AP60" i="65" s="1"/>
  <c r="AQ56" i="65"/>
  <c r="AP59" i="64"/>
  <c r="AP60" i="64" s="1"/>
  <c r="AK32" i="64"/>
  <c r="D54" i="64" s="1"/>
  <c r="AK62" i="64"/>
  <c r="D42" i="63"/>
  <c r="D41" i="63"/>
  <c r="AP66" i="63" s="1"/>
  <c r="AP68" i="63" s="1"/>
  <c r="AP69" i="63" s="1"/>
  <c r="F71" i="63"/>
  <c r="AK41" i="63"/>
  <c r="D63" i="63" s="1"/>
  <c r="D71" i="63" s="1"/>
  <c r="AK71" i="63"/>
  <c r="AK24" i="62"/>
  <c r="AK25" i="62"/>
  <c r="AK26" i="62"/>
  <c r="AK27" i="62"/>
  <c r="AK28" i="62"/>
  <c r="D62" i="64" l="1"/>
  <c r="D29" i="65"/>
  <c r="AP55" i="65"/>
  <c r="AQ57" i="65"/>
  <c r="AQ60" i="65" s="1"/>
  <c r="AP62" i="64"/>
  <c r="AP65" i="64" s="1"/>
  <c r="AL32" i="64"/>
  <c r="AL62" i="64"/>
  <c r="AL71" i="63"/>
  <c r="AP71" i="63"/>
  <c r="AP74" i="63" s="1"/>
  <c r="AL41" i="63"/>
  <c r="D36" i="60"/>
  <c r="D31" i="61"/>
  <c r="M72" i="62"/>
  <c r="AQ66" i="62"/>
  <c r="AJ64" i="62"/>
  <c r="AI64" i="62"/>
  <c r="AH64" i="62"/>
  <c r="AF64" i="62"/>
  <c r="AE64" i="62"/>
  <c r="AD64" i="62"/>
  <c r="AC64" i="62"/>
  <c r="AB64" i="62"/>
  <c r="AA64" i="62"/>
  <c r="Z64" i="62"/>
  <c r="Y64" i="62"/>
  <c r="X64" i="62"/>
  <c r="W64" i="62"/>
  <c r="V64" i="62"/>
  <c r="U64" i="62"/>
  <c r="T64" i="62"/>
  <c r="S64" i="62"/>
  <c r="R64" i="62"/>
  <c r="Q64" i="62"/>
  <c r="P64" i="62"/>
  <c r="O64" i="62"/>
  <c r="N64" i="62"/>
  <c r="M64" i="62"/>
  <c r="L64" i="62"/>
  <c r="J64" i="62"/>
  <c r="I64" i="62"/>
  <c r="H64" i="62"/>
  <c r="G64" i="62"/>
  <c r="F64" i="62"/>
  <c r="B59" i="62"/>
  <c r="B57" i="62"/>
  <c r="D57" i="62" s="1"/>
  <c r="AK56" i="62"/>
  <c r="AK55" i="62"/>
  <c r="AK49" i="62"/>
  <c r="AK48" i="62"/>
  <c r="AK47" i="62"/>
  <c r="AK46" i="62"/>
  <c r="K64" i="62"/>
  <c r="AK45" i="62"/>
  <c r="AK44" i="62"/>
  <c r="AJ39" i="62"/>
  <c r="AI39" i="62"/>
  <c r="AH39" i="62"/>
  <c r="AG39" i="62"/>
  <c r="AF39" i="62"/>
  <c r="AE39" i="62"/>
  <c r="AD39" i="62"/>
  <c r="AC39" i="62"/>
  <c r="AB39" i="62"/>
  <c r="AA39" i="62"/>
  <c r="Z39" i="62"/>
  <c r="Y39" i="62"/>
  <c r="X39" i="62"/>
  <c r="W39" i="62"/>
  <c r="V39" i="62"/>
  <c r="U39" i="62"/>
  <c r="T39" i="62"/>
  <c r="S39" i="62"/>
  <c r="R39" i="62"/>
  <c r="Q39" i="62"/>
  <c r="P39" i="62"/>
  <c r="O39" i="62"/>
  <c r="N39" i="62"/>
  <c r="M39" i="62"/>
  <c r="L39" i="62"/>
  <c r="K39" i="62"/>
  <c r="J39" i="62"/>
  <c r="I39" i="62"/>
  <c r="H39" i="62"/>
  <c r="G39" i="62"/>
  <c r="F39" i="62"/>
  <c r="AK23" i="62"/>
  <c r="AK22" i="62"/>
  <c r="AK21" i="62"/>
  <c r="AK20" i="62"/>
  <c r="AK19" i="62"/>
  <c r="AK18" i="62"/>
  <c r="AK17" i="62"/>
  <c r="AK16" i="62"/>
  <c r="AK15" i="62"/>
  <c r="AK14" i="62"/>
  <c r="AK13" i="62"/>
  <c r="AK12" i="62"/>
  <c r="AK11" i="62"/>
  <c r="AK10" i="62"/>
  <c r="AK9" i="62"/>
  <c r="AK8" i="62"/>
  <c r="AK7" i="62"/>
  <c r="AK6" i="62"/>
  <c r="AK5" i="62"/>
  <c r="AK23" i="61"/>
  <c r="AK24" i="61"/>
  <c r="AK25" i="61"/>
  <c r="AK26" i="61"/>
  <c r="AG44" i="61"/>
  <c r="AG43" i="61"/>
  <c r="AG42" i="61"/>
  <c r="AG39" i="61"/>
  <c r="AK38" i="61"/>
  <c r="AK56" i="61"/>
  <c r="AK57" i="61"/>
  <c r="AK58" i="61"/>
  <c r="AK59" i="61"/>
  <c r="AK60" i="61"/>
  <c r="AK61" i="61"/>
  <c r="AK39" i="62" l="1"/>
  <c r="D56" i="62" s="1"/>
  <c r="D64" i="62" s="1"/>
  <c r="AG64" i="62"/>
  <c r="AK64" i="62"/>
  <c r="D167" i="4"/>
  <c r="D166" i="4"/>
  <c r="G164" i="4"/>
  <c r="G165" i="4" s="1"/>
  <c r="J103" i="4"/>
  <c r="J104" i="4" s="1"/>
  <c r="D97" i="4"/>
  <c r="D78" i="4"/>
  <c r="D70" i="4"/>
  <c r="G70" i="4" s="1"/>
  <c r="D69" i="4"/>
  <c r="G69" i="4" s="1"/>
  <c r="G68" i="4"/>
  <c r="G67" i="4"/>
  <c r="G66" i="4"/>
  <c r="G65" i="4"/>
  <c r="G64" i="4"/>
  <c r="D63" i="4"/>
  <c r="G63" i="4" s="1"/>
  <c r="D62" i="4"/>
  <c r="G62" i="4" s="1"/>
  <c r="D59" i="4"/>
  <c r="G59" i="4" s="1"/>
  <c r="G58" i="4"/>
  <c r="D57" i="4"/>
  <c r="G57" i="4" s="1"/>
  <c r="G56" i="4"/>
  <c r="D55" i="4"/>
  <c r="G55" i="4" s="1"/>
  <c r="G54" i="4"/>
  <c r="G53" i="4"/>
  <c r="D52" i="4"/>
  <c r="G52" i="4" s="1"/>
  <c r="G51" i="4"/>
  <c r="D50" i="4"/>
  <c r="G50" i="4" s="1"/>
  <c r="D49" i="4"/>
  <c r="G49" i="4" s="1"/>
  <c r="D48" i="4"/>
  <c r="G48" i="4" s="1"/>
  <c r="D47" i="4"/>
  <c r="G47" i="4" s="1"/>
  <c r="D46" i="4"/>
  <c r="G46" i="4" s="1"/>
  <c r="G45" i="4"/>
  <c r="D45" i="4"/>
  <c r="D44" i="4"/>
  <c r="G44" i="4" s="1"/>
  <c r="D43" i="4"/>
  <c r="G43" i="4" s="1"/>
  <c r="G38" i="4"/>
  <c r="A38" i="4"/>
  <c r="G37" i="4"/>
  <c r="A37" i="4"/>
  <c r="G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G40" i="4" s="1"/>
  <c r="A28" i="4"/>
  <c r="F20" i="4"/>
  <c r="F19" i="4"/>
  <c r="F21" i="4" s="1"/>
  <c r="F22" i="4" s="1"/>
  <c r="F16" i="4"/>
  <c r="F17" i="4" s="1"/>
  <c r="F18" i="4" s="1"/>
  <c r="D16" i="4"/>
  <c r="D15" i="4"/>
  <c r="F15" i="4" s="1"/>
  <c r="C13" i="4"/>
  <c r="C11" i="4"/>
  <c r="C10" i="4"/>
  <c r="E9" i="4"/>
  <c r="D9" i="4"/>
  <c r="A9" i="4"/>
  <c r="A10" i="4" s="1"/>
  <c r="B6" i="4"/>
  <c r="C6" i="4" s="1"/>
  <c r="D6" i="4" s="1"/>
  <c r="E19" i="17"/>
  <c r="D19" i="17"/>
  <c r="C19" i="17"/>
  <c r="G19" i="17" s="1"/>
  <c r="F18" i="17"/>
  <c r="E18" i="17"/>
  <c r="D18" i="17"/>
  <c r="C18" i="17"/>
  <c r="G18" i="17" s="1"/>
  <c r="F16" i="17"/>
  <c r="E16" i="17"/>
  <c r="E17" i="17" s="1"/>
  <c r="E20" i="17" s="1"/>
  <c r="D16" i="17"/>
  <c r="D17" i="17" s="1"/>
  <c r="D20" i="17" s="1"/>
  <c r="C16" i="17"/>
  <c r="F13" i="17"/>
  <c r="E13" i="17"/>
  <c r="D13" i="17"/>
  <c r="C13" i="17"/>
  <c r="G9" i="17"/>
  <c r="G8" i="17"/>
  <c r="G7" i="17"/>
  <c r="G6" i="17"/>
  <c r="G5" i="17"/>
  <c r="B40" i="6"/>
  <c r="B42" i="6" s="1"/>
  <c r="C42" i="6" s="1"/>
  <c r="B39" i="6"/>
  <c r="B29" i="6"/>
  <c r="B21" i="6"/>
  <c r="S20" i="6"/>
  <c r="R20" i="6"/>
  <c r="D20" i="6"/>
  <c r="S16" i="6"/>
  <c r="R16" i="6"/>
  <c r="D16" i="6"/>
  <c r="D15" i="6"/>
  <c r="S14" i="6"/>
  <c r="R14" i="6"/>
  <c r="D14" i="6"/>
  <c r="S12" i="6"/>
  <c r="R12" i="6"/>
  <c r="D12" i="6"/>
  <c r="D10" i="6"/>
  <c r="S8" i="6"/>
  <c r="R8" i="6"/>
  <c r="D8" i="6"/>
  <c r="R22" i="6" s="1"/>
  <c r="G5" i="6"/>
  <c r="R27" i="6" s="1"/>
  <c r="D5" i="6"/>
  <c r="D88" i="13"/>
  <c r="D87" i="13"/>
  <c r="D84" i="13"/>
  <c r="D83" i="13"/>
  <c r="D77" i="13"/>
  <c r="D74" i="13"/>
  <c r="D72" i="13"/>
  <c r="D69" i="13"/>
  <c r="D68" i="13"/>
  <c r="D65" i="13"/>
  <c r="B56" i="13"/>
  <c r="D55" i="13"/>
  <c r="G55" i="13" s="1"/>
  <c r="D54" i="13"/>
  <c r="G54" i="13" s="1"/>
  <c r="G53" i="13"/>
  <c r="G52" i="13"/>
  <c r="G51" i="13"/>
  <c r="G50" i="13"/>
  <c r="D49" i="13"/>
  <c r="G49" i="13" s="1"/>
  <c r="G48" i="13"/>
  <c r="D47" i="13"/>
  <c r="G47" i="13" s="1"/>
  <c r="D46" i="13"/>
  <c r="G46" i="13" s="1"/>
  <c r="G45" i="13"/>
  <c r="D44" i="13"/>
  <c r="G44" i="13" s="1"/>
  <c r="G43" i="13"/>
  <c r="G42" i="13"/>
  <c r="D42" i="13"/>
  <c r="G41" i="13"/>
  <c r="G40" i="13"/>
  <c r="G39" i="13"/>
  <c r="D39" i="13"/>
  <c r="D38" i="13"/>
  <c r="G38" i="13" s="1"/>
  <c r="G37" i="13"/>
  <c r="D37" i="13"/>
  <c r="D36" i="13"/>
  <c r="D35" i="13"/>
  <c r="G35" i="13" s="1"/>
  <c r="D34" i="13"/>
  <c r="D33" i="13"/>
  <c r="G33" i="13" s="1"/>
  <c r="D32" i="13"/>
  <c r="G31" i="13"/>
  <c r="D31" i="13"/>
  <c r="G30" i="13"/>
  <c r="F21" i="13"/>
  <c r="E4" i="13" s="1"/>
  <c r="E5" i="13" s="1"/>
  <c r="E6" i="13" s="1"/>
  <c r="F20" i="13"/>
  <c r="E13" i="13"/>
  <c r="E14" i="13" s="1"/>
  <c r="E3" i="13"/>
  <c r="G42" i="11"/>
  <c r="G41" i="11"/>
  <c r="D40" i="11"/>
  <c r="E7" i="11" s="1"/>
  <c r="D39" i="11"/>
  <c r="G39" i="11" s="1"/>
  <c r="D38" i="11"/>
  <c r="G38" i="11" s="1"/>
  <c r="D37" i="11"/>
  <c r="G37" i="11" s="1"/>
  <c r="G36" i="11"/>
  <c r="D36" i="11"/>
  <c r="D35" i="11"/>
  <c r="G35" i="11" s="1"/>
  <c r="G34" i="11"/>
  <c r="D34" i="11"/>
  <c r="D33" i="11"/>
  <c r="G33" i="11" s="1"/>
  <c r="G30" i="11"/>
  <c r="I29" i="11"/>
  <c r="G29" i="11"/>
  <c r="G28" i="11"/>
  <c r="F21" i="11"/>
  <c r="F20" i="11"/>
  <c r="E4" i="11" s="1"/>
  <c r="E11" i="11"/>
  <c r="E3" i="11"/>
  <c r="D63" i="10"/>
  <c r="B55" i="10"/>
  <c r="D54" i="10"/>
  <c r="G54" i="10" s="1"/>
  <c r="D53" i="10"/>
  <c r="G53" i="10" s="1"/>
  <c r="D52" i="10"/>
  <c r="G52" i="10" s="1"/>
  <c r="D51" i="10"/>
  <c r="G50" i="10"/>
  <c r="D50" i="10"/>
  <c r="D49" i="10"/>
  <c r="D48" i="10"/>
  <c r="G47" i="10"/>
  <c r="D47" i="10"/>
  <c r="G44" i="10"/>
  <c r="D44" i="10"/>
  <c r="D43" i="10"/>
  <c r="G42" i="10"/>
  <c r="D42" i="10"/>
  <c r="G40" i="10"/>
  <c r="D40" i="10"/>
  <c r="G39" i="10"/>
  <c r="D39" i="10"/>
  <c r="G38" i="10"/>
  <c r="D38" i="10"/>
  <c r="G37" i="10"/>
  <c r="D37" i="10"/>
  <c r="G36" i="10"/>
  <c r="D36" i="10"/>
  <c r="G35" i="10"/>
  <c r="D35" i="10"/>
  <c r="G34" i="10"/>
  <c r="D34" i="10"/>
  <c r="G33" i="10"/>
  <c r="D33" i="10"/>
  <c r="G32" i="10"/>
  <c r="D32" i="10"/>
  <c r="D31" i="10"/>
  <c r="G31" i="10" s="1"/>
  <c r="G30" i="10"/>
  <c r="D30" i="10"/>
  <c r="D29" i="10"/>
  <c r="G29" i="10" s="1"/>
  <c r="G28" i="10"/>
  <c r="G59" i="10" s="1"/>
  <c r="D28" i="10"/>
  <c r="F24" i="10"/>
  <c r="F23" i="10"/>
  <c r="F22" i="10"/>
  <c r="E4" i="10" s="1"/>
  <c r="F21" i="10"/>
  <c r="F20" i="10"/>
  <c r="E11" i="10"/>
  <c r="E7" i="10"/>
  <c r="E3" i="10"/>
  <c r="D57" i="7"/>
  <c r="D52" i="7"/>
  <c r="D51" i="7"/>
  <c r="G50" i="7"/>
  <c r="D50" i="7"/>
  <c r="D49" i="7"/>
  <c r="D48" i="7"/>
  <c r="G47" i="7"/>
  <c r="D47" i="7"/>
  <c r="G44" i="7"/>
  <c r="D44" i="7"/>
  <c r="D43" i="7"/>
  <c r="G42" i="7"/>
  <c r="D42" i="7"/>
  <c r="G40" i="7"/>
  <c r="D40" i="7"/>
  <c r="G39" i="7"/>
  <c r="D39" i="7"/>
  <c r="G38" i="7"/>
  <c r="D38" i="7"/>
  <c r="G37" i="7"/>
  <c r="D37" i="7"/>
  <c r="G36" i="7"/>
  <c r="D36" i="7"/>
  <c r="G35" i="7"/>
  <c r="D35" i="7"/>
  <c r="G34" i="7"/>
  <c r="D34" i="7"/>
  <c r="G33" i="7"/>
  <c r="D33" i="7"/>
  <c r="G32" i="7"/>
  <c r="D32" i="7"/>
  <c r="D31" i="7"/>
  <c r="G31" i="7" s="1"/>
  <c r="G30" i="7"/>
  <c r="D30" i="7"/>
  <c r="D29" i="7"/>
  <c r="G29" i="7" s="1"/>
  <c r="D28" i="7"/>
  <c r="E11" i="7"/>
  <c r="G4" i="7"/>
  <c r="E3" i="7"/>
  <c r="D58" i="7" s="1"/>
  <c r="L46" i="16"/>
  <c r="M45" i="16"/>
  <c r="O45" i="16" s="1"/>
  <c r="O44" i="16"/>
  <c r="M44" i="16"/>
  <c r="O43" i="16" s="1"/>
  <c r="M43" i="16"/>
  <c r="E40" i="16"/>
  <c r="N36" i="16"/>
  <c r="E34" i="16"/>
  <c r="N32" i="16"/>
  <c r="F32" i="16"/>
  <c r="I18" i="16"/>
  <c r="N17" i="16"/>
  <c r="N21" i="16" s="1"/>
  <c r="H17" i="16"/>
  <c r="I17" i="16" s="1"/>
  <c r="F17" i="16"/>
  <c r="F21" i="16" s="1"/>
  <c r="E11" i="16"/>
  <c r="D11" i="16"/>
  <c r="E22" i="26"/>
  <c r="C9" i="26"/>
  <c r="D9" i="26" s="1"/>
  <c r="D11" i="26" s="1"/>
  <c r="I7" i="26"/>
  <c r="H7" i="26"/>
  <c r="F7" i="26"/>
  <c r="J6" i="26"/>
  <c r="G6" i="26"/>
  <c r="D6" i="26"/>
  <c r="G108" i="8"/>
  <c r="F108" i="8"/>
  <c r="D108" i="8"/>
  <c r="G107" i="8"/>
  <c r="D107" i="8"/>
  <c r="G106" i="8"/>
  <c r="F104" i="8"/>
  <c r="G103" i="8"/>
  <c r="G101" i="8"/>
  <c r="H99" i="8"/>
  <c r="G98" i="8"/>
  <c r="D98" i="8"/>
  <c r="G97" i="8"/>
  <c r="D97" i="8"/>
  <c r="L97" i="8" s="1"/>
  <c r="D96" i="8"/>
  <c r="L96" i="8" s="1"/>
  <c r="D95" i="8"/>
  <c r="L95" i="8" s="1"/>
  <c r="D94" i="8"/>
  <c r="L94" i="8" s="1"/>
  <c r="L93" i="8"/>
  <c r="D93" i="8"/>
  <c r="C89" i="8"/>
  <c r="E89" i="8" s="1"/>
  <c r="E88" i="8"/>
  <c r="C88" i="8"/>
  <c r="H87" i="8"/>
  <c r="C87" i="8"/>
  <c r="E87" i="8" s="1"/>
  <c r="F84" i="8"/>
  <c r="E84" i="8"/>
  <c r="F83" i="8"/>
  <c r="E83" i="8"/>
  <c r="F82" i="8"/>
  <c r="E82" i="8"/>
  <c r="F81" i="8"/>
  <c r="E81" i="8"/>
  <c r="E80" i="8"/>
  <c r="C80" i="8"/>
  <c r="F79" i="8"/>
  <c r="E78" i="8"/>
  <c r="L77" i="8"/>
  <c r="H77" i="8"/>
  <c r="H78" i="8" s="1"/>
  <c r="L76" i="8"/>
  <c r="E75" i="8"/>
  <c r="L75" i="8" s="1"/>
  <c r="L74" i="8"/>
  <c r="E74" i="8"/>
  <c r="L73" i="8"/>
  <c r="L72" i="8"/>
  <c r="L71" i="8"/>
  <c r="E71" i="8"/>
  <c r="E70" i="8"/>
  <c r="L70" i="8" s="1"/>
  <c r="E63" i="8"/>
  <c r="E62" i="8"/>
  <c r="E60" i="8"/>
  <c r="E59" i="8"/>
  <c r="E58" i="8"/>
  <c r="E56" i="8"/>
  <c r="K55" i="8"/>
  <c r="K54" i="8"/>
  <c r="K53" i="8"/>
  <c r="K50" i="8"/>
  <c r="K49" i="8"/>
  <c r="E49" i="8"/>
  <c r="K48" i="8"/>
  <c r="E48" i="8"/>
  <c r="K47" i="8"/>
  <c r="K46" i="8"/>
  <c r="E46" i="8"/>
  <c r="E52" i="8" s="1"/>
  <c r="K45" i="8"/>
  <c r="K43" i="8"/>
  <c r="K42" i="8"/>
  <c r="K41" i="8"/>
  <c r="K40" i="8"/>
  <c r="K39" i="8"/>
  <c r="E39" i="8"/>
  <c r="E42" i="8" s="1"/>
  <c r="K38" i="8"/>
  <c r="K37" i="8"/>
  <c r="E36" i="8"/>
  <c r="K35" i="8"/>
  <c r="K34" i="8"/>
  <c r="K33" i="8"/>
  <c r="K32" i="8"/>
  <c r="K29" i="8"/>
  <c r="E29" i="8"/>
  <c r="K27" i="8"/>
  <c r="K26" i="8"/>
  <c r="E26" i="8"/>
  <c r="E32" i="8" s="1"/>
  <c r="K25" i="8"/>
  <c r="K24" i="8"/>
  <c r="K23" i="8"/>
  <c r="K22" i="8"/>
  <c r="K21" i="8"/>
  <c r="E19" i="8"/>
  <c r="E18" i="8"/>
  <c r="H17" i="8"/>
  <c r="E17" i="8"/>
  <c r="I16" i="8"/>
  <c r="E16" i="8"/>
  <c r="E14" i="8"/>
  <c r="E8" i="8"/>
  <c r="E20" i="8" s="1"/>
  <c r="E7" i="8"/>
  <c r="H5" i="8"/>
  <c r="E5" i="8"/>
  <c r="E12" i="8" s="1"/>
  <c r="F12" i="8" s="1"/>
  <c r="E4" i="8"/>
  <c r="N101" i="33"/>
  <c r="O101" i="33" s="1"/>
  <c r="N100" i="33"/>
  <c r="O100" i="33" s="1"/>
  <c r="N99" i="33"/>
  <c r="O99" i="33" s="1"/>
  <c r="N98" i="33"/>
  <c r="O98" i="33" s="1"/>
  <c r="Q97" i="33"/>
  <c r="R97" i="33" s="1"/>
  <c r="O97" i="33"/>
  <c r="N97" i="33"/>
  <c r="B90" i="33"/>
  <c r="C89" i="33"/>
  <c r="B83" i="33"/>
  <c r="B82" i="33"/>
  <c r="L74" i="33"/>
  <c r="C71" i="33"/>
  <c r="C69" i="33"/>
  <c r="B65" i="33"/>
  <c r="AH62" i="33"/>
  <c r="AG62" i="33"/>
  <c r="AO61" i="33"/>
  <c r="AN61" i="33"/>
  <c r="AM61" i="33"/>
  <c r="AL61" i="33"/>
  <c r="AJ61" i="33"/>
  <c r="AI61" i="33"/>
  <c r="AH61" i="33"/>
  <c r="AG61" i="33"/>
  <c r="AF61" i="33"/>
  <c r="AF65" i="33" s="1"/>
  <c r="AG65" i="33" s="1"/>
  <c r="AH65" i="33" s="1"/>
  <c r="AI65" i="33" s="1"/>
  <c r="AJ65" i="33" s="1"/>
  <c r="AO60" i="33"/>
  <c r="AN60" i="33"/>
  <c r="AM60" i="33"/>
  <c r="AL60" i="33"/>
  <c r="AH60" i="33"/>
  <c r="AG60" i="33"/>
  <c r="AF60" i="33"/>
  <c r="AD60" i="33"/>
  <c r="AC60" i="33"/>
  <c r="AC64" i="33" s="1"/>
  <c r="AO59" i="33"/>
  <c r="AN59" i="33"/>
  <c r="AM59" i="33"/>
  <c r="AL59" i="33"/>
  <c r="AK59" i="33"/>
  <c r="AJ59" i="33"/>
  <c r="AI59" i="33"/>
  <c r="AH59" i="33"/>
  <c r="AG59" i="33"/>
  <c r="AF59" i="33"/>
  <c r="AE59" i="33"/>
  <c r="AD59" i="33"/>
  <c r="AC59" i="33"/>
  <c r="AB59" i="33"/>
  <c r="AA59" i="33"/>
  <c r="Z59" i="33"/>
  <c r="Y59" i="33"/>
  <c r="X59" i="33"/>
  <c r="X63" i="33" s="1"/>
  <c r="Y63" i="33" s="1"/>
  <c r="Z63" i="33" s="1"/>
  <c r="AA63" i="33" s="1"/>
  <c r="AB63" i="33" s="1"/>
  <c r="AC63" i="33" s="1"/>
  <c r="AD63" i="33" s="1"/>
  <c r="AE63" i="33" s="1"/>
  <c r="AF63" i="33" s="1"/>
  <c r="AG63" i="33" s="1"/>
  <c r="AH63" i="33" s="1"/>
  <c r="AI63" i="33" s="1"/>
  <c r="AJ63" i="33" s="1"/>
  <c r="AK63" i="33" s="1"/>
  <c r="AL63" i="33" s="1"/>
  <c r="AO57" i="33"/>
  <c r="AN57" i="33"/>
  <c r="AL57" i="33"/>
  <c r="AH57" i="33"/>
  <c r="AG57" i="33"/>
  <c r="AF57" i="33"/>
  <c r="AD57" i="33"/>
  <c r="AC57" i="33"/>
  <c r="AB57" i="33"/>
  <c r="AA57" i="33"/>
  <c r="Z57" i="33"/>
  <c r="Y57" i="33"/>
  <c r="X57" i="33"/>
  <c r="X58" i="33" s="1"/>
  <c r="AI48" i="33"/>
  <c r="F45" i="33"/>
  <c r="F42" i="33"/>
  <c r="B41" i="33"/>
  <c r="C33" i="33"/>
  <c r="AJ32" i="33"/>
  <c r="AJ34" i="33" s="1"/>
  <c r="AB32" i="33"/>
  <c r="AB34" i="33" s="1"/>
  <c r="AL31" i="33"/>
  <c r="AK31" i="33"/>
  <c r="AJ31" i="33"/>
  <c r="AI31" i="33"/>
  <c r="AH31" i="33"/>
  <c r="AG31" i="33"/>
  <c r="AF31" i="33"/>
  <c r="AE31" i="33"/>
  <c r="AD31" i="33"/>
  <c r="AC31" i="33"/>
  <c r="AB31" i="33"/>
  <c r="B31" i="33"/>
  <c r="AL30" i="33"/>
  <c r="AL32" i="33" s="1"/>
  <c r="AK30" i="33"/>
  <c r="AK32" i="33" s="1"/>
  <c r="AK34" i="33" s="1"/>
  <c r="AJ30" i="33"/>
  <c r="AI30" i="33"/>
  <c r="AI32" i="33" s="1"/>
  <c r="AI34" i="33" s="1"/>
  <c r="AH30" i="33"/>
  <c r="AH32" i="33" s="1"/>
  <c r="AH34" i="33" s="1"/>
  <c r="AG30" i="33"/>
  <c r="AG32" i="33" s="1"/>
  <c r="AG34" i="33" s="1"/>
  <c r="AF30" i="33"/>
  <c r="AF32" i="33" s="1"/>
  <c r="AF34" i="33" s="1"/>
  <c r="AE30" i="33"/>
  <c r="AE32" i="33" s="1"/>
  <c r="AE34" i="33" s="1"/>
  <c r="AD30" i="33"/>
  <c r="AD32" i="33" s="1"/>
  <c r="AD34" i="33" s="1"/>
  <c r="AC30" i="33"/>
  <c r="AC32" i="33" s="1"/>
  <c r="AC34" i="33" s="1"/>
  <c r="AB30" i="33"/>
  <c r="AA30" i="33"/>
  <c r="AA32" i="33" s="1"/>
  <c r="AA34" i="33" s="1"/>
  <c r="Z30" i="33"/>
  <c r="Z32" i="33" s="1"/>
  <c r="Z34" i="33" s="1"/>
  <c r="Y30" i="33"/>
  <c r="Y32" i="33" s="1"/>
  <c r="Y34" i="33" s="1"/>
  <c r="X30" i="33"/>
  <c r="X32" i="33" s="1"/>
  <c r="X34" i="33" s="1"/>
  <c r="S30" i="33"/>
  <c r="S32" i="33" s="1"/>
  <c r="S34" i="33" s="1"/>
  <c r="R30" i="33"/>
  <c r="R32" i="33" s="1"/>
  <c r="R34" i="33" s="1"/>
  <c r="Q30" i="33"/>
  <c r="Q32" i="33" s="1"/>
  <c r="Q34" i="33" s="1"/>
  <c r="B25" i="33"/>
  <c r="C18" i="33"/>
  <c r="C10" i="33"/>
  <c r="C15" i="33" s="1"/>
  <c r="AI9" i="33"/>
  <c r="AI11" i="33" s="1"/>
  <c r="AH9" i="33"/>
  <c r="AH11" i="33" s="1"/>
  <c r="AG9" i="33"/>
  <c r="AG11" i="33" s="1"/>
  <c r="AF9" i="33"/>
  <c r="AF11" i="33" s="1"/>
  <c r="AE9" i="33"/>
  <c r="AE11" i="33" s="1"/>
  <c r="AD9" i="33"/>
  <c r="AD11" i="33" s="1"/>
  <c r="AC9" i="33"/>
  <c r="AC11" i="33" s="1"/>
  <c r="AB9" i="33"/>
  <c r="AB11" i="33" s="1"/>
  <c r="M79" i="61"/>
  <c r="AQ73" i="61"/>
  <c r="AP72" i="61"/>
  <c r="AJ71" i="61"/>
  <c r="AI71" i="61"/>
  <c r="AH71" i="61"/>
  <c r="AG71" i="61"/>
  <c r="AF71" i="61"/>
  <c r="AE71" i="61"/>
  <c r="AD71" i="61"/>
  <c r="AC71" i="61"/>
  <c r="AB71" i="61"/>
  <c r="AA71" i="61"/>
  <c r="Z71" i="61"/>
  <c r="Y71" i="61"/>
  <c r="X71" i="61"/>
  <c r="W71" i="61"/>
  <c r="V71" i="61"/>
  <c r="U71" i="61"/>
  <c r="T71" i="61"/>
  <c r="S71" i="61"/>
  <c r="R71" i="61"/>
  <c r="Q71" i="61"/>
  <c r="P71" i="61"/>
  <c r="O71" i="61"/>
  <c r="N71" i="61"/>
  <c r="M71" i="61"/>
  <c r="L71" i="61"/>
  <c r="J71" i="61"/>
  <c r="I71" i="61"/>
  <c r="H71" i="61"/>
  <c r="G71" i="61"/>
  <c r="F71" i="61"/>
  <c r="AP70" i="61"/>
  <c r="AK69" i="61"/>
  <c r="AK68" i="61"/>
  <c r="AP67" i="61"/>
  <c r="AK67" i="61"/>
  <c r="AQ66" i="61"/>
  <c r="AK66" i="61"/>
  <c r="B66" i="61"/>
  <c r="AK65" i="61"/>
  <c r="AK64" i="61"/>
  <c r="B64" i="61"/>
  <c r="D64" i="61" s="1"/>
  <c r="AK63" i="61"/>
  <c r="AK62" i="61"/>
  <c r="AK55" i="61"/>
  <c r="AK54" i="61"/>
  <c r="AK53" i="61"/>
  <c r="AK52" i="61"/>
  <c r="AK51" i="61"/>
  <c r="AK50" i="61"/>
  <c r="K49" i="61"/>
  <c r="K71" i="61" s="1"/>
  <c r="D49" i="61"/>
  <c r="AK48" i="61"/>
  <c r="AK47" i="61"/>
  <c r="AK46" i="61"/>
  <c r="AK45" i="61"/>
  <c r="AK44" i="61"/>
  <c r="D44" i="61"/>
  <c r="AK43" i="61"/>
  <c r="D43" i="61"/>
  <c r="AK42" i="61"/>
  <c r="D42" i="61"/>
  <c r="AK41" i="61"/>
  <c r="D41" i="61"/>
  <c r="AK40" i="61"/>
  <c r="AK39" i="61"/>
  <c r="D39" i="61"/>
  <c r="AK37" i="61"/>
  <c r="AK36" i="61"/>
  <c r="D32" i="61"/>
  <c r="AJ31" i="61"/>
  <c r="AI31" i="61"/>
  <c r="AH31" i="61"/>
  <c r="AG31" i="61"/>
  <c r="AF31" i="61"/>
  <c r="AE31" i="61"/>
  <c r="AD31" i="61"/>
  <c r="AC31" i="61"/>
  <c r="AB31" i="61"/>
  <c r="AA31" i="61"/>
  <c r="Z31" i="61"/>
  <c r="Y31" i="61"/>
  <c r="X31" i="61"/>
  <c r="W31" i="61"/>
  <c r="V31" i="61"/>
  <c r="U31" i="61"/>
  <c r="T31" i="61"/>
  <c r="S31" i="61"/>
  <c r="R31" i="61"/>
  <c r="Q31" i="61"/>
  <c r="P31" i="61"/>
  <c r="O31" i="61"/>
  <c r="N31" i="61"/>
  <c r="M31" i="61"/>
  <c r="L31" i="61"/>
  <c r="K31" i="61"/>
  <c r="J31" i="61"/>
  <c r="I31" i="61"/>
  <c r="H31" i="61"/>
  <c r="G31" i="61"/>
  <c r="F31" i="61"/>
  <c r="AP66" i="61"/>
  <c r="AK29" i="61"/>
  <c r="AK28" i="61"/>
  <c r="AK27" i="61"/>
  <c r="AK22" i="61"/>
  <c r="AK21" i="61"/>
  <c r="AK20" i="61"/>
  <c r="AK19" i="61"/>
  <c r="AK18" i="61"/>
  <c r="AK17" i="61"/>
  <c r="AK16" i="61"/>
  <c r="AK15" i="61"/>
  <c r="AK14" i="61"/>
  <c r="AK13" i="61"/>
  <c r="AK12" i="61"/>
  <c r="AK11" i="61"/>
  <c r="AK10" i="61"/>
  <c r="AK9" i="61"/>
  <c r="AK8" i="61"/>
  <c r="AK7" i="61"/>
  <c r="AK6" i="61"/>
  <c r="AK5" i="61"/>
  <c r="M93" i="60"/>
  <c r="AQ87" i="60"/>
  <c r="AP86" i="60"/>
  <c r="AJ85" i="60"/>
  <c r="AI85" i="60"/>
  <c r="AH85" i="60"/>
  <c r="AG85" i="60"/>
  <c r="AF85" i="60"/>
  <c r="AE85" i="60"/>
  <c r="AD85" i="60"/>
  <c r="AC85" i="60"/>
  <c r="AB85" i="60"/>
  <c r="AA85" i="60"/>
  <c r="Z85" i="60"/>
  <c r="Y85" i="60"/>
  <c r="X85" i="60"/>
  <c r="W85" i="60"/>
  <c r="V85" i="60"/>
  <c r="U85" i="60"/>
  <c r="T85" i="60"/>
  <c r="S85" i="60"/>
  <c r="R85" i="60"/>
  <c r="Q85" i="60"/>
  <c r="P85" i="60"/>
  <c r="O85" i="60"/>
  <c r="N85" i="60"/>
  <c r="M85" i="60"/>
  <c r="L85" i="60"/>
  <c r="K85" i="60"/>
  <c r="J85" i="60"/>
  <c r="I85" i="60"/>
  <c r="H85" i="60"/>
  <c r="AK83" i="60"/>
  <c r="AK82" i="60"/>
  <c r="AK81" i="60"/>
  <c r="AQ80" i="60"/>
  <c r="AR105" i="60" s="1"/>
  <c r="AP80" i="60"/>
  <c r="AK80" i="60"/>
  <c r="B80" i="60"/>
  <c r="AK79" i="60"/>
  <c r="AK78" i="60"/>
  <c r="B78" i="60"/>
  <c r="D78" i="60" s="1"/>
  <c r="AK77" i="60"/>
  <c r="AK76" i="60"/>
  <c r="AK75" i="60"/>
  <c r="AK74" i="60"/>
  <c r="AK73" i="60"/>
  <c r="AK72" i="60"/>
  <c r="AK71" i="60"/>
  <c r="D71" i="60"/>
  <c r="AK70" i="60"/>
  <c r="AK69" i="60"/>
  <c r="AK68" i="60"/>
  <c r="AK67" i="60"/>
  <c r="AK66" i="60"/>
  <c r="AK65" i="60"/>
  <c r="AK64" i="60"/>
  <c r="AK63" i="60"/>
  <c r="AK62" i="60"/>
  <c r="AK61" i="60"/>
  <c r="AK60" i="60"/>
  <c r="AK59" i="60"/>
  <c r="AK58" i="60"/>
  <c r="D58" i="60"/>
  <c r="AK57" i="60"/>
  <c r="D57" i="60"/>
  <c r="AK56" i="60"/>
  <c r="D56" i="60"/>
  <c r="AK55" i="60"/>
  <c r="D55" i="60"/>
  <c r="AK54" i="60"/>
  <c r="AK53" i="60"/>
  <c r="D53" i="60"/>
  <c r="AK52" i="60"/>
  <c r="AK51" i="60"/>
  <c r="D51" i="60"/>
  <c r="G50" i="60"/>
  <c r="AK50" i="60" s="1"/>
  <c r="D50" i="60"/>
  <c r="F49" i="60"/>
  <c r="F85" i="60" s="1"/>
  <c r="D49" i="60"/>
  <c r="AP81" i="60" s="1"/>
  <c r="AK48" i="60"/>
  <c r="AK47" i="60"/>
  <c r="AK46" i="60"/>
  <c r="AK45" i="60"/>
  <c r="AK44" i="60"/>
  <c r="G43" i="60"/>
  <c r="AK43" i="60" s="1"/>
  <c r="D43" i="60"/>
  <c r="AK42" i="60"/>
  <c r="AK41" i="60"/>
  <c r="D37" i="60"/>
  <c r="AJ36" i="60"/>
  <c r="AI36" i="60"/>
  <c r="AH36" i="60"/>
  <c r="AG36" i="60"/>
  <c r="AF36" i="60"/>
  <c r="AE36" i="60"/>
  <c r="AD36" i="60"/>
  <c r="AC36" i="60"/>
  <c r="AB36" i="60"/>
  <c r="AA36" i="60"/>
  <c r="Z36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G36" i="60"/>
  <c r="F36" i="60"/>
  <c r="AK34" i="60"/>
  <c r="AK33" i="60"/>
  <c r="AK32" i="60"/>
  <c r="AK31" i="60"/>
  <c r="AK30" i="60"/>
  <c r="AK29" i="60"/>
  <c r="AK28" i="60"/>
  <c r="AK27" i="60"/>
  <c r="AK26" i="60"/>
  <c r="AK25" i="60"/>
  <c r="AK24" i="60"/>
  <c r="AK23" i="60"/>
  <c r="AK22" i="60"/>
  <c r="AK21" i="60"/>
  <c r="AK20" i="60"/>
  <c r="AK19" i="60"/>
  <c r="AK18" i="60"/>
  <c r="AK17" i="60"/>
  <c r="AK16" i="60"/>
  <c r="AK15" i="60"/>
  <c r="AK14" i="60"/>
  <c r="AK13" i="60"/>
  <c r="AK12" i="60"/>
  <c r="AK11" i="60"/>
  <c r="AK10" i="60"/>
  <c r="AK9" i="60"/>
  <c r="AK8" i="60"/>
  <c r="AK7" i="60"/>
  <c r="AK6" i="60"/>
  <c r="AK5" i="60"/>
  <c r="M91" i="59"/>
  <c r="AQ85" i="59"/>
  <c r="AP84" i="59"/>
  <c r="AJ83" i="59"/>
  <c r="AI83" i="59"/>
  <c r="AH83" i="59"/>
  <c r="AG83" i="59"/>
  <c r="AF83" i="59"/>
  <c r="AE83" i="59"/>
  <c r="AD83" i="59"/>
  <c r="AC83" i="59"/>
  <c r="AB83" i="59"/>
  <c r="AA83" i="59"/>
  <c r="Z83" i="59"/>
  <c r="Y83" i="59"/>
  <c r="X83" i="59"/>
  <c r="W83" i="59"/>
  <c r="V83" i="59"/>
  <c r="U83" i="59"/>
  <c r="T83" i="59"/>
  <c r="S83" i="59"/>
  <c r="R83" i="59"/>
  <c r="Q83" i="59"/>
  <c r="P83" i="59"/>
  <c r="O83" i="59"/>
  <c r="N83" i="59"/>
  <c r="M83" i="59"/>
  <c r="L83" i="59"/>
  <c r="K83" i="59"/>
  <c r="J83" i="59"/>
  <c r="I83" i="59"/>
  <c r="H83" i="59"/>
  <c r="G83" i="59"/>
  <c r="F83" i="59"/>
  <c r="AP79" i="59"/>
  <c r="AQ78" i="59"/>
  <c r="AR104" i="60" s="1"/>
  <c r="B78" i="59"/>
  <c r="AK76" i="59"/>
  <c r="B76" i="59"/>
  <c r="D76" i="59" s="1"/>
  <c r="AK75" i="59"/>
  <c r="AK74" i="59"/>
  <c r="AK73" i="59"/>
  <c r="AK72" i="59"/>
  <c r="AK71" i="59"/>
  <c r="AK70" i="59"/>
  <c r="AK69" i="59"/>
  <c r="AK68" i="59"/>
  <c r="AK67" i="59"/>
  <c r="AK66" i="59"/>
  <c r="AK65" i="59"/>
  <c r="AK64" i="59"/>
  <c r="AK63" i="59"/>
  <c r="AK62" i="59"/>
  <c r="AK61" i="59"/>
  <c r="AK60" i="59"/>
  <c r="AK59" i="59"/>
  <c r="AK58" i="59"/>
  <c r="AK57" i="59"/>
  <c r="AK56" i="59"/>
  <c r="AK55" i="59"/>
  <c r="AK54" i="59"/>
  <c r="AK53" i="59"/>
  <c r="D49" i="59"/>
  <c r="AJ48" i="59"/>
  <c r="AI48" i="59"/>
  <c r="AH48" i="59"/>
  <c r="AG48" i="59"/>
  <c r="AF48" i="59"/>
  <c r="AE48" i="59"/>
  <c r="AD48" i="59"/>
  <c r="AC48" i="59"/>
  <c r="AB48" i="59"/>
  <c r="AA48" i="59"/>
  <c r="Z48" i="59"/>
  <c r="X48" i="59"/>
  <c r="W48" i="59"/>
  <c r="V48" i="59"/>
  <c r="U48" i="59"/>
  <c r="T48" i="59"/>
  <c r="S48" i="59"/>
  <c r="R48" i="59"/>
  <c r="Q48" i="59"/>
  <c r="P48" i="59"/>
  <c r="O48" i="59"/>
  <c r="N48" i="59"/>
  <c r="M48" i="59"/>
  <c r="L48" i="59"/>
  <c r="K48" i="59"/>
  <c r="J48" i="59"/>
  <c r="I48" i="59"/>
  <c r="H48" i="59"/>
  <c r="G48" i="59"/>
  <c r="F48" i="59"/>
  <c r="D48" i="59"/>
  <c r="AP78" i="59" s="1"/>
  <c r="AP80" i="59" s="1"/>
  <c r="AK46" i="59"/>
  <c r="AK45" i="59"/>
  <c r="AK44" i="59"/>
  <c r="AK43" i="59"/>
  <c r="AK42" i="59"/>
  <c r="AK41" i="59"/>
  <c r="AK40" i="59"/>
  <c r="AK39" i="59"/>
  <c r="AK38" i="59"/>
  <c r="AK37" i="59"/>
  <c r="AK36" i="59"/>
  <c r="AK35" i="59"/>
  <c r="AK34" i="59"/>
  <c r="AK33" i="59"/>
  <c r="AK32" i="59"/>
  <c r="AK31" i="59"/>
  <c r="AK30" i="59"/>
  <c r="AK29" i="59"/>
  <c r="AK28" i="59"/>
  <c r="AK27" i="59"/>
  <c r="AK26" i="59"/>
  <c r="AK25" i="59"/>
  <c r="AK24" i="59"/>
  <c r="AK23" i="59"/>
  <c r="AK22" i="59"/>
  <c r="AK21" i="59"/>
  <c r="AK20" i="59"/>
  <c r="AK19" i="59"/>
  <c r="AK18" i="59"/>
  <c r="AK17" i="59"/>
  <c r="AK16" i="59"/>
  <c r="AK15" i="59"/>
  <c r="AK14" i="59"/>
  <c r="AK13" i="59"/>
  <c r="AM12" i="59"/>
  <c r="Y12" i="59"/>
  <c r="Y48" i="59" s="1"/>
  <c r="D12" i="59"/>
  <c r="AK11" i="59"/>
  <c r="AK10" i="59"/>
  <c r="AK9" i="59"/>
  <c r="AK8" i="59"/>
  <c r="AK7" i="59"/>
  <c r="AK6" i="59"/>
  <c r="AK5" i="59"/>
  <c r="M80" i="58"/>
  <c r="AQ74" i="58"/>
  <c r="AJ72" i="58"/>
  <c r="AI72" i="58"/>
  <c r="AH72" i="58"/>
  <c r="AG72" i="58"/>
  <c r="AF72" i="58"/>
  <c r="AE72" i="58"/>
  <c r="AD72" i="58"/>
  <c r="AC72" i="58"/>
  <c r="AB72" i="58"/>
  <c r="AA72" i="58"/>
  <c r="Z72" i="58"/>
  <c r="Y72" i="58"/>
  <c r="X72" i="58"/>
  <c r="W72" i="58"/>
  <c r="V72" i="58"/>
  <c r="U72" i="58"/>
  <c r="T72" i="58"/>
  <c r="S72" i="58"/>
  <c r="R72" i="58"/>
  <c r="P72" i="58"/>
  <c r="O72" i="58"/>
  <c r="N72" i="58"/>
  <c r="M72" i="58"/>
  <c r="L72" i="58"/>
  <c r="K72" i="58"/>
  <c r="J72" i="58"/>
  <c r="I72" i="58"/>
  <c r="H72" i="58"/>
  <c r="G72" i="58"/>
  <c r="F72" i="58"/>
  <c r="AK65" i="58"/>
  <c r="B65" i="58"/>
  <c r="D65" i="58" s="1"/>
  <c r="AK64" i="58"/>
  <c r="AK63" i="58"/>
  <c r="AK62" i="58"/>
  <c r="AK61" i="58"/>
  <c r="AK60" i="58"/>
  <c r="AK59" i="58"/>
  <c r="AK58" i="58"/>
  <c r="AK57" i="58"/>
  <c r="N56" i="58"/>
  <c r="AK56" i="58" s="1"/>
  <c r="D56" i="58"/>
  <c r="AK55" i="58"/>
  <c r="AK54" i="58"/>
  <c r="AK53" i="58"/>
  <c r="AK52" i="58"/>
  <c r="AK51" i="58"/>
  <c r="D51" i="58"/>
  <c r="AK50" i="58"/>
  <c r="D50" i="58"/>
  <c r="AP68" i="58" s="1"/>
  <c r="AK49" i="58"/>
  <c r="Q49" i="58"/>
  <c r="Q72" i="58" s="1"/>
  <c r="D49" i="58"/>
  <c r="AK48" i="58"/>
  <c r="AK47" i="58"/>
  <c r="AK46" i="58"/>
  <c r="AK45" i="58"/>
  <c r="AK44" i="58"/>
  <c r="AK43" i="58"/>
  <c r="AK42" i="58"/>
  <c r="AK41" i="58"/>
  <c r="AK40" i="58"/>
  <c r="AK39" i="58"/>
  <c r="AJ34" i="58"/>
  <c r="AI34" i="58"/>
  <c r="AH34" i="58"/>
  <c r="AG34" i="58"/>
  <c r="AF34" i="58"/>
  <c r="AE34" i="58"/>
  <c r="AD34" i="58"/>
  <c r="AC34" i="58"/>
  <c r="AB34" i="58"/>
  <c r="AA34" i="58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H34" i="58"/>
  <c r="G34" i="58"/>
  <c r="F34" i="58"/>
  <c r="AK32" i="58"/>
  <c r="AK31" i="58"/>
  <c r="AK30" i="58"/>
  <c r="AK29" i="58"/>
  <c r="AK28" i="58"/>
  <c r="AK27" i="58"/>
  <c r="AK26" i="58"/>
  <c r="AK25" i="58"/>
  <c r="AK24" i="58"/>
  <c r="AK23" i="58"/>
  <c r="AK22" i="58"/>
  <c r="AK21" i="58"/>
  <c r="AK20" i="58"/>
  <c r="D20" i="58"/>
  <c r="AM57" i="33" s="1"/>
  <c r="AK19" i="58"/>
  <c r="AK18" i="58"/>
  <c r="AK17" i="58"/>
  <c r="AK16" i="58"/>
  <c r="AK15" i="58"/>
  <c r="AK14" i="58"/>
  <c r="AK13" i="58"/>
  <c r="AK12" i="58"/>
  <c r="AK11" i="58"/>
  <c r="AK10" i="58"/>
  <c r="AK9" i="58"/>
  <c r="AK8" i="58"/>
  <c r="AK7" i="58"/>
  <c r="AK6" i="58"/>
  <c r="AK5" i="58"/>
  <c r="M86" i="57"/>
  <c r="AQ80" i="57"/>
  <c r="AP79" i="57"/>
  <c r="AJ78" i="57"/>
  <c r="AI78" i="57"/>
  <c r="AH78" i="57"/>
  <c r="AG78" i="57"/>
  <c r="AF78" i="57"/>
  <c r="AE78" i="57"/>
  <c r="AD78" i="57"/>
  <c r="AC78" i="57"/>
  <c r="AB78" i="57"/>
  <c r="AA78" i="57"/>
  <c r="Z78" i="57"/>
  <c r="Y78" i="57"/>
  <c r="X78" i="57"/>
  <c r="W78" i="57"/>
  <c r="V78" i="57"/>
  <c r="U78" i="57"/>
  <c r="T78" i="57"/>
  <c r="S78" i="57"/>
  <c r="R78" i="57"/>
  <c r="Q78" i="57"/>
  <c r="P78" i="57"/>
  <c r="O78" i="57"/>
  <c r="N78" i="57"/>
  <c r="M78" i="57"/>
  <c r="L78" i="57"/>
  <c r="K78" i="57"/>
  <c r="J78" i="57"/>
  <c r="I78" i="57"/>
  <c r="H78" i="57"/>
  <c r="G78" i="57"/>
  <c r="F78" i="57"/>
  <c r="AP74" i="57"/>
  <c r="AQ73" i="57"/>
  <c r="AR102" i="60" s="1"/>
  <c r="AK71" i="57"/>
  <c r="B71" i="57"/>
  <c r="D71" i="57" s="1"/>
  <c r="AK70" i="57"/>
  <c r="AK69" i="57"/>
  <c r="AK68" i="57"/>
  <c r="AK67" i="57"/>
  <c r="AK66" i="57"/>
  <c r="AK65" i="57"/>
  <c r="AK64" i="57"/>
  <c r="AK63" i="57"/>
  <c r="AK62" i="57"/>
  <c r="AK61" i="57"/>
  <c r="AK60" i="57"/>
  <c r="AK59" i="57"/>
  <c r="AK58" i="57"/>
  <c r="AK57" i="57"/>
  <c r="AK56" i="57"/>
  <c r="AK55" i="57"/>
  <c r="AK54" i="57"/>
  <c r="AK53" i="57"/>
  <c r="AK52" i="57"/>
  <c r="AK51" i="57"/>
  <c r="AK50" i="57"/>
  <c r="AK49" i="57"/>
  <c r="AK48" i="57"/>
  <c r="AK47" i="57"/>
  <c r="AK46" i="57"/>
  <c r="AJ42" i="57"/>
  <c r="AI42" i="57"/>
  <c r="AH42" i="57"/>
  <c r="AG42" i="57"/>
  <c r="AF42" i="57"/>
  <c r="AE42" i="57"/>
  <c r="AD42" i="57"/>
  <c r="AC42" i="57"/>
  <c r="AB42" i="57"/>
  <c r="Z42" i="57"/>
  <c r="Y42" i="57"/>
  <c r="X42" i="57"/>
  <c r="W42" i="57"/>
  <c r="V42" i="57"/>
  <c r="U42" i="57"/>
  <c r="T42" i="57"/>
  <c r="S42" i="57"/>
  <c r="R42" i="57"/>
  <c r="Q42" i="57"/>
  <c r="P42" i="57"/>
  <c r="O42" i="57"/>
  <c r="N42" i="57"/>
  <c r="M42" i="57"/>
  <c r="L42" i="57"/>
  <c r="K42" i="57"/>
  <c r="J42" i="57"/>
  <c r="I42" i="57"/>
  <c r="H42" i="57"/>
  <c r="G42" i="57"/>
  <c r="F42" i="57"/>
  <c r="D42" i="57"/>
  <c r="AP73" i="57" s="1"/>
  <c r="AK40" i="57"/>
  <c r="AK39" i="57"/>
  <c r="AK38" i="57"/>
  <c r="AK37" i="57"/>
  <c r="AK36" i="57"/>
  <c r="AK35" i="57"/>
  <c r="AK34" i="57"/>
  <c r="AK33" i="57"/>
  <c r="AK32" i="57"/>
  <c r="AK31" i="57"/>
  <c r="AK30" i="57"/>
  <c r="AK29" i="57"/>
  <c r="AK28" i="57"/>
  <c r="AK27" i="57"/>
  <c r="AK26" i="57"/>
  <c r="AK25" i="57"/>
  <c r="AK24" i="57"/>
  <c r="AK23" i="57"/>
  <c r="AK22" i="57"/>
  <c r="AK21" i="57"/>
  <c r="AK20" i="57"/>
  <c r="AK19" i="57"/>
  <c r="AK18" i="57"/>
  <c r="AA17" i="57"/>
  <c r="AK17" i="57" s="1"/>
  <c r="D17" i="57"/>
  <c r="AK16" i="57"/>
  <c r="D16" i="57"/>
  <c r="AK15" i="57"/>
  <c r="AK14" i="57"/>
  <c r="AK13" i="57"/>
  <c r="AK12" i="57"/>
  <c r="AK11" i="57"/>
  <c r="AK10" i="57"/>
  <c r="AK9" i="57"/>
  <c r="AK8" i="57"/>
  <c r="AK7" i="57"/>
  <c r="AK6" i="57"/>
  <c r="AK5" i="57"/>
  <c r="C110" i="56"/>
  <c r="AQ100" i="56"/>
  <c r="AP99" i="56"/>
  <c r="AJ98" i="56"/>
  <c r="AI98" i="56"/>
  <c r="AH98" i="56"/>
  <c r="AG98" i="56"/>
  <c r="AF98" i="56"/>
  <c r="AE98" i="56"/>
  <c r="AD98" i="56"/>
  <c r="AC98" i="56"/>
  <c r="AB98" i="56"/>
  <c r="AA98" i="56"/>
  <c r="Z98" i="56"/>
  <c r="Y98" i="56"/>
  <c r="X98" i="56"/>
  <c r="W98" i="56"/>
  <c r="U98" i="56"/>
  <c r="T98" i="56"/>
  <c r="S98" i="56"/>
  <c r="R98" i="56"/>
  <c r="Q98" i="56"/>
  <c r="P98" i="56"/>
  <c r="O98" i="56"/>
  <c r="N98" i="56"/>
  <c r="M98" i="56"/>
  <c r="L98" i="56"/>
  <c r="K98" i="56"/>
  <c r="J98" i="56"/>
  <c r="I98" i="56"/>
  <c r="H98" i="56"/>
  <c r="G98" i="56"/>
  <c r="F98" i="56"/>
  <c r="AP94" i="56"/>
  <c r="AK91" i="56"/>
  <c r="D91" i="56"/>
  <c r="AK90" i="56"/>
  <c r="AK89" i="56"/>
  <c r="AK84" i="56"/>
  <c r="AK83" i="56"/>
  <c r="AK82" i="56"/>
  <c r="AK81" i="56"/>
  <c r="AK80" i="56"/>
  <c r="D80" i="56"/>
  <c r="AK79" i="56"/>
  <c r="AK78" i="56"/>
  <c r="V77" i="56"/>
  <c r="AK77" i="56" s="1"/>
  <c r="D77" i="56"/>
  <c r="AK76" i="56"/>
  <c r="AK75" i="56"/>
  <c r="AK74" i="56"/>
  <c r="AK73" i="56"/>
  <c r="AK72" i="56"/>
  <c r="AK71" i="56"/>
  <c r="AK69" i="56"/>
  <c r="AK68" i="56"/>
  <c r="AK67" i="56"/>
  <c r="AK66" i="56"/>
  <c r="AK65" i="56"/>
  <c r="AK64" i="56"/>
  <c r="AK63" i="56"/>
  <c r="AK62" i="56"/>
  <c r="AK61" i="56"/>
  <c r="AK60" i="56"/>
  <c r="AK59" i="56"/>
  <c r="AK58" i="56"/>
  <c r="AJ54" i="56"/>
  <c r="AI54" i="56"/>
  <c r="AH54" i="56"/>
  <c r="AG54" i="56"/>
  <c r="AF54" i="56"/>
  <c r="AE54" i="56"/>
  <c r="AD54" i="56"/>
  <c r="AC54" i="56"/>
  <c r="AB54" i="56"/>
  <c r="AA54" i="56"/>
  <c r="Z54" i="56"/>
  <c r="Y54" i="56"/>
  <c r="X54" i="56"/>
  <c r="W54" i="56"/>
  <c r="V54" i="56"/>
  <c r="U54" i="56"/>
  <c r="T54" i="56"/>
  <c r="S54" i="56"/>
  <c r="R54" i="56"/>
  <c r="Q54" i="56"/>
  <c r="P54" i="56"/>
  <c r="N54" i="56"/>
  <c r="M54" i="56"/>
  <c r="L54" i="56"/>
  <c r="K54" i="56"/>
  <c r="J54" i="56"/>
  <c r="I54" i="56"/>
  <c r="H54" i="56"/>
  <c r="G54" i="56"/>
  <c r="F54" i="56"/>
  <c r="AK52" i="56"/>
  <c r="AK51" i="56"/>
  <c r="AK50" i="56"/>
  <c r="AK49" i="56"/>
  <c r="AK48" i="56"/>
  <c r="AK47" i="56"/>
  <c r="D47" i="56"/>
  <c r="AK61" i="33" s="1"/>
  <c r="AK46" i="56"/>
  <c r="D46" i="56"/>
  <c r="AK60" i="33" s="1"/>
  <c r="AK45" i="56"/>
  <c r="AK44" i="56"/>
  <c r="AK43" i="56"/>
  <c r="AK42" i="56"/>
  <c r="AK41" i="56"/>
  <c r="AK40" i="56"/>
  <c r="AK39" i="56"/>
  <c r="AK38" i="56"/>
  <c r="AK37" i="56"/>
  <c r="AK36" i="56"/>
  <c r="AK35" i="56"/>
  <c r="AK34" i="56"/>
  <c r="AK33" i="56"/>
  <c r="AK32" i="56"/>
  <c r="AK31" i="56"/>
  <c r="AK30" i="56"/>
  <c r="AK29" i="56"/>
  <c r="AK28" i="56"/>
  <c r="AK27" i="56"/>
  <c r="AK26" i="56"/>
  <c r="AK25" i="56"/>
  <c r="AK24" i="56"/>
  <c r="AK23" i="56"/>
  <c r="AK22" i="56"/>
  <c r="AK21" i="56"/>
  <c r="AK20" i="56"/>
  <c r="AK19" i="56"/>
  <c r="AK18" i="56"/>
  <c r="AK17" i="56"/>
  <c r="AK16" i="56"/>
  <c r="AK15" i="56"/>
  <c r="AK14" i="56"/>
  <c r="AK13" i="56"/>
  <c r="AK12" i="56"/>
  <c r="AK11" i="56"/>
  <c r="AK10" i="56"/>
  <c r="AK9" i="56"/>
  <c r="AK8" i="56"/>
  <c r="AK7" i="56"/>
  <c r="O6" i="56"/>
  <c r="AK6" i="56" s="1"/>
  <c r="AK5" i="56"/>
  <c r="AP104" i="55"/>
  <c r="AP103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T101" i="55"/>
  <c r="S101" i="55"/>
  <c r="R101" i="55"/>
  <c r="Q101" i="55"/>
  <c r="P101" i="55"/>
  <c r="O101" i="55"/>
  <c r="N101" i="55"/>
  <c r="M101" i="55"/>
  <c r="L101" i="55"/>
  <c r="K101" i="55"/>
  <c r="J101" i="55"/>
  <c r="I101" i="55"/>
  <c r="H101" i="55"/>
  <c r="G101" i="55"/>
  <c r="F101" i="55"/>
  <c r="AP98" i="55"/>
  <c r="AK95" i="55"/>
  <c r="B95" i="55"/>
  <c r="D95" i="55" s="1"/>
  <c r="AK94" i="55"/>
  <c r="AK93" i="55"/>
  <c r="AK92" i="55"/>
  <c r="AK91" i="55"/>
  <c r="AK90" i="55"/>
  <c r="AK89" i="55"/>
  <c r="AK88" i="55"/>
  <c r="AK87" i="55"/>
  <c r="AK86" i="55"/>
  <c r="AK85" i="55"/>
  <c r="AK84" i="55"/>
  <c r="U83" i="55"/>
  <c r="AK83" i="55" s="1"/>
  <c r="D83" i="55"/>
  <c r="AK82" i="55"/>
  <c r="AK81" i="55"/>
  <c r="D80" i="55"/>
  <c r="AK79" i="55"/>
  <c r="AK78" i="55"/>
  <c r="AK77" i="55"/>
  <c r="AK76" i="55"/>
  <c r="AK75" i="55"/>
  <c r="AK74" i="55"/>
  <c r="AK73" i="55"/>
  <c r="AK71" i="55"/>
  <c r="AK70" i="55"/>
  <c r="AK69" i="55"/>
  <c r="D69" i="55"/>
  <c r="AK68" i="55"/>
  <c r="AK67" i="55"/>
  <c r="AK66" i="55"/>
  <c r="AK65" i="55"/>
  <c r="AK64" i="55"/>
  <c r="AK63" i="55"/>
  <c r="AJ59" i="55"/>
  <c r="AI59" i="55"/>
  <c r="AH59" i="55"/>
  <c r="AG59" i="55"/>
  <c r="AF59" i="55"/>
  <c r="AE59" i="55"/>
  <c r="AD59" i="55"/>
  <c r="AC59" i="55"/>
  <c r="AB59" i="55"/>
  <c r="AA59" i="55"/>
  <c r="Z59" i="55"/>
  <c r="Y59" i="55"/>
  <c r="X59" i="55"/>
  <c r="W59" i="55"/>
  <c r="U59" i="55"/>
  <c r="T59" i="55"/>
  <c r="R59" i="55"/>
  <c r="Q59" i="55"/>
  <c r="P59" i="55"/>
  <c r="O59" i="55"/>
  <c r="N59" i="55"/>
  <c r="M59" i="55"/>
  <c r="L59" i="55"/>
  <c r="K59" i="55"/>
  <c r="J59" i="55"/>
  <c r="I59" i="55"/>
  <c r="H59" i="55"/>
  <c r="G59" i="55"/>
  <c r="F59" i="55"/>
  <c r="AK57" i="55"/>
  <c r="AK56" i="55"/>
  <c r="AK55" i="55"/>
  <c r="AK54" i="55"/>
  <c r="AK53" i="55"/>
  <c r="AK52" i="55"/>
  <c r="AK51" i="55"/>
  <c r="AK50" i="55"/>
  <c r="AK49" i="55"/>
  <c r="AK48" i="55"/>
  <c r="AK47" i="55"/>
  <c r="AK46" i="55"/>
  <c r="AK45" i="55"/>
  <c r="AK44" i="55"/>
  <c r="AK43" i="55"/>
  <c r="AK42" i="55"/>
  <c r="AK41" i="55"/>
  <c r="AK40" i="55"/>
  <c r="AK39" i="55"/>
  <c r="AK38" i="55"/>
  <c r="AK37" i="55"/>
  <c r="AK36" i="55"/>
  <c r="V35" i="55"/>
  <c r="D35" i="55"/>
  <c r="AJ60" i="33" s="1"/>
  <c r="AK34" i="55"/>
  <c r="AK33" i="55"/>
  <c r="AK32" i="55"/>
  <c r="AK31" i="55"/>
  <c r="AK30" i="55"/>
  <c r="AK29" i="55"/>
  <c r="AK28" i="55"/>
  <c r="AK27" i="55"/>
  <c r="AK26" i="55"/>
  <c r="AK25" i="55"/>
  <c r="AK24" i="55"/>
  <c r="AK23" i="55"/>
  <c r="AK22" i="55"/>
  <c r="AK21" i="55"/>
  <c r="AK20" i="55"/>
  <c r="AK19" i="55"/>
  <c r="S18" i="55"/>
  <c r="S59" i="55" s="1"/>
  <c r="AK17" i="55"/>
  <c r="AK16" i="55"/>
  <c r="AK15" i="55"/>
  <c r="AK14" i="55"/>
  <c r="AK13" i="55"/>
  <c r="AK12" i="55"/>
  <c r="AK11" i="55"/>
  <c r="AK10" i="55"/>
  <c r="AK9" i="55"/>
  <c r="AK8" i="55"/>
  <c r="AK7" i="55"/>
  <c r="AK6" i="55"/>
  <c r="AK5" i="55"/>
  <c r="AG119" i="54"/>
  <c r="AF119" i="54"/>
  <c r="AE119" i="54"/>
  <c r="AD119" i="54"/>
  <c r="AC119" i="54"/>
  <c r="AB119" i="54"/>
  <c r="AA119" i="54"/>
  <c r="Z119" i="54"/>
  <c r="Y119" i="54"/>
  <c r="X119" i="54"/>
  <c r="W119" i="54"/>
  <c r="V119" i="54"/>
  <c r="U119" i="54"/>
  <c r="S119" i="54"/>
  <c r="R119" i="54"/>
  <c r="Q119" i="54"/>
  <c r="P119" i="54"/>
  <c r="O119" i="54"/>
  <c r="N119" i="54"/>
  <c r="M119" i="54"/>
  <c r="L119" i="54"/>
  <c r="K119" i="54"/>
  <c r="J119" i="54"/>
  <c r="I119" i="54"/>
  <c r="H119" i="54"/>
  <c r="G119" i="54"/>
  <c r="AP116" i="54"/>
  <c r="AR115" i="54"/>
  <c r="AP115" i="54"/>
  <c r="AK115" i="54"/>
  <c r="B115" i="54"/>
  <c r="D115" i="54" s="1"/>
  <c r="B113" i="54"/>
  <c r="D113" i="54" s="1"/>
  <c r="F113" i="54" s="1"/>
  <c r="AP110" i="54"/>
  <c r="AK109" i="54"/>
  <c r="AK108" i="54"/>
  <c r="AK107" i="54"/>
  <c r="AK106" i="54"/>
  <c r="AK105" i="54"/>
  <c r="AK104" i="54"/>
  <c r="AK103" i="54"/>
  <c r="AK102" i="54"/>
  <c r="D102" i="54"/>
  <c r="AK101" i="54"/>
  <c r="AK100" i="54"/>
  <c r="AK99" i="54"/>
  <c r="AK98" i="54"/>
  <c r="AK97" i="54"/>
  <c r="AK96" i="54"/>
  <c r="AK95" i="54"/>
  <c r="AK94" i="54"/>
  <c r="AK93" i="54"/>
  <c r="T92" i="54"/>
  <c r="AK92" i="54" s="1"/>
  <c r="D92" i="54"/>
  <c r="AK91" i="54"/>
  <c r="AK90" i="54"/>
  <c r="AK89" i="54"/>
  <c r="AK88" i="54"/>
  <c r="AK87" i="54"/>
  <c r="AK86" i="54"/>
  <c r="AK85" i="54"/>
  <c r="AK84" i="54"/>
  <c r="AK83" i="54"/>
  <c r="AK82" i="54"/>
  <c r="AK81" i="54"/>
  <c r="AK80" i="54"/>
  <c r="AK79" i="54"/>
  <c r="AK78" i="54"/>
  <c r="AK77" i="54"/>
  <c r="AK76" i="54"/>
  <c r="AK75" i="54"/>
  <c r="AK74" i="54"/>
  <c r="AK73" i="54"/>
  <c r="AK72" i="54"/>
  <c r="AK71" i="54"/>
  <c r="AK70" i="54"/>
  <c r="AK69" i="54"/>
  <c r="AK68" i="54"/>
  <c r="AK67" i="54"/>
  <c r="AK66" i="54"/>
  <c r="AK65" i="54"/>
  <c r="AK64" i="54"/>
  <c r="AK63" i="54"/>
  <c r="AK62" i="54"/>
  <c r="AK61" i="54"/>
  <c r="AK60" i="54"/>
  <c r="AJ56" i="54"/>
  <c r="AI56" i="54"/>
  <c r="AH56" i="54"/>
  <c r="AG56" i="54"/>
  <c r="AF56" i="54"/>
  <c r="AE56" i="54"/>
  <c r="AD56" i="54"/>
  <c r="AC56" i="54"/>
  <c r="AB56" i="54"/>
  <c r="AA56" i="54"/>
  <c r="Z56" i="54"/>
  <c r="Y56" i="54"/>
  <c r="X56" i="54"/>
  <c r="W56" i="54"/>
  <c r="V56" i="54"/>
  <c r="U56" i="54"/>
  <c r="T56" i="54"/>
  <c r="S56" i="54"/>
  <c r="R56" i="54"/>
  <c r="Q56" i="54"/>
  <c r="P56" i="54"/>
  <c r="O56" i="54"/>
  <c r="N56" i="54"/>
  <c r="M56" i="54"/>
  <c r="L56" i="54"/>
  <c r="K56" i="54"/>
  <c r="J56" i="54"/>
  <c r="I56" i="54"/>
  <c r="H56" i="54"/>
  <c r="G56" i="54"/>
  <c r="F56" i="54"/>
  <c r="D56" i="54"/>
  <c r="AP109" i="54" s="1"/>
  <c r="AK55" i="54"/>
  <c r="AK54" i="54"/>
  <c r="AK53" i="54"/>
  <c r="AK52" i="54"/>
  <c r="AK51" i="54"/>
  <c r="AK50" i="54"/>
  <c r="AK49" i="54"/>
  <c r="AK48" i="54"/>
  <c r="AK47" i="54"/>
  <c r="AK46" i="54"/>
  <c r="AK45" i="54"/>
  <c r="AK44" i="54"/>
  <c r="AK43" i="54"/>
  <c r="AK42" i="54"/>
  <c r="AK41" i="54"/>
  <c r="AK40" i="54"/>
  <c r="AK39" i="54"/>
  <c r="AK38" i="54"/>
  <c r="AK37" i="54"/>
  <c r="AK36" i="54"/>
  <c r="AK35" i="54"/>
  <c r="AK34" i="54"/>
  <c r="AK33" i="54"/>
  <c r="AK32" i="54"/>
  <c r="R31" i="54"/>
  <c r="AK31" i="54" s="1"/>
  <c r="D31" i="54"/>
  <c r="AI57" i="33" s="1"/>
  <c r="AK30" i="54"/>
  <c r="AK29" i="54"/>
  <c r="AK28" i="54"/>
  <c r="AK27" i="54"/>
  <c r="AK26" i="54"/>
  <c r="AK25" i="54"/>
  <c r="AK24" i="54"/>
  <c r="AK23" i="54"/>
  <c r="AK22" i="54"/>
  <c r="AK21" i="54"/>
  <c r="AK20" i="54"/>
  <c r="AK19" i="54"/>
  <c r="AK18" i="54"/>
  <c r="AK17" i="54"/>
  <c r="AK16" i="54"/>
  <c r="AK15" i="54"/>
  <c r="AK14" i="54"/>
  <c r="AK13" i="54"/>
  <c r="AK12" i="54"/>
  <c r="AK11" i="54"/>
  <c r="AK10" i="54"/>
  <c r="AK9" i="54"/>
  <c r="AK8" i="54"/>
  <c r="AK7" i="54"/>
  <c r="AK6" i="54"/>
  <c r="AK5" i="54"/>
  <c r="AJ116" i="53"/>
  <c r="AI116" i="53"/>
  <c r="AH116" i="53"/>
  <c r="AG116" i="53"/>
  <c r="AF116" i="53"/>
  <c r="AE116" i="53"/>
  <c r="AC116" i="53"/>
  <c r="AB116" i="53"/>
  <c r="AA116" i="53"/>
  <c r="Z116" i="53"/>
  <c r="Y116" i="53"/>
  <c r="X116" i="53"/>
  <c r="W116" i="53"/>
  <c r="V116" i="53"/>
  <c r="U116" i="53"/>
  <c r="T116" i="53"/>
  <c r="S116" i="53"/>
  <c r="R116" i="53"/>
  <c r="Q116" i="53"/>
  <c r="O116" i="53"/>
  <c r="N116" i="53"/>
  <c r="M116" i="53"/>
  <c r="L116" i="53"/>
  <c r="K116" i="53"/>
  <c r="J116" i="53"/>
  <c r="I116" i="53"/>
  <c r="H116" i="53"/>
  <c r="G116" i="53"/>
  <c r="F116" i="53"/>
  <c r="AP115" i="53"/>
  <c r="AP114" i="53"/>
  <c r="AK111" i="53"/>
  <c r="B111" i="53"/>
  <c r="D111" i="53" s="1"/>
  <c r="AK110" i="53"/>
  <c r="AP109" i="53"/>
  <c r="AK109" i="53"/>
  <c r="B109" i="53"/>
  <c r="D109" i="53" s="1"/>
  <c r="AQ108" i="53"/>
  <c r="AR98" i="60" s="1"/>
  <c r="AK108" i="53"/>
  <c r="AK107" i="53"/>
  <c r="AK106" i="53"/>
  <c r="AK105" i="53"/>
  <c r="B105" i="53"/>
  <c r="AK104" i="53"/>
  <c r="B104" i="53"/>
  <c r="AK103" i="53"/>
  <c r="AK102" i="53"/>
  <c r="AK101" i="53"/>
  <c r="AK100" i="53"/>
  <c r="AK99" i="53"/>
  <c r="AK98" i="53"/>
  <c r="AK97" i="53"/>
  <c r="AK96" i="53"/>
  <c r="AK95" i="53"/>
  <c r="AK94" i="53"/>
  <c r="AK93" i="53"/>
  <c r="AK92" i="53"/>
  <c r="AD91" i="53"/>
  <c r="AK91" i="53" s="1"/>
  <c r="D91" i="53"/>
  <c r="AP112" i="53" s="1"/>
  <c r="AK89" i="53"/>
  <c r="AK88" i="53"/>
  <c r="AK87" i="53"/>
  <c r="AK86" i="53"/>
  <c r="AK85" i="53"/>
  <c r="AD85" i="53"/>
  <c r="D85" i="53"/>
  <c r="AK84" i="53"/>
  <c r="AK83" i="53"/>
  <c r="AD83" i="53"/>
  <c r="D83" i="53"/>
  <c r="AD82" i="53"/>
  <c r="AK82" i="53" s="1"/>
  <c r="D82" i="53"/>
  <c r="AK81" i="53"/>
  <c r="P80" i="53"/>
  <c r="AK80" i="53" s="1"/>
  <c r="D80" i="53"/>
  <c r="AK79" i="53"/>
  <c r="AK78" i="53"/>
  <c r="AK77" i="53"/>
  <c r="AK76" i="53"/>
  <c r="AK75" i="53"/>
  <c r="AK74" i="53"/>
  <c r="AK73" i="53"/>
  <c r="AK72" i="53"/>
  <c r="AK71" i="53"/>
  <c r="AK70" i="53"/>
  <c r="AK69" i="53"/>
  <c r="AK68" i="53"/>
  <c r="AK67" i="53"/>
  <c r="AK66" i="53"/>
  <c r="AK65" i="53"/>
  <c r="AK64" i="53"/>
  <c r="AK63" i="53"/>
  <c r="AK62" i="53"/>
  <c r="AK61" i="53"/>
  <c r="AK60" i="53"/>
  <c r="AK59" i="53"/>
  <c r="AK58" i="53"/>
  <c r="AK57" i="53"/>
  <c r="AK56" i="53"/>
  <c r="D53" i="53"/>
  <c r="AJ52" i="53"/>
  <c r="AI52" i="53"/>
  <c r="AH52" i="53"/>
  <c r="AG52" i="53"/>
  <c r="AF52" i="53"/>
  <c r="AE52" i="53"/>
  <c r="AD52" i="53"/>
  <c r="AC52" i="53"/>
  <c r="AB52" i="53"/>
  <c r="AA52" i="53"/>
  <c r="Z52" i="53"/>
  <c r="Y52" i="53"/>
  <c r="X52" i="53"/>
  <c r="W52" i="53"/>
  <c r="V52" i="53"/>
  <c r="U52" i="53"/>
  <c r="T52" i="53"/>
  <c r="S52" i="53"/>
  <c r="R52" i="53"/>
  <c r="Q52" i="53"/>
  <c r="P52" i="53"/>
  <c r="O52" i="53"/>
  <c r="N52" i="53"/>
  <c r="M52" i="53"/>
  <c r="L52" i="53"/>
  <c r="K52" i="53"/>
  <c r="J52" i="53"/>
  <c r="I52" i="53"/>
  <c r="H52" i="53"/>
  <c r="G52" i="53"/>
  <c r="F52" i="53"/>
  <c r="D52" i="53"/>
  <c r="AP108" i="53" s="1"/>
  <c r="AP110" i="53" s="1"/>
  <c r="AK51" i="53"/>
  <c r="AK50" i="53"/>
  <c r="AK49" i="53"/>
  <c r="AK48" i="53"/>
  <c r="AK47" i="53"/>
  <c r="AK46" i="53"/>
  <c r="AK45" i="53"/>
  <c r="AK44" i="53"/>
  <c r="AK43" i="53"/>
  <c r="AK42" i="53"/>
  <c r="AK41" i="53"/>
  <c r="AK40" i="53"/>
  <c r="AK39" i="53"/>
  <c r="AK38" i="53"/>
  <c r="AK37" i="53"/>
  <c r="AK36" i="53"/>
  <c r="AK35" i="53"/>
  <c r="AK34" i="53"/>
  <c r="AK33" i="53"/>
  <c r="AK32" i="53"/>
  <c r="AK31" i="53"/>
  <c r="AK30" i="53"/>
  <c r="AK29" i="53"/>
  <c r="AK28" i="53"/>
  <c r="AK27" i="53"/>
  <c r="AK26" i="53"/>
  <c r="AK25" i="53"/>
  <c r="AK24" i="53"/>
  <c r="AK23" i="53"/>
  <c r="AK22" i="53"/>
  <c r="AK21" i="53"/>
  <c r="AK20" i="53"/>
  <c r="AK19" i="53"/>
  <c r="AK18" i="53"/>
  <c r="AK17" i="53"/>
  <c r="AK16" i="53"/>
  <c r="AK15" i="53"/>
  <c r="AK14" i="53"/>
  <c r="AK13" i="53"/>
  <c r="AK12" i="53"/>
  <c r="AK11" i="53"/>
  <c r="AK10" i="53"/>
  <c r="AK9" i="53"/>
  <c r="AK8" i="53"/>
  <c r="AK7" i="53"/>
  <c r="AK6" i="53"/>
  <c r="AK5" i="53"/>
  <c r="AC158" i="52"/>
  <c r="AJ153" i="52"/>
  <c r="AJ154" i="52" s="1"/>
  <c r="AI153" i="52"/>
  <c r="AI154" i="52" s="1"/>
  <c r="AH153" i="52"/>
  <c r="AH156" i="52" s="1"/>
  <c r="AG153" i="52"/>
  <c r="AF153" i="52"/>
  <c r="AF154" i="52" s="1"/>
  <c r="AE153" i="52"/>
  <c r="G146" i="52"/>
  <c r="AJ139" i="52"/>
  <c r="AI139" i="52"/>
  <c r="AG139" i="52"/>
  <c r="AD139" i="52"/>
  <c r="AC139" i="52"/>
  <c r="AB139" i="52"/>
  <c r="AA139" i="52"/>
  <c r="Z139" i="52"/>
  <c r="X139" i="52"/>
  <c r="W139" i="52"/>
  <c r="V139" i="52"/>
  <c r="U139" i="52"/>
  <c r="T139" i="52"/>
  <c r="S139" i="52"/>
  <c r="R139" i="52"/>
  <c r="P139" i="52"/>
  <c r="O139" i="52"/>
  <c r="N139" i="52"/>
  <c r="M139" i="52"/>
  <c r="L139" i="52"/>
  <c r="J139" i="52"/>
  <c r="I139" i="52"/>
  <c r="H139" i="52"/>
  <c r="G139" i="52"/>
  <c r="F139" i="52"/>
  <c r="AN129" i="52"/>
  <c r="AR128" i="52"/>
  <c r="AS114" i="53" s="1"/>
  <c r="B125" i="52"/>
  <c r="D125" i="52" s="1"/>
  <c r="AN128" i="52" s="1"/>
  <c r="AN123" i="52"/>
  <c r="B123" i="52"/>
  <c r="D123" i="52" s="1"/>
  <c r="AH123" i="52" s="1"/>
  <c r="AO122" i="52"/>
  <c r="AR97" i="60" s="1"/>
  <c r="AK121" i="52"/>
  <c r="AK120" i="52"/>
  <c r="D120" i="52"/>
  <c r="AK119" i="52"/>
  <c r="D119" i="52"/>
  <c r="AK118" i="52"/>
  <c r="AK117" i="52"/>
  <c r="AK116" i="52"/>
  <c r="AK115" i="52"/>
  <c r="AK114" i="52"/>
  <c r="Y113" i="52"/>
  <c r="AK113" i="52" s="1"/>
  <c r="D113" i="52"/>
  <c r="AE112" i="52"/>
  <c r="AK112" i="52" s="1"/>
  <c r="AK111" i="52"/>
  <c r="AE111" i="52"/>
  <c r="AK110" i="52"/>
  <c r="AE109" i="52"/>
  <c r="AK109" i="52" s="1"/>
  <c r="AK108" i="52"/>
  <c r="AK107" i="52"/>
  <c r="AE107" i="52"/>
  <c r="AE106" i="52"/>
  <c r="AK106" i="52" s="1"/>
  <c r="AK105" i="52"/>
  <c r="D105" i="52"/>
  <c r="AE105" i="52" s="1"/>
  <c r="AK104" i="52"/>
  <c r="AK103" i="52"/>
  <c r="Y103" i="52"/>
  <c r="AK102" i="52"/>
  <c r="Q101" i="52"/>
  <c r="AK101" i="52" s="1"/>
  <c r="D101" i="52"/>
  <c r="AK100" i="52"/>
  <c r="Y99" i="52"/>
  <c r="AK98" i="52"/>
  <c r="AK97" i="52"/>
  <c r="Q96" i="52"/>
  <c r="AK96" i="52" s="1"/>
  <c r="D96" i="52"/>
  <c r="AK95" i="52"/>
  <c r="AK94" i="52"/>
  <c r="AK93" i="52"/>
  <c r="Q93" i="52"/>
  <c r="D93" i="52"/>
  <c r="AK92" i="52"/>
  <c r="AK91" i="52"/>
  <c r="D90" i="52"/>
  <c r="K90" i="52" s="1"/>
  <c r="AK89" i="52"/>
  <c r="AF88" i="52"/>
  <c r="AK87" i="52"/>
  <c r="AK86" i="52"/>
  <c r="AK85" i="52"/>
  <c r="AK84" i="52"/>
  <c r="AK83" i="52"/>
  <c r="Q82" i="52"/>
  <c r="AK82" i="52" s="1"/>
  <c r="D82" i="52"/>
  <c r="Q81" i="52"/>
  <c r="D81" i="52"/>
  <c r="AK80" i="52"/>
  <c r="AK79" i="52"/>
  <c r="AK78" i="52"/>
  <c r="AK77" i="52"/>
  <c r="AK76" i="52"/>
  <c r="AK75" i="52"/>
  <c r="AK74" i="52"/>
  <c r="AK73" i="52"/>
  <c r="AK72" i="52"/>
  <c r="AK71" i="52"/>
  <c r="AK70" i="52"/>
  <c r="AK69" i="52"/>
  <c r="AK68" i="52"/>
  <c r="AK67" i="52"/>
  <c r="AK66" i="52"/>
  <c r="AK65" i="52"/>
  <c r="AK64" i="52"/>
  <c r="AK63" i="52"/>
  <c r="AK62" i="52"/>
  <c r="AK61" i="52"/>
  <c r="AK60" i="52"/>
  <c r="D57" i="52"/>
  <c r="AJ56" i="52"/>
  <c r="AI56" i="52"/>
  <c r="AH56" i="52"/>
  <c r="AG56" i="52"/>
  <c r="AF56" i="52"/>
  <c r="AE56" i="52"/>
  <c r="AD56" i="52"/>
  <c r="AC56" i="52"/>
  <c r="AB56" i="52"/>
  <c r="AA56" i="52"/>
  <c r="Z56" i="52"/>
  <c r="Y56" i="52"/>
  <c r="X56" i="52"/>
  <c r="W56" i="52"/>
  <c r="V56" i="52"/>
  <c r="U56" i="52"/>
  <c r="T56" i="52"/>
  <c r="S56" i="52"/>
  <c r="R56" i="52"/>
  <c r="Q56" i="52"/>
  <c r="P56" i="52"/>
  <c r="O56" i="52"/>
  <c r="N56" i="52"/>
  <c r="M56" i="52"/>
  <c r="L56" i="52"/>
  <c r="K56" i="52"/>
  <c r="J56" i="52"/>
  <c r="I56" i="52"/>
  <c r="H56" i="52"/>
  <c r="G56" i="52"/>
  <c r="F56" i="52"/>
  <c r="D56" i="52"/>
  <c r="AN122" i="52" s="1"/>
  <c r="AN124" i="52" s="1"/>
  <c r="AK55" i="52"/>
  <c r="AK48" i="52"/>
  <c r="AK47" i="52"/>
  <c r="AK46" i="52"/>
  <c r="AK45" i="52"/>
  <c r="AK44" i="52"/>
  <c r="AK43" i="52"/>
  <c r="AK42" i="52"/>
  <c r="AK41" i="52"/>
  <c r="AK40" i="52"/>
  <c r="AK39" i="52"/>
  <c r="AK38" i="52"/>
  <c r="AK37" i="52"/>
  <c r="AK36" i="52"/>
  <c r="AK35" i="52"/>
  <c r="AK34" i="52"/>
  <c r="AK33" i="52"/>
  <c r="AK32" i="52"/>
  <c r="AK31" i="52"/>
  <c r="AK30" i="52"/>
  <c r="AK29" i="52"/>
  <c r="AK28" i="52"/>
  <c r="AK27" i="52"/>
  <c r="AK26" i="52"/>
  <c r="AK25" i="52"/>
  <c r="AK24" i="52"/>
  <c r="AK23" i="52"/>
  <c r="AK22" i="52"/>
  <c r="AK21" i="52"/>
  <c r="AK20" i="52"/>
  <c r="AK19" i="52"/>
  <c r="AK18" i="52"/>
  <c r="AK17" i="52"/>
  <c r="AK16" i="52"/>
  <c r="AK15" i="52"/>
  <c r="AK14" i="52"/>
  <c r="AK13" i="52"/>
  <c r="AK12" i="52"/>
  <c r="AK11" i="52"/>
  <c r="AK10" i="52"/>
  <c r="AK9" i="52"/>
  <c r="AK8" i="52"/>
  <c r="AK7" i="52"/>
  <c r="AK6" i="52"/>
  <c r="AK56" i="52" s="1"/>
  <c r="AK5" i="52"/>
  <c r="G120" i="51"/>
  <c r="AG113" i="51"/>
  <c r="AF113" i="51"/>
  <c r="AE113" i="51"/>
  <c r="AD113" i="51"/>
  <c r="AC113" i="51"/>
  <c r="AB113" i="51"/>
  <c r="AA113" i="51"/>
  <c r="Y113" i="51"/>
  <c r="X113" i="51"/>
  <c r="V113" i="51"/>
  <c r="U113" i="51"/>
  <c r="T113" i="51"/>
  <c r="S113" i="51"/>
  <c r="R113" i="51"/>
  <c r="Q113" i="51"/>
  <c r="O113" i="51"/>
  <c r="N113" i="51"/>
  <c r="M113" i="51"/>
  <c r="L113" i="51"/>
  <c r="K113" i="51"/>
  <c r="J113" i="51"/>
  <c r="H113" i="51"/>
  <c r="G113" i="51"/>
  <c r="F113" i="51"/>
  <c r="B106" i="51"/>
  <c r="D106" i="51" s="1"/>
  <c r="AN104" i="51" s="1"/>
  <c r="AN105" i="51"/>
  <c r="B104" i="51"/>
  <c r="D104" i="51" s="1"/>
  <c r="AI104" i="51" s="1"/>
  <c r="B103" i="51"/>
  <c r="D103" i="51" s="1"/>
  <c r="Z103" i="51" s="1"/>
  <c r="AK103" i="51" s="1"/>
  <c r="AN99" i="51"/>
  <c r="AO98" i="51"/>
  <c r="AR96" i="60" s="1"/>
  <c r="AK98" i="51"/>
  <c r="AK97" i="51"/>
  <c r="D97" i="51"/>
  <c r="AK96" i="51"/>
  <c r="D96" i="51"/>
  <c r="AK95" i="51"/>
  <c r="AK94" i="51"/>
  <c r="AK93" i="51"/>
  <c r="AK92" i="51"/>
  <c r="AK91" i="51"/>
  <c r="AK90" i="51"/>
  <c r="D89" i="51"/>
  <c r="W89" i="51" s="1"/>
  <c r="AK88" i="51"/>
  <c r="AK87" i="51"/>
  <c r="AH86" i="51"/>
  <c r="AK86" i="51" s="1"/>
  <c r="D86" i="51"/>
  <c r="AK85" i="51"/>
  <c r="Z84" i="51"/>
  <c r="AK84" i="51" s="1"/>
  <c r="AK83" i="51"/>
  <c r="Z83" i="51"/>
  <c r="AK82" i="51"/>
  <c r="AH81" i="51"/>
  <c r="AK81" i="51" s="1"/>
  <c r="D81" i="51"/>
  <c r="AH80" i="51"/>
  <c r="AK80" i="51" s="1"/>
  <c r="D80" i="51"/>
  <c r="AK79" i="51"/>
  <c r="AK78" i="51"/>
  <c r="AK77" i="51"/>
  <c r="AK76" i="51"/>
  <c r="AK75" i="51"/>
  <c r="AK74" i="51"/>
  <c r="AK73" i="51"/>
  <c r="AK72" i="51"/>
  <c r="I71" i="51"/>
  <c r="I113" i="51" s="1"/>
  <c r="D71" i="51"/>
  <c r="AK70" i="51"/>
  <c r="AK69" i="51"/>
  <c r="AK68" i="51"/>
  <c r="AK67" i="51"/>
  <c r="AK66" i="51"/>
  <c r="AK65" i="51"/>
  <c r="AK64" i="51"/>
  <c r="AK63" i="51"/>
  <c r="P62" i="51"/>
  <c r="P113" i="51" s="1"/>
  <c r="D62" i="51"/>
  <c r="AK61" i="51"/>
  <c r="AK60" i="51"/>
  <c r="AK59" i="51"/>
  <c r="AK58" i="51"/>
  <c r="AK57" i="51"/>
  <c r="AK56" i="51"/>
  <c r="AK55" i="51"/>
  <c r="AK54" i="51"/>
  <c r="AK53" i="51"/>
  <c r="AK52" i="51"/>
  <c r="AK51" i="51"/>
  <c r="AK50" i="51"/>
  <c r="AK49" i="51"/>
  <c r="AK48" i="51"/>
  <c r="AK47" i="51"/>
  <c r="AK46" i="51"/>
  <c r="AK45" i="51"/>
  <c r="AK44" i="51"/>
  <c r="AJ40" i="51"/>
  <c r="AI40" i="51"/>
  <c r="AH40" i="51"/>
  <c r="AG40" i="51"/>
  <c r="AF40" i="51"/>
  <c r="AE40" i="51"/>
  <c r="AD40" i="51"/>
  <c r="AC40" i="51"/>
  <c r="AB40" i="51"/>
  <c r="AA40" i="51"/>
  <c r="Z40" i="51"/>
  <c r="Y40" i="51"/>
  <c r="X40" i="51"/>
  <c r="W40" i="51"/>
  <c r="V40" i="51"/>
  <c r="U40" i="51"/>
  <c r="T40" i="51"/>
  <c r="S40" i="51"/>
  <c r="R40" i="51"/>
  <c r="Q40" i="51"/>
  <c r="P40" i="51"/>
  <c r="O40" i="51"/>
  <c r="N40" i="51"/>
  <c r="L40" i="51"/>
  <c r="K40" i="51"/>
  <c r="J40" i="51"/>
  <c r="I40" i="51"/>
  <c r="H40" i="51"/>
  <c r="G40" i="51"/>
  <c r="F40" i="51"/>
  <c r="D40" i="51"/>
  <c r="AN98" i="51" s="1"/>
  <c r="AK39" i="51"/>
  <c r="AK38" i="51"/>
  <c r="AK37" i="51"/>
  <c r="AK36" i="51"/>
  <c r="AK35" i="51"/>
  <c r="AK34" i="51"/>
  <c r="AK33" i="51"/>
  <c r="AK32" i="51"/>
  <c r="AK31" i="51"/>
  <c r="AK30" i="51"/>
  <c r="AK29" i="51"/>
  <c r="AK28" i="51"/>
  <c r="AK27" i="51"/>
  <c r="AK26" i="51"/>
  <c r="AK25" i="51"/>
  <c r="AK24" i="51"/>
  <c r="AK23" i="51"/>
  <c r="AK22" i="51"/>
  <c r="AK21" i="51"/>
  <c r="AK20" i="51"/>
  <c r="AK19" i="51"/>
  <c r="AK18" i="51"/>
  <c r="AK17" i="51"/>
  <c r="AK16" i="51"/>
  <c r="M15" i="51"/>
  <c r="M40" i="51" s="1"/>
  <c r="D15" i="51"/>
  <c r="D41" i="51" s="1"/>
  <c r="AK14" i="51"/>
  <c r="AK13" i="51"/>
  <c r="AK12" i="51"/>
  <c r="AK11" i="51"/>
  <c r="AK10" i="51"/>
  <c r="AK9" i="51"/>
  <c r="AK8" i="51"/>
  <c r="AK7" i="51"/>
  <c r="AK6" i="51"/>
  <c r="AK5" i="51"/>
  <c r="AJ110" i="50"/>
  <c r="AI110" i="50"/>
  <c r="AH110" i="50"/>
  <c r="AG110" i="50"/>
  <c r="AF110" i="50"/>
  <c r="AE110" i="50"/>
  <c r="AC110" i="50"/>
  <c r="AB110" i="50"/>
  <c r="Y110" i="50"/>
  <c r="X110" i="50"/>
  <c r="W110" i="50"/>
  <c r="V110" i="50"/>
  <c r="U110" i="50"/>
  <c r="T110" i="50"/>
  <c r="S110" i="50"/>
  <c r="R110" i="50"/>
  <c r="Q110" i="50"/>
  <c r="P110" i="50"/>
  <c r="O110" i="50"/>
  <c r="N110" i="50"/>
  <c r="M110" i="50"/>
  <c r="L110" i="50"/>
  <c r="K110" i="50"/>
  <c r="J110" i="50"/>
  <c r="I110" i="50"/>
  <c r="H110" i="50"/>
  <c r="G110" i="50"/>
  <c r="F110" i="50"/>
  <c r="AN106" i="50"/>
  <c r="AK105" i="50"/>
  <c r="B105" i="50"/>
  <c r="D105" i="50" s="1"/>
  <c r="AK104" i="50"/>
  <c r="B104" i="50"/>
  <c r="D104" i="50" s="1"/>
  <c r="AN105" i="50" s="1"/>
  <c r="B101" i="50"/>
  <c r="D101" i="50" s="1"/>
  <c r="AD101" i="50" s="1"/>
  <c r="AK101" i="50" s="1"/>
  <c r="AN100" i="50"/>
  <c r="B100" i="50"/>
  <c r="D100" i="50" s="1"/>
  <c r="AK98" i="50"/>
  <c r="AK97" i="50"/>
  <c r="AK96" i="50"/>
  <c r="AK95" i="50"/>
  <c r="AK94" i="50"/>
  <c r="AK93" i="50"/>
  <c r="AK92" i="50"/>
  <c r="AK91" i="50"/>
  <c r="Z90" i="50"/>
  <c r="AK90" i="50" s="1"/>
  <c r="D90" i="50"/>
  <c r="AK89" i="50"/>
  <c r="D89" i="50"/>
  <c r="AK88" i="50"/>
  <c r="AK87" i="50"/>
  <c r="AK86" i="50"/>
  <c r="R86" i="50"/>
  <c r="D86" i="50"/>
  <c r="AK85" i="50"/>
  <c r="AK84" i="50"/>
  <c r="AK83" i="50"/>
  <c r="AK82" i="50"/>
  <c r="AK81" i="50"/>
  <c r="AK80" i="50"/>
  <c r="AK79" i="50"/>
  <c r="AK78" i="50"/>
  <c r="AK77" i="50"/>
  <c r="AK76" i="50"/>
  <c r="AK75" i="50"/>
  <c r="AK74" i="50"/>
  <c r="AK73" i="50"/>
  <c r="AK72" i="50"/>
  <c r="D72" i="50"/>
  <c r="AK71" i="50"/>
  <c r="AK70" i="50"/>
  <c r="Z70" i="50"/>
  <c r="D70" i="50"/>
  <c r="AK69" i="50"/>
  <c r="AK68" i="50"/>
  <c r="AK67" i="50"/>
  <c r="AK66" i="50"/>
  <c r="AK65" i="50"/>
  <c r="AK64" i="50"/>
  <c r="AK63" i="50"/>
  <c r="AK62" i="50"/>
  <c r="AK61" i="50"/>
  <c r="AK60" i="50"/>
  <c r="AK59" i="50"/>
  <c r="AK58" i="50"/>
  <c r="AK57" i="50"/>
  <c r="AK56" i="50"/>
  <c r="AK55" i="50"/>
  <c r="AK54" i="50"/>
  <c r="AK53" i="50"/>
  <c r="AK52" i="50"/>
  <c r="AK51" i="50"/>
  <c r="AK50" i="50"/>
  <c r="AK49" i="50"/>
  <c r="AK48" i="50"/>
  <c r="AJ44" i="50"/>
  <c r="AI44" i="50"/>
  <c r="AH44" i="50"/>
  <c r="AG44" i="50"/>
  <c r="AF44" i="50"/>
  <c r="AE44" i="50"/>
  <c r="AD44" i="50"/>
  <c r="AC44" i="50"/>
  <c r="AB44" i="50"/>
  <c r="AA44" i="50"/>
  <c r="Z44" i="50"/>
  <c r="Y44" i="50"/>
  <c r="X44" i="50"/>
  <c r="W44" i="50"/>
  <c r="V44" i="50"/>
  <c r="U44" i="50"/>
  <c r="T44" i="50"/>
  <c r="S44" i="50"/>
  <c r="R44" i="50"/>
  <c r="Q44" i="50"/>
  <c r="P44" i="50"/>
  <c r="O44" i="50"/>
  <c r="N44" i="50"/>
  <c r="M44" i="50"/>
  <c r="L44" i="50"/>
  <c r="K44" i="50"/>
  <c r="J44" i="50"/>
  <c r="I44" i="50"/>
  <c r="H44" i="50"/>
  <c r="G44" i="50"/>
  <c r="F44" i="50"/>
  <c r="D44" i="50"/>
  <c r="AN99" i="50" s="1"/>
  <c r="AN101" i="50" s="1"/>
  <c r="AK41" i="50"/>
  <c r="AK40" i="50"/>
  <c r="AK39" i="50"/>
  <c r="AK38" i="50"/>
  <c r="D38" i="50"/>
  <c r="D45" i="50" s="1"/>
  <c r="AK37" i="50"/>
  <c r="AK36" i="50"/>
  <c r="AK35" i="50"/>
  <c r="AK34" i="50"/>
  <c r="AK33" i="50"/>
  <c r="AK32" i="50"/>
  <c r="AK31" i="50"/>
  <c r="AK30" i="50"/>
  <c r="AK29" i="50"/>
  <c r="AK28" i="50"/>
  <c r="AK27" i="50"/>
  <c r="AK26" i="50"/>
  <c r="AK25" i="50"/>
  <c r="AK24" i="50"/>
  <c r="AK23" i="50"/>
  <c r="AK22" i="50"/>
  <c r="AK21" i="50"/>
  <c r="AK20" i="50"/>
  <c r="AK19" i="50"/>
  <c r="AK18" i="50"/>
  <c r="AK17" i="50"/>
  <c r="AK16" i="50"/>
  <c r="AK15" i="50"/>
  <c r="AK14" i="50"/>
  <c r="AK13" i="50"/>
  <c r="AK12" i="50"/>
  <c r="AK11" i="50"/>
  <c r="AK10" i="50"/>
  <c r="AK9" i="50"/>
  <c r="AK8" i="50"/>
  <c r="AK7" i="50"/>
  <c r="AK44" i="50" s="1"/>
  <c r="AK6" i="50"/>
  <c r="AK5" i="50"/>
  <c r="AJ82" i="48"/>
  <c r="AI82" i="48"/>
  <c r="AG82" i="48"/>
  <c r="AE82" i="48"/>
  <c r="AD82" i="48"/>
  <c r="AC82" i="48"/>
  <c r="AA82" i="48"/>
  <c r="Z82" i="48"/>
  <c r="Y82" i="48"/>
  <c r="X82" i="48"/>
  <c r="W82" i="48"/>
  <c r="V82" i="48"/>
  <c r="U82" i="48"/>
  <c r="T82" i="48"/>
  <c r="S82" i="48"/>
  <c r="R82" i="48"/>
  <c r="Q82" i="48"/>
  <c r="P82" i="48"/>
  <c r="O82" i="48"/>
  <c r="N82" i="48"/>
  <c r="L82" i="48"/>
  <c r="K82" i="48"/>
  <c r="J82" i="48"/>
  <c r="I82" i="48"/>
  <c r="H82" i="48"/>
  <c r="G82" i="48"/>
  <c r="F82" i="48"/>
  <c r="AN79" i="48"/>
  <c r="AK76" i="48"/>
  <c r="D76" i="48"/>
  <c r="B76" i="48"/>
  <c r="AK75" i="48"/>
  <c r="B75" i="48"/>
  <c r="D75" i="48" s="1"/>
  <c r="AN78" i="48" s="1"/>
  <c r="AO72" i="48"/>
  <c r="AR94" i="60" s="1"/>
  <c r="AK71" i="48"/>
  <c r="AF70" i="48"/>
  <c r="AF82" i="48" s="1"/>
  <c r="D70" i="48"/>
  <c r="AK69" i="48"/>
  <c r="AK68" i="48"/>
  <c r="AK67" i="48"/>
  <c r="AK66" i="48"/>
  <c r="AK65" i="48"/>
  <c r="AK64" i="48"/>
  <c r="AK63" i="48"/>
  <c r="D63" i="48"/>
  <c r="AK62" i="48"/>
  <c r="AK61" i="48"/>
  <c r="AK60" i="48"/>
  <c r="D60" i="48"/>
  <c r="AK59" i="48"/>
  <c r="AK58" i="48"/>
  <c r="AK57" i="48"/>
  <c r="AK56" i="48"/>
  <c r="AK55" i="48"/>
  <c r="AB55" i="48"/>
  <c r="AB82" i="48" s="1"/>
  <c r="D55" i="48"/>
  <c r="AK54" i="48"/>
  <c r="AK53" i="48"/>
  <c r="AK52" i="48"/>
  <c r="AK51" i="48"/>
  <c r="AK50" i="48"/>
  <c r="AK49" i="48"/>
  <c r="AK48" i="48"/>
  <c r="AK47" i="48"/>
  <c r="AK46" i="48"/>
  <c r="AK45" i="48"/>
  <c r="AH45" i="48"/>
  <c r="AH82" i="48" s="1"/>
  <c r="D45" i="48"/>
  <c r="M44" i="48"/>
  <c r="AK44" i="48" s="1"/>
  <c r="D44" i="48"/>
  <c r="AK43" i="48"/>
  <c r="AK42" i="48"/>
  <c r="AK41" i="48"/>
  <c r="M40" i="48"/>
  <c r="AK40" i="48" s="1"/>
  <c r="D40" i="48"/>
  <c r="AK39" i="48"/>
  <c r="AK38" i="48"/>
  <c r="AK37" i="48"/>
  <c r="AK36" i="48"/>
  <c r="AK35" i="48"/>
  <c r="AK34" i="48"/>
  <c r="AK33" i="48"/>
  <c r="D30" i="48"/>
  <c r="AJ29" i="48"/>
  <c r="AI29" i="48"/>
  <c r="AH29" i="48"/>
  <c r="AG29" i="48"/>
  <c r="AF29" i="48"/>
  <c r="AE29" i="48"/>
  <c r="AD29" i="48"/>
  <c r="AC29" i="48"/>
  <c r="AB29" i="48"/>
  <c r="AA29" i="48"/>
  <c r="Z29" i="48"/>
  <c r="Y29" i="48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D29" i="48"/>
  <c r="AN72" i="48" s="1"/>
  <c r="AK28" i="48"/>
  <c r="AK27" i="48"/>
  <c r="AK26" i="48"/>
  <c r="AK25" i="48"/>
  <c r="AK24" i="48"/>
  <c r="AK23" i="48"/>
  <c r="AK22" i="48"/>
  <c r="AK21" i="48"/>
  <c r="AK20" i="48"/>
  <c r="AK19" i="48"/>
  <c r="AK18" i="48"/>
  <c r="AK17" i="48"/>
  <c r="AK16" i="48"/>
  <c r="AK15" i="48"/>
  <c r="AK14" i="48"/>
  <c r="AK13" i="48"/>
  <c r="AK12" i="48"/>
  <c r="AK11" i="48"/>
  <c r="AK10" i="48"/>
  <c r="AK9" i="48"/>
  <c r="AK8" i="48"/>
  <c r="AK7" i="48"/>
  <c r="AK6" i="48"/>
  <c r="AK5" i="48"/>
  <c r="F87" i="47"/>
  <c r="AI81" i="47"/>
  <c r="AG81" i="47"/>
  <c r="AF81" i="47"/>
  <c r="AE81" i="47"/>
  <c r="AD81" i="47"/>
  <c r="AC81" i="47"/>
  <c r="AB81" i="47"/>
  <c r="AA81" i="47"/>
  <c r="Z81" i="47"/>
  <c r="Y81" i="47"/>
  <c r="X81" i="47"/>
  <c r="W81" i="47"/>
  <c r="V81" i="47"/>
  <c r="U81" i="47"/>
  <c r="T81" i="47"/>
  <c r="S81" i="47"/>
  <c r="R81" i="47"/>
  <c r="Q81" i="47"/>
  <c r="P81" i="47"/>
  <c r="O81" i="47"/>
  <c r="N81" i="47"/>
  <c r="M81" i="47"/>
  <c r="L81" i="47"/>
  <c r="K81" i="47"/>
  <c r="J81" i="47"/>
  <c r="I81" i="47"/>
  <c r="H81" i="47"/>
  <c r="F81" i="47"/>
  <c r="AO79" i="47"/>
  <c r="B75" i="47"/>
  <c r="D75" i="47" s="1"/>
  <c r="AH75" i="47" s="1"/>
  <c r="AK75" i="47" s="1"/>
  <c r="B74" i="47"/>
  <c r="D74" i="47" s="1"/>
  <c r="AN78" i="47" s="1"/>
  <c r="AK73" i="47"/>
  <c r="AO72" i="47"/>
  <c r="AK72" i="47"/>
  <c r="B71" i="47"/>
  <c r="D71" i="47" s="1"/>
  <c r="G71" i="47" s="1"/>
  <c r="AK71" i="47" s="1"/>
  <c r="B70" i="47"/>
  <c r="D70" i="47" s="1"/>
  <c r="G70" i="47" s="1"/>
  <c r="AK68" i="47"/>
  <c r="AJ67" i="47"/>
  <c r="AK67" i="47" s="1"/>
  <c r="D67" i="47"/>
  <c r="AJ66" i="47"/>
  <c r="AK66" i="47" s="1"/>
  <c r="D66" i="47"/>
  <c r="AJ65" i="47"/>
  <c r="AK65" i="47" s="1"/>
  <c r="D65" i="47"/>
  <c r="AK64" i="47"/>
  <c r="AK63" i="47"/>
  <c r="AK62" i="47"/>
  <c r="AK61" i="47"/>
  <c r="AJ60" i="47"/>
  <c r="AK60" i="47" s="1"/>
  <c r="D60" i="47"/>
  <c r="AK59" i="47"/>
  <c r="AK58" i="47"/>
  <c r="AK57" i="47"/>
  <c r="AK56" i="47"/>
  <c r="AK55" i="47"/>
  <c r="AJ55" i="47"/>
  <c r="D55" i="47"/>
  <c r="AJ54" i="47"/>
  <c r="AK54" i="47" s="1"/>
  <c r="D54" i="47"/>
  <c r="AK53" i="47"/>
  <c r="AJ53" i="47"/>
  <c r="D53" i="47"/>
  <c r="AK52" i="47"/>
  <c r="D51" i="47"/>
  <c r="AK50" i="47"/>
  <c r="AK46" i="47"/>
  <c r="AK45" i="47"/>
  <c r="D44" i="47"/>
  <c r="AN73" i="47" s="1"/>
  <c r="AJ43" i="47"/>
  <c r="AK43" i="47" s="1"/>
  <c r="D43" i="47"/>
  <c r="AK42" i="47"/>
  <c r="AK41" i="47"/>
  <c r="AK39" i="47"/>
  <c r="AK38" i="47"/>
  <c r="AK37" i="47"/>
  <c r="AJ37" i="47"/>
  <c r="D37" i="47"/>
  <c r="AJ36" i="47"/>
  <c r="AK36" i="47" s="1"/>
  <c r="D36" i="47"/>
  <c r="AK35" i="47"/>
  <c r="AK34" i="47"/>
  <c r="AK33" i="47"/>
  <c r="AK32" i="47"/>
  <c r="AK31" i="47"/>
  <c r="AK30" i="47"/>
  <c r="AK29" i="47"/>
  <c r="AJ25" i="47"/>
  <c r="AI25" i="47"/>
  <c r="AH25" i="47"/>
  <c r="AG25" i="47"/>
  <c r="AF25" i="47"/>
  <c r="AE25" i="47"/>
  <c r="AD25" i="47"/>
  <c r="AC25" i="47"/>
  <c r="AB25" i="47"/>
  <c r="AA25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D25" i="47"/>
  <c r="AN72" i="47" s="1"/>
  <c r="AK22" i="47"/>
  <c r="AK21" i="47"/>
  <c r="AK20" i="47"/>
  <c r="AK19" i="47"/>
  <c r="AK18" i="47"/>
  <c r="AK17" i="47"/>
  <c r="AK16" i="47"/>
  <c r="AK15" i="47"/>
  <c r="AK14" i="47"/>
  <c r="AK13" i="47"/>
  <c r="AK12" i="47"/>
  <c r="AK11" i="47"/>
  <c r="AK10" i="47"/>
  <c r="AK9" i="47"/>
  <c r="AK8" i="47"/>
  <c r="AK7" i="47"/>
  <c r="AK6" i="47"/>
  <c r="AK5" i="47"/>
  <c r="AN73" i="46"/>
  <c r="AJ72" i="46"/>
  <c r="AI72" i="46"/>
  <c r="AH72" i="46"/>
  <c r="AG72" i="46"/>
  <c r="AF72" i="46"/>
  <c r="AE72" i="46"/>
  <c r="AC72" i="46"/>
  <c r="AB72" i="46"/>
  <c r="AA72" i="46"/>
  <c r="Z72" i="46"/>
  <c r="Y72" i="46"/>
  <c r="X72" i="46"/>
  <c r="V72" i="46"/>
  <c r="U72" i="46"/>
  <c r="T72" i="46"/>
  <c r="S72" i="46"/>
  <c r="R72" i="46"/>
  <c r="P72" i="46"/>
  <c r="O72" i="46"/>
  <c r="N72" i="46"/>
  <c r="M72" i="46"/>
  <c r="L72" i="46"/>
  <c r="K72" i="46"/>
  <c r="J72" i="46"/>
  <c r="I72" i="46"/>
  <c r="H72" i="46"/>
  <c r="G72" i="46"/>
  <c r="F72" i="46"/>
  <c r="AK70" i="46"/>
  <c r="B70" i="46"/>
  <c r="D70" i="46" s="1"/>
  <c r="AK69" i="46"/>
  <c r="B69" i="46"/>
  <c r="D69" i="46" s="1"/>
  <c r="AN72" i="46" s="1"/>
  <c r="AK68" i="46"/>
  <c r="AK67" i="46"/>
  <c r="AK66" i="46"/>
  <c r="AK65" i="46"/>
  <c r="AK64" i="46"/>
  <c r="AK63" i="46"/>
  <c r="D63" i="46"/>
  <c r="AK62" i="46"/>
  <c r="D62" i="46"/>
  <c r="AD61" i="46"/>
  <c r="AK61" i="46" s="1"/>
  <c r="D61" i="46"/>
  <c r="AK60" i="46"/>
  <c r="AD60" i="46"/>
  <c r="D60" i="46"/>
  <c r="AK59" i="46"/>
  <c r="AK58" i="46"/>
  <c r="AK57" i="46"/>
  <c r="AD56" i="46"/>
  <c r="AD72" i="46" s="1"/>
  <c r="D56" i="46"/>
  <c r="AK55" i="46"/>
  <c r="AK54" i="46"/>
  <c r="W53" i="46"/>
  <c r="AK53" i="46" s="1"/>
  <c r="D53" i="46"/>
  <c r="AN67" i="46" s="1"/>
  <c r="AK52" i="46"/>
  <c r="Q51" i="46"/>
  <c r="AK51" i="46" s="1"/>
  <c r="D51" i="46"/>
  <c r="AK50" i="46"/>
  <c r="Q49" i="46"/>
  <c r="AK49" i="46" s="1"/>
  <c r="D49" i="46"/>
  <c r="AK48" i="46"/>
  <c r="Q47" i="46"/>
  <c r="AK47" i="46" s="1"/>
  <c r="D47" i="46"/>
  <c r="AK46" i="46"/>
  <c r="Q45" i="46"/>
  <c r="AK45" i="46" s="1"/>
  <c r="D45" i="46"/>
  <c r="AK44" i="46"/>
  <c r="Q43" i="46"/>
  <c r="AK43" i="46" s="1"/>
  <c r="D43" i="46"/>
  <c r="AK42" i="46"/>
  <c r="Q42" i="46"/>
  <c r="D42" i="46"/>
  <c r="Q41" i="46"/>
  <c r="D41" i="46"/>
  <c r="AK40" i="46"/>
  <c r="AK39" i="46"/>
  <c r="AK38" i="46"/>
  <c r="AK37" i="46"/>
  <c r="AK36" i="46"/>
  <c r="AK35" i="46"/>
  <c r="AK34" i="46"/>
  <c r="AK33" i="46"/>
  <c r="AK32" i="46"/>
  <c r="AJ28" i="46"/>
  <c r="AI28" i="46"/>
  <c r="AH28" i="46"/>
  <c r="AG28" i="46"/>
  <c r="AF28" i="46"/>
  <c r="AE28" i="46"/>
  <c r="AD28" i="46"/>
  <c r="AC28" i="46"/>
  <c r="AB28" i="46"/>
  <c r="AA28" i="46"/>
  <c r="Z28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D28" i="46"/>
  <c r="AN66" i="46" s="1"/>
  <c r="AK26" i="46"/>
  <c r="AK24" i="46"/>
  <c r="AK23" i="46"/>
  <c r="AK22" i="46"/>
  <c r="AK21" i="46"/>
  <c r="AK20" i="46"/>
  <c r="AK19" i="46"/>
  <c r="AK18" i="46"/>
  <c r="AK17" i="46"/>
  <c r="AK16" i="46"/>
  <c r="AK15" i="46"/>
  <c r="AK14" i="46"/>
  <c r="AK13" i="46"/>
  <c r="AK12" i="46"/>
  <c r="AK11" i="46"/>
  <c r="AK10" i="46"/>
  <c r="AK9" i="46"/>
  <c r="AK8" i="46"/>
  <c r="AK7" i="46"/>
  <c r="AK6" i="46"/>
  <c r="D6" i="47" s="1"/>
  <c r="D26" i="47" s="1"/>
  <c r="AK5" i="46"/>
  <c r="AN77" i="45"/>
  <c r="AJ74" i="45"/>
  <c r="AI74" i="45"/>
  <c r="AH74" i="45"/>
  <c r="AF74" i="45"/>
  <c r="AE74" i="45"/>
  <c r="AD74" i="45"/>
  <c r="AC74" i="45"/>
  <c r="AB74" i="45"/>
  <c r="AA74" i="45"/>
  <c r="Z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B72" i="45"/>
  <c r="D72" i="45" s="1"/>
  <c r="AG72" i="45" s="1"/>
  <c r="AK72" i="45" s="1"/>
  <c r="B71" i="45"/>
  <c r="D71" i="45" s="1"/>
  <c r="AN76" i="45" s="1"/>
  <c r="AN70" i="45"/>
  <c r="AK69" i="45"/>
  <c r="D69" i="45"/>
  <c r="AK68" i="45"/>
  <c r="D68" i="45"/>
  <c r="AN74" i="45" s="1"/>
  <c r="AK67" i="45"/>
  <c r="AK66" i="45"/>
  <c r="D66" i="45"/>
  <c r="AK65" i="45"/>
  <c r="AK64" i="45"/>
  <c r="AK63" i="45"/>
  <c r="D63" i="45"/>
  <c r="AK62" i="45"/>
  <c r="D62" i="45"/>
  <c r="AK61" i="45"/>
  <c r="D61" i="45"/>
  <c r="AN71" i="45" s="1"/>
  <c r="AK60" i="45"/>
  <c r="D60" i="45"/>
  <c r="AK59" i="45"/>
  <c r="Y58" i="45"/>
  <c r="AK58" i="45" s="1"/>
  <c r="D58" i="45"/>
  <c r="AK57" i="45"/>
  <c r="AK56" i="45"/>
  <c r="AK55" i="45"/>
  <c r="Y54" i="45"/>
  <c r="AK54" i="45" s="1"/>
  <c r="D54" i="45"/>
  <c r="AK53" i="45"/>
  <c r="AK52" i="45"/>
  <c r="AK51" i="45"/>
  <c r="AK50" i="45"/>
  <c r="AK49" i="45"/>
  <c r="Y48" i="45"/>
  <c r="AK48" i="45" s="1"/>
  <c r="D48" i="45"/>
  <c r="AK47" i="45"/>
  <c r="AK46" i="45"/>
  <c r="Y45" i="45"/>
  <c r="AK45" i="45" s="1"/>
  <c r="D45" i="45"/>
  <c r="Y44" i="45"/>
  <c r="AK44" i="45" s="1"/>
  <c r="D44" i="45"/>
  <c r="AK43" i="45"/>
  <c r="Y43" i="45"/>
  <c r="D43" i="45"/>
  <c r="AK42" i="45"/>
  <c r="AK41" i="45"/>
  <c r="Y41" i="45"/>
  <c r="D41" i="45"/>
  <c r="Y40" i="45"/>
  <c r="D40" i="45"/>
  <c r="AK39" i="45"/>
  <c r="AK38" i="45"/>
  <c r="AK37" i="45"/>
  <c r="AK36" i="45"/>
  <c r="AK35" i="45"/>
  <c r="AK34" i="45"/>
  <c r="AK33" i="45"/>
  <c r="AK32" i="45"/>
  <c r="AJ29" i="45"/>
  <c r="AI29" i="45"/>
  <c r="AH29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D29" i="45"/>
  <c r="AK26" i="45"/>
  <c r="AK25" i="45"/>
  <c r="AK24" i="45"/>
  <c r="AK23" i="45"/>
  <c r="AK22" i="45"/>
  <c r="AK21" i="45"/>
  <c r="AK20" i="45"/>
  <c r="AK19" i="45"/>
  <c r="AK18" i="45"/>
  <c r="AK17" i="45"/>
  <c r="AK16" i="45"/>
  <c r="AK15" i="45"/>
  <c r="AK14" i="45"/>
  <c r="AK13" i="45"/>
  <c r="AK12" i="45"/>
  <c r="AK11" i="45"/>
  <c r="AK10" i="45"/>
  <c r="AK9" i="45"/>
  <c r="AK8" i="45"/>
  <c r="AK7" i="45"/>
  <c r="AK28" i="45" s="1"/>
  <c r="H57" i="33" s="1"/>
  <c r="AK6" i="45"/>
  <c r="AK5" i="45"/>
  <c r="G79" i="44"/>
  <c r="AJ74" i="44"/>
  <c r="AI74" i="44"/>
  <c r="AH74" i="44"/>
  <c r="AG74" i="44"/>
  <c r="AF74" i="44"/>
  <c r="AE74" i="44"/>
  <c r="AC74" i="44"/>
  <c r="AB74" i="44"/>
  <c r="AA74" i="44"/>
  <c r="Z74" i="44"/>
  <c r="Y74" i="44"/>
  <c r="X74" i="44"/>
  <c r="W74" i="44"/>
  <c r="V74" i="44"/>
  <c r="U74" i="44"/>
  <c r="T74" i="44"/>
  <c r="S74" i="44"/>
  <c r="R74" i="44"/>
  <c r="Q74" i="44"/>
  <c r="O74" i="44"/>
  <c r="N74" i="44"/>
  <c r="M74" i="44"/>
  <c r="L74" i="44"/>
  <c r="K74" i="44"/>
  <c r="J74" i="44"/>
  <c r="I74" i="44"/>
  <c r="H74" i="44"/>
  <c r="G74" i="44"/>
  <c r="F74" i="44"/>
  <c r="AK72" i="44"/>
  <c r="B72" i="44"/>
  <c r="D72" i="44" s="1"/>
  <c r="AK71" i="44"/>
  <c r="AK70" i="44"/>
  <c r="AK69" i="44"/>
  <c r="AK68" i="44"/>
  <c r="D68" i="44"/>
  <c r="AK67" i="44"/>
  <c r="D67" i="44"/>
  <c r="AK66" i="44"/>
  <c r="AK65" i="44"/>
  <c r="D65" i="44"/>
  <c r="AK64" i="44"/>
  <c r="AK63" i="44"/>
  <c r="AK62" i="44"/>
  <c r="D62" i="44"/>
  <c r="AK61" i="44"/>
  <c r="D61" i="44"/>
  <c r="AK60" i="44"/>
  <c r="P59" i="44"/>
  <c r="D59" i="44"/>
  <c r="AK58" i="44"/>
  <c r="AK57" i="44"/>
  <c r="AK56" i="44"/>
  <c r="AK55" i="44"/>
  <c r="AK54" i="44"/>
  <c r="AK53" i="44"/>
  <c r="AK52" i="44"/>
  <c r="AK51" i="44"/>
  <c r="AK50" i="44"/>
  <c r="AK49" i="44"/>
  <c r="P48" i="44"/>
  <c r="AK48" i="44" s="1"/>
  <c r="D48" i="44"/>
  <c r="AK47" i="44"/>
  <c r="AK46" i="44"/>
  <c r="AK45" i="44"/>
  <c r="AK44" i="44"/>
  <c r="AK43" i="44"/>
  <c r="AK42" i="44"/>
  <c r="AK41" i="44"/>
  <c r="AK40" i="44"/>
  <c r="AK39" i="44"/>
  <c r="AD38" i="44"/>
  <c r="AD74" i="44" s="1"/>
  <c r="AK37" i="44"/>
  <c r="AK36" i="44"/>
  <c r="AK35" i="44"/>
  <c r="D33" i="44"/>
  <c r="AJ32" i="44"/>
  <c r="AI32" i="44"/>
  <c r="AH32" i="44"/>
  <c r="AG32" i="44"/>
  <c r="AF32" i="44"/>
  <c r="AE32" i="44"/>
  <c r="AD32" i="44"/>
  <c r="AC32" i="44"/>
  <c r="AB32" i="44"/>
  <c r="AA32" i="44"/>
  <c r="Z32" i="44"/>
  <c r="Y32" i="44"/>
  <c r="X32" i="44"/>
  <c r="W32" i="44"/>
  <c r="V32" i="44"/>
  <c r="U32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H32" i="44"/>
  <c r="G32" i="44"/>
  <c r="F32" i="44"/>
  <c r="D32" i="44"/>
  <c r="AN70" i="44" s="1"/>
  <c r="AK29" i="44"/>
  <c r="AK28" i="44"/>
  <c r="AK27" i="44"/>
  <c r="AK26" i="44"/>
  <c r="AK25" i="44"/>
  <c r="AK24" i="44"/>
  <c r="AK23" i="44"/>
  <c r="AK22" i="44"/>
  <c r="AK21" i="44"/>
  <c r="AK20" i="44"/>
  <c r="AK19" i="44"/>
  <c r="AK18" i="44"/>
  <c r="AK17" i="44"/>
  <c r="AK16" i="44"/>
  <c r="AK15" i="44"/>
  <c r="AK14" i="44"/>
  <c r="AK13" i="44"/>
  <c r="AK12" i="44"/>
  <c r="AK11" i="44"/>
  <c r="AK10" i="44"/>
  <c r="AK9" i="44"/>
  <c r="AK8" i="44"/>
  <c r="AK7" i="44"/>
  <c r="AK6" i="44"/>
  <c r="AK5" i="44"/>
  <c r="AK31" i="44" s="1"/>
  <c r="AJ71" i="43"/>
  <c r="AI71" i="43"/>
  <c r="AH71" i="43"/>
  <c r="AG71" i="43"/>
  <c r="AF71" i="43"/>
  <c r="AD71" i="43"/>
  <c r="AC71" i="43"/>
  <c r="AB71" i="43"/>
  <c r="AA71" i="43"/>
  <c r="Z71" i="43"/>
  <c r="Y71" i="43"/>
  <c r="X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AK68" i="43"/>
  <c r="AK67" i="43"/>
  <c r="D67" i="43"/>
  <c r="AK66" i="43"/>
  <c r="D66" i="43"/>
  <c r="AK65" i="43"/>
  <c r="B65" i="43"/>
  <c r="D65" i="43" s="1"/>
  <c r="AE64" i="43"/>
  <c r="AE71" i="43" s="1"/>
  <c r="D64" i="43"/>
  <c r="AK63" i="43"/>
  <c r="AK62" i="43"/>
  <c r="D62" i="43"/>
  <c r="AK61" i="43"/>
  <c r="D61" i="43"/>
  <c r="AK60" i="43"/>
  <c r="AK59" i="43"/>
  <c r="AK58" i="43"/>
  <c r="AK57" i="43"/>
  <c r="D57" i="43"/>
  <c r="AK56" i="43"/>
  <c r="D56" i="43"/>
  <c r="AK55" i="43"/>
  <c r="AK54" i="43"/>
  <c r="AK53" i="43"/>
  <c r="W52" i="43"/>
  <c r="W71" i="43" s="1"/>
  <c r="D52" i="43"/>
  <c r="AK51" i="43"/>
  <c r="D51" i="43"/>
  <c r="AK50" i="43"/>
  <c r="AK49" i="43"/>
  <c r="AK48" i="43"/>
  <c r="AK47" i="43"/>
  <c r="AK46" i="43"/>
  <c r="AK45" i="43"/>
  <c r="AK44" i="43"/>
  <c r="D44" i="43"/>
  <c r="AK43" i="43"/>
  <c r="D43" i="43"/>
  <c r="AK42" i="43"/>
  <c r="D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J27" i="43"/>
  <c r="AI27" i="43"/>
  <c r="AH27" i="43"/>
  <c r="AG27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D92" i="42"/>
  <c r="AJ86" i="42"/>
  <c r="AI86" i="42"/>
  <c r="AH86" i="42"/>
  <c r="AF86" i="42"/>
  <c r="AE86" i="42"/>
  <c r="AD86" i="42"/>
  <c r="AC86" i="42"/>
  <c r="AB86" i="42"/>
  <c r="AA86" i="42"/>
  <c r="Y86" i="42"/>
  <c r="X86" i="42"/>
  <c r="W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AK84" i="42"/>
  <c r="AK83" i="42"/>
  <c r="D83" i="42"/>
  <c r="AK82" i="42"/>
  <c r="D82" i="42"/>
  <c r="AK81" i="42"/>
  <c r="D81" i="42"/>
  <c r="AK80" i="42"/>
  <c r="AK79" i="42"/>
  <c r="AK78" i="42"/>
  <c r="AK77" i="42"/>
  <c r="B77" i="42"/>
  <c r="D77" i="42" s="1"/>
  <c r="AK76" i="42"/>
  <c r="AG76" i="42"/>
  <c r="D76" i="42"/>
  <c r="AK75" i="42"/>
  <c r="AK74" i="42"/>
  <c r="AK73" i="42"/>
  <c r="AG72" i="42"/>
  <c r="AG86" i="42" s="1"/>
  <c r="D72" i="42"/>
  <c r="Z71" i="42"/>
  <c r="AK71" i="42" s="1"/>
  <c r="D71" i="42"/>
  <c r="AK70" i="42"/>
  <c r="Z69" i="42"/>
  <c r="AK69" i="42" s="1"/>
  <c r="D69" i="42"/>
  <c r="AK68" i="42"/>
  <c r="AK67" i="42"/>
  <c r="AK66" i="42"/>
  <c r="AK65" i="42"/>
  <c r="AK64" i="42"/>
  <c r="AK63" i="42"/>
  <c r="AK62" i="42"/>
  <c r="AK61" i="42"/>
  <c r="AK60" i="42"/>
  <c r="AK59" i="42"/>
  <c r="AK58" i="42"/>
  <c r="Z57" i="42"/>
  <c r="AK57" i="42" s="1"/>
  <c r="D57" i="42"/>
  <c r="AK56" i="42"/>
  <c r="Z56" i="42"/>
  <c r="D56" i="42"/>
  <c r="C46" i="33" s="1"/>
  <c r="AK55" i="42"/>
  <c r="AK54" i="42"/>
  <c r="AK53" i="42"/>
  <c r="AK52" i="42"/>
  <c r="AK51" i="42"/>
  <c r="AK50" i="42"/>
  <c r="AK49" i="42"/>
  <c r="AK48" i="42"/>
  <c r="Z47" i="42"/>
  <c r="AK47" i="42" s="1"/>
  <c r="D47" i="42"/>
  <c r="AK46" i="42"/>
  <c r="AK45" i="42"/>
  <c r="AK44" i="42"/>
  <c r="V43" i="42"/>
  <c r="AK43" i="42" s="1"/>
  <c r="D43" i="42"/>
  <c r="AK42" i="42"/>
  <c r="D42" i="42"/>
  <c r="AK41" i="42"/>
  <c r="D41" i="42"/>
  <c r="AK40" i="42"/>
  <c r="AK39" i="42"/>
  <c r="AK38" i="42"/>
  <c r="AK37" i="42"/>
  <c r="AK36" i="42"/>
  <c r="AK35" i="42"/>
  <c r="AK34" i="42"/>
  <c r="AK33" i="42"/>
  <c r="AK32" i="42"/>
  <c r="AJ29" i="42"/>
  <c r="AI29" i="42"/>
  <c r="AH29" i="42"/>
  <c r="AG29" i="42"/>
  <c r="AF29" i="42"/>
  <c r="AE29" i="42"/>
  <c r="AD29" i="42"/>
  <c r="AC29" i="42"/>
  <c r="AB29" i="42"/>
  <c r="AA29" i="42"/>
  <c r="Z29" i="42"/>
  <c r="Y29" i="42"/>
  <c r="X29" i="42"/>
  <c r="W29" i="42"/>
  <c r="V29" i="42"/>
  <c r="U29" i="42"/>
  <c r="T29" i="42"/>
  <c r="S29" i="42"/>
  <c r="R29" i="42"/>
  <c r="Q29" i="42"/>
  <c r="P29" i="42"/>
  <c r="O29" i="42"/>
  <c r="N29" i="42"/>
  <c r="M29" i="42"/>
  <c r="L29" i="42"/>
  <c r="K29" i="42"/>
  <c r="J29" i="42"/>
  <c r="I29" i="42"/>
  <c r="H29" i="42"/>
  <c r="G29" i="42"/>
  <c r="F29" i="42"/>
  <c r="AK27" i="42"/>
  <c r="AK26" i="42"/>
  <c r="AK25" i="42"/>
  <c r="AK24" i="42"/>
  <c r="AK23" i="42"/>
  <c r="AK22" i="42"/>
  <c r="AK21" i="42"/>
  <c r="AK20" i="42"/>
  <c r="AK19" i="42"/>
  <c r="AK18" i="42"/>
  <c r="AK17" i="42"/>
  <c r="AK16" i="42"/>
  <c r="AK15" i="42"/>
  <c r="AK14" i="42"/>
  <c r="AK13" i="42"/>
  <c r="AK12" i="42"/>
  <c r="AK11" i="42"/>
  <c r="AK10" i="42"/>
  <c r="AK9" i="42"/>
  <c r="D9" i="42"/>
  <c r="B40" i="33" s="1"/>
  <c r="AK8" i="42"/>
  <c r="AK7" i="42"/>
  <c r="AK6" i="42"/>
  <c r="AK5" i="42"/>
  <c r="AJ60" i="41"/>
  <c r="AJ61" i="41" s="1"/>
  <c r="AI60" i="41"/>
  <c r="AI61" i="41" s="1"/>
  <c r="AH60" i="41"/>
  <c r="AH61" i="41" s="1"/>
  <c r="AG60" i="41"/>
  <c r="AF60" i="41"/>
  <c r="AE60" i="41"/>
  <c r="AC60" i="41"/>
  <c r="AB60" i="41"/>
  <c r="AA60" i="41"/>
  <c r="Z60" i="41"/>
  <c r="Y60" i="41"/>
  <c r="X60" i="41"/>
  <c r="W60" i="41"/>
  <c r="V60" i="41"/>
  <c r="U60" i="41"/>
  <c r="T60" i="41"/>
  <c r="S60" i="41"/>
  <c r="R60" i="41"/>
  <c r="Q60" i="41"/>
  <c r="P60" i="41"/>
  <c r="O60" i="41"/>
  <c r="N60" i="41"/>
  <c r="M60" i="41"/>
  <c r="L60" i="41"/>
  <c r="K60" i="41"/>
  <c r="J60" i="41"/>
  <c r="I60" i="41"/>
  <c r="H60" i="41"/>
  <c r="G60" i="41"/>
  <c r="F60" i="41"/>
  <c r="AK58" i="41"/>
  <c r="AK57" i="41"/>
  <c r="D57" i="41"/>
  <c r="AK56" i="41"/>
  <c r="AK55" i="41"/>
  <c r="D55" i="41"/>
  <c r="AK54" i="41"/>
  <c r="AK53" i="41"/>
  <c r="AK52" i="41"/>
  <c r="AK51" i="41"/>
  <c r="AD50" i="41"/>
  <c r="AK50" i="41" s="1"/>
  <c r="D50" i="41"/>
  <c r="AK49" i="41"/>
  <c r="AK48" i="41"/>
  <c r="AK47" i="41"/>
  <c r="AK46" i="41"/>
  <c r="AK45" i="41"/>
  <c r="AK44" i="41"/>
  <c r="AD43" i="41"/>
  <c r="AK43" i="41" s="1"/>
  <c r="D43" i="41"/>
  <c r="AK42" i="41"/>
  <c r="AD41" i="41"/>
  <c r="AK41" i="41" s="1"/>
  <c r="D41" i="41"/>
  <c r="AK40" i="41"/>
  <c r="AK39" i="41"/>
  <c r="AK38" i="41"/>
  <c r="D38" i="41"/>
  <c r="AK35" i="41"/>
  <c r="AK34" i="41"/>
  <c r="AK33" i="41"/>
  <c r="AK32" i="41"/>
  <c r="AK31" i="41"/>
  <c r="AK30" i="41"/>
  <c r="AK29" i="41"/>
  <c r="AK28" i="41"/>
  <c r="AG25" i="41"/>
  <c r="AF25" i="41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AK21" i="41"/>
  <c r="AK20" i="41"/>
  <c r="D20" i="41"/>
  <c r="AK19" i="41"/>
  <c r="AK18" i="41"/>
  <c r="AK17" i="41"/>
  <c r="AK16" i="41"/>
  <c r="AK15" i="41"/>
  <c r="AK14" i="41"/>
  <c r="AK13" i="41"/>
  <c r="AK12" i="41"/>
  <c r="AK11" i="41"/>
  <c r="AK10" i="41"/>
  <c r="AK9" i="41"/>
  <c r="D9" i="41"/>
  <c r="AK8" i="41"/>
  <c r="AK7" i="41"/>
  <c r="AK6" i="41"/>
  <c r="AK5" i="41"/>
  <c r="AK23" i="41" s="1"/>
  <c r="AJ39" i="40"/>
  <c r="AI39" i="40"/>
  <c r="AH39" i="40"/>
  <c r="AG39" i="40"/>
  <c r="AF39" i="40"/>
  <c r="AE39" i="40"/>
  <c r="AD39" i="40"/>
  <c r="AC39" i="40"/>
  <c r="AB39" i="40"/>
  <c r="AA39" i="40"/>
  <c r="Z39" i="40"/>
  <c r="Y39" i="40"/>
  <c r="X39" i="40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AK38" i="40"/>
  <c r="AK37" i="40"/>
  <c r="AK36" i="40"/>
  <c r="AK35" i="40"/>
  <c r="AK34" i="40"/>
  <c r="AK33" i="40"/>
  <c r="D33" i="40"/>
  <c r="AK32" i="40"/>
  <c r="AK31" i="40"/>
  <c r="D31" i="40"/>
  <c r="AK30" i="40"/>
  <c r="D30" i="40"/>
  <c r="AK29" i="40"/>
  <c r="AK28" i="40"/>
  <c r="AK27" i="40"/>
  <c r="AK26" i="40"/>
  <c r="AK25" i="40"/>
  <c r="AK24" i="40"/>
  <c r="AK23" i="40"/>
  <c r="AK22" i="40"/>
  <c r="AK21" i="40"/>
  <c r="AK20" i="40"/>
  <c r="AJ17" i="40"/>
  <c r="AI17" i="40"/>
  <c r="AH17" i="40"/>
  <c r="AG17" i="40"/>
  <c r="AF17" i="40"/>
  <c r="AE17" i="40"/>
  <c r="AD17" i="40"/>
  <c r="AC17" i="40"/>
  <c r="AB17" i="40"/>
  <c r="AA17" i="40"/>
  <c r="Z17" i="40"/>
  <c r="Y17" i="40"/>
  <c r="X17" i="40"/>
  <c r="W17" i="40"/>
  <c r="V17" i="40"/>
  <c r="U17" i="40"/>
  <c r="T17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G17" i="40"/>
  <c r="F17" i="40"/>
  <c r="AK13" i="40"/>
  <c r="D13" i="40"/>
  <c r="AK12" i="40"/>
  <c r="AK11" i="40"/>
  <c r="AK10" i="40"/>
  <c r="AK9" i="40"/>
  <c r="D9" i="40"/>
  <c r="AK8" i="40"/>
  <c r="AK14" i="40" s="1"/>
  <c r="AK7" i="40"/>
  <c r="AK6" i="40"/>
  <c r="AK5" i="40"/>
  <c r="AJ37" i="39"/>
  <c r="AI37" i="39"/>
  <c r="AH37" i="39"/>
  <c r="AG37" i="39"/>
  <c r="AF37" i="39"/>
  <c r="AE37" i="39"/>
  <c r="AD37" i="39"/>
  <c r="AC37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D35" i="39"/>
  <c r="D31" i="39"/>
  <c r="D30" i="39"/>
  <c r="AK29" i="39"/>
  <c r="D29" i="39"/>
  <c r="AK27" i="39"/>
  <c r="AK26" i="39"/>
  <c r="AK25" i="39"/>
  <c r="AK24" i="39"/>
  <c r="AK23" i="39"/>
  <c r="AK22" i="39"/>
  <c r="AK21" i="39"/>
  <c r="AK20" i="39"/>
  <c r="AJ17" i="39"/>
  <c r="AI17" i="39"/>
  <c r="AH17" i="39"/>
  <c r="AG17" i="39"/>
  <c r="AF17" i="39"/>
  <c r="AE17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AK12" i="39"/>
  <c r="AK11" i="39"/>
  <c r="AK10" i="39"/>
  <c r="AK9" i="39"/>
  <c r="D9" i="39"/>
  <c r="M53" i="16" s="1"/>
  <c r="AK8" i="39"/>
  <c r="AK7" i="39"/>
  <c r="AK6" i="39"/>
  <c r="AK5" i="39"/>
  <c r="AI39" i="38"/>
  <c r="AH39" i="38"/>
  <c r="AG39" i="38"/>
  <c r="AF39" i="38"/>
  <c r="AE39" i="38"/>
  <c r="AD39" i="38"/>
  <c r="AC39" i="38"/>
  <c r="AB39" i="38"/>
  <c r="AA39" i="38"/>
  <c r="Z39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D35" i="38"/>
  <c r="AK33" i="38"/>
  <c r="D33" i="38"/>
  <c r="AK32" i="38"/>
  <c r="AK29" i="38"/>
  <c r="AK28" i="38"/>
  <c r="AK27" i="38"/>
  <c r="AK26" i="38"/>
  <c r="AK25" i="38"/>
  <c r="AK24" i="38"/>
  <c r="AK23" i="38"/>
  <c r="AK22" i="38"/>
  <c r="AI19" i="38"/>
  <c r="AH19" i="38"/>
  <c r="AG19" i="38"/>
  <c r="AF19" i="38"/>
  <c r="AE19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AK14" i="38"/>
  <c r="AK13" i="38"/>
  <c r="AK12" i="38"/>
  <c r="AK11" i="38"/>
  <c r="AK10" i="38"/>
  <c r="AK9" i="38"/>
  <c r="D9" i="38"/>
  <c r="AK8" i="38"/>
  <c r="AK7" i="38"/>
  <c r="AK6" i="38"/>
  <c r="AK5" i="38"/>
  <c r="AJ43" i="37"/>
  <c r="AI43" i="37"/>
  <c r="AH43" i="37"/>
  <c r="AG43" i="37"/>
  <c r="AE43" i="37"/>
  <c r="AD43" i="37"/>
  <c r="AC43" i="37"/>
  <c r="AB43" i="37"/>
  <c r="AA43" i="37"/>
  <c r="Z43" i="37"/>
  <c r="Y43" i="37"/>
  <c r="X43" i="37"/>
  <c r="W43" i="37"/>
  <c r="V43" i="37"/>
  <c r="U43" i="37"/>
  <c r="T43" i="37"/>
  <c r="S43" i="37"/>
  <c r="R43" i="37"/>
  <c r="Q43" i="37"/>
  <c r="P43" i="37"/>
  <c r="O43" i="37"/>
  <c r="N43" i="37"/>
  <c r="M43" i="37"/>
  <c r="L43" i="37"/>
  <c r="K43" i="37"/>
  <c r="J43" i="37"/>
  <c r="I43" i="37"/>
  <c r="H43" i="37"/>
  <c r="G43" i="37"/>
  <c r="F43" i="37"/>
  <c r="AK41" i="37"/>
  <c r="AK40" i="37"/>
  <c r="AF39" i="37"/>
  <c r="AK39" i="37" s="1"/>
  <c r="D39" i="37"/>
  <c r="AK38" i="37"/>
  <c r="S37" i="37"/>
  <c r="AK37" i="37" s="1"/>
  <c r="D37" i="37"/>
  <c r="AK36" i="37"/>
  <c r="AK35" i="37"/>
  <c r="AK34" i="37"/>
  <c r="AK33" i="37"/>
  <c r="AK32" i="37"/>
  <c r="D32" i="37"/>
  <c r="AK31" i="37"/>
  <c r="AK29" i="37"/>
  <c r="AK28" i="37"/>
  <c r="AK27" i="37"/>
  <c r="AK26" i="37"/>
  <c r="AK25" i="37"/>
  <c r="AK24" i="37"/>
  <c r="AK23" i="37"/>
  <c r="AK22" i="37"/>
  <c r="AJ19" i="37"/>
  <c r="AI19" i="37"/>
  <c r="AH19" i="37"/>
  <c r="AG19" i="37"/>
  <c r="AF19" i="37"/>
  <c r="AE19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AK14" i="37"/>
  <c r="AK13" i="37"/>
  <c r="AK12" i="37"/>
  <c r="AK11" i="37"/>
  <c r="AK10" i="37"/>
  <c r="AK9" i="37"/>
  <c r="D9" i="37"/>
  <c r="AK8" i="37"/>
  <c r="AK7" i="37"/>
  <c r="AK6" i="37"/>
  <c r="AK5" i="37"/>
  <c r="AK19" i="37" s="1"/>
  <c r="AI41" i="36"/>
  <c r="AH41" i="36"/>
  <c r="AG41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T41" i="36"/>
  <c r="S41" i="36"/>
  <c r="Q41" i="36"/>
  <c r="P41" i="36"/>
  <c r="O41" i="36"/>
  <c r="N41" i="36"/>
  <c r="M41" i="36"/>
  <c r="L41" i="36"/>
  <c r="K41" i="36"/>
  <c r="J41" i="36"/>
  <c r="I41" i="36"/>
  <c r="H41" i="36"/>
  <c r="G41" i="36"/>
  <c r="F41" i="36"/>
  <c r="AK38" i="36"/>
  <c r="AK37" i="36"/>
  <c r="AK36" i="36"/>
  <c r="R36" i="36"/>
  <c r="D36" i="36"/>
  <c r="R35" i="36"/>
  <c r="AK35" i="36" s="1"/>
  <c r="D35" i="36"/>
  <c r="AK34" i="36"/>
  <c r="D34" i="36"/>
  <c r="AK33" i="36"/>
  <c r="AK31" i="36"/>
  <c r="AK30" i="36"/>
  <c r="AK29" i="36"/>
  <c r="AK28" i="36"/>
  <c r="AK27" i="36"/>
  <c r="AK26" i="36"/>
  <c r="AK25" i="36"/>
  <c r="AK24" i="36"/>
  <c r="AI21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AK13" i="36"/>
  <c r="AK12" i="36"/>
  <c r="AK11" i="36"/>
  <c r="AK10" i="36"/>
  <c r="AK9" i="36"/>
  <c r="D9" i="36"/>
  <c r="AK8" i="36"/>
  <c r="AK7" i="36"/>
  <c r="AK6" i="36"/>
  <c r="AK5" i="36"/>
  <c r="D64" i="35"/>
  <c r="D63" i="35"/>
  <c r="AJ55" i="35"/>
  <c r="AH55" i="35"/>
  <c r="AG55" i="35"/>
  <c r="AF55" i="35"/>
  <c r="AE55" i="35"/>
  <c r="AD55" i="35"/>
  <c r="AC55" i="35"/>
  <c r="AB55" i="35"/>
  <c r="AA55" i="35"/>
  <c r="Z55" i="35"/>
  <c r="Y55" i="35"/>
  <c r="X55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AK53" i="35"/>
  <c r="D53" i="35"/>
  <c r="AK52" i="35"/>
  <c r="AK51" i="35"/>
  <c r="AK50" i="35"/>
  <c r="AK49" i="35"/>
  <c r="D49" i="35"/>
  <c r="AK48" i="35"/>
  <c r="AK47" i="35"/>
  <c r="AK46" i="35"/>
  <c r="AK45" i="35"/>
  <c r="D45" i="35"/>
  <c r="AK44" i="35"/>
  <c r="AI43" i="35"/>
  <c r="AK43" i="35" s="1"/>
  <c r="D43" i="35"/>
  <c r="AK42" i="35"/>
  <c r="D42" i="35"/>
  <c r="AK41" i="35"/>
  <c r="AK40" i="35"/>
  <c r="AK39" i="35"/>
  <c r="AK38" i="35"/>
  <c r="AK37" i="35"/>
  <c r="AK36" i="35"/>
  <c r="AK35" i="35"/>
  <c r="AK34" i="35"/>
  <c r="AK33" i="35"/>
  <c r="AK32" i="35"/>
  <c r="AI29" i="35"/>
  <c r="AH29" i="35"/>
  <c r="AG29" i="35"/>
  <c r="AF29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P29" i="35"/>
  <c r="O29" i="35"/>
  <c r="M29" i="35"/>
  <c r="L29" i="35"/>
  <c r="K29" i="35"/>
  <c r="J29" i="35"/>
  <c r="I29" i="35"/>
  <c r="H29" i="35"/>
  <c r="G29" i="35"/>
  <c r="F29" i="35"/>
  <c r="AJ21" i="35"/>
  <c r="AJ29" i="35" s="1"/>
  <c r="D21" i="35"/>
  <c r="AK20" i="35"/>
  <c r="AE20" i="35"/>
  <c r="D20" i="35"/>
  <c r="AK19" i="35"/>
  <c r="AK18" i="35"/>
  <c r="N17" i="35"/>
  <c r="AK17" i="35" s="1"/>
  <c r="D17" i="35"/>
  <c r="AK16" i="35"/>
  <c r="AK15" i="35"/>
  <c r="AK14" i="35"/>
  <c r="Q13" i="35"/>
  <c r="AE13" i="35" s="1"/>
  <c r="AE29" i="35" s="1"/>
  <c r="AK12" i="35"/>
  <c r="AK11" i="35"/>
  <c r="AK10" i="35"/>
  <c r="AK9" i="35"/>
  <c r="D9" i="35"/>
  <c r="AK8" i="35"/>
  <c r="AK7" i="35"/>
  <c r="AK6" i="35"/>
  <c r="AK5" i="35"/>
  <c r="D80" i="34"/>
  <c r="D79" i="34"/>
  <c r="D78" i="34"/>
  <c r="D75" i="34"/>
  <c r="AJ65" i="34"/>
  <c r="AI65" i="34"/>
  <c r="AH65" i="34"/>
  <c r="AG65" i="34"/>
  <c r="AE65" i="34"/>
  <c r="AD65" i="34"/>
  <c r="AC65" i="34"/>
  <c r="AB65" i="34"/>
  <c r="AA65" i="34"/>
  <c r="Z65" i="34"/>
  <c r="Y65" i="34"/>
  <c r="X65" i="34"/>
  <c r="W65" i="34"/>
  <c r="V65" i="34"/>
  <c r="U65" i="34"/>
  <c r="T65" i="34"/>
  <c r="S65" i="34"/>
  <c r="P65" i="34"/>
  <c r="O65" i="34"/>
  <c r="N65" i="34"/>
  <c r="L65" i="34"/>
  <c r="K65" i="34"/>
  <c r="J65" i="34"/>
  <c r="I65" i="34"/>
  <c r="H65" i="34"/>
  <c r="G65" i="34"/>
  <c r="F65" i="34"/>
  <c r="AF61" i="34"/>
  <c r="AF65" i="34" s="1"/>
  <c r="D61" i="34"/>
  <c r="D60" i="34"/>
  <c r="M57" i="34"/>
  <c r="D57" i="34"/>
  <c r="M55" i="34"/>
  <c r="D55" i="34"/>
  <c r="M54" i="34"/>
  <c r="D54" i="34"/>
  <c r="M53" i="34"/>
  <c r="D53" i="34"/>
  <c r="M51" i="34"/>
  <c r="M65" i="34" s="1"/>
  <c r="D51" i="34"/>
  <c r="D48" i="34"/>
  <c r="D47" i="34"/>
  <c r="D46" i="34"/>
  <c r="R46" i="34" s="1"/>
  <c r="R65" i="34" s="1"/>
  <c r="D44" i="34"/>
  <c r="Q43" i="34"/>
  <c r="Q65" i="34" s="1"/>
  <c r="D43" i="34"/>
  <c r="D33" i="34"/>
  <c r="D32" i="34"/>
  <c r="D31" i="34"/>
  <c r="AJ28" i="34"/>
  <c r="AI28" i="34"/>
  <c r="AH28" i="34"/>
  <c r="AG28" i="34"/>
  <c r="AF28" i="34"/>
  <c r="AE28" i="34"/>
  <c r="AD28" i="34"/>
  <c r="AC28" i="34"/>
  <c r="AB28" i="34"/>
  <c r="AA28" i="34"/>
  <c r="Z28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AK22" i="34"/>
  <c r="AK21" i="34"/>
  <c r="AK20" i="34"/>
  <c r="AK19" i="34"/>
  <c r="AK18" i="34"/>
  <c r="AK17" i="34"/>
  <c r="AK16" i="34"/>
  <c r="AK15" i="34"/>
  <c r="AK14" i="34"/>
  <c r="AK13" i="34"/>
  <c r="AK12" i="34"/>
  <c r="AK11" i="34"/>
  <c r="AK10" i="34"/>
  <c r="AK9" i="34"/>
  <c r="D9" i="34"/>
  <c r="AK8" i="34"/>
  <c r="AK7" i="34"/>
  <c r="AK6" i="34"/>
  <c r="AK5" i="34"/>
  <c r="D63" i="32"/>
  <c r="D62" i="32"/>
  <c r="D61" i="32"/>
  <c r="D58" i="32"/>
  <c r="AI48" i="32"/>
  <c r="AH48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D41" i="32"/>
  <c r="D40" i="32"/>
  <c r="D38" i="32"/>
  <c r="D37" i="32"/>
  <c r="D26" i="32"/>
  <c r="AJ25" i="32"/>
  <c r="D25" i="32"/>
  <c r="D24" i="32"/>
  <c r="AJ21" i="32"/>
  <c r="AI21" i="32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AK13" i="32"/>
  <c r="AK12" i="32"/>
  <c r="AK11" i="32"/>
  <c r="AK10" i="32"/>
  <c r="AK9" i="32"/>
  <c r="D9" i="32"/>
  <c r="AK8" i="32"/>
  <c r="AK7" i="32"/>
  <c r="AK6" i="32"/>
  <c r="AK5" i="32"/>
  <c r="D65" i="31"/>
  <c r="D64" i="31"/>
  <c r="D63" i="31"/>
  <c r="D60" i="31"/>
  <c r="AJ50" i="31"/>
  <c r="AI50" i="31"/>
  <c r="AH50" i="31"/>
  <c r="AG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AF45" i="31"/>
  <c r="D45" i="31"/>
  <c r="AF44" i="31"/>
  <c r="D44" i="31"/>
  <c r="D42" i="31"/>
  <c r="D40" i="31"/>
  <c r="D38" i="31"/>
  <c r="D37" i="31"/>
  <c r="D26" i="31"/>
  <c r="D25" i="31"/>
  <c r="D24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AK13" i="31"/>
  <c r="AK12" i="31"/>
  <c r="AK11" i="31"/>
  <c r="D11" i="31"/>
  <c r="AK10" i="31"/>
  <c r="AK9" i="31"/>
  <c r="D9" i="31"/>
  <c r="AK8" i="31"/>
  <c r="AK7" i="31"/>
  <c r="AK6" i="31"/>
  <c r="AK5" i="31"/>
  <c r="D69" i="30"/>
  <c r="D68" i="30"/>
  <c r="D67" i="30"/>
  <c r="D6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D50" i="30"/>
  <c r="D47" i="30"/>
  <c r="D45" i="30"/>
  <c r="D44" i="30"/>
  <c r="D43" i="30"/>
  <c r="D31" i="30"/>
  <c r="D30" i="30"/>
  <c r="D29" i="30"/>
  <c r="AI26" i="30"/>
  <c r="AH26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AJ11" i="30"/>
  <c r="D11" i="30"/>
  <c r="AJ10" i="30"/>
  <c r="AJ9" i="30"/>
  <c r="D9" i="30"/>
  <c r="AJ8" i="30"/>
  <c r="AJ7" i="30"/>
  <c r="AJ6" i="30"/>
  <c r="AJ5" i="30"/>
  <c r="AJ18" i="30" s="1"/>
  <c r="AJ65" i="29"/>
  <c r="AI65" i="29"/>
  <c r="AG65" i="29"/>
  <c r="AF65" i="29"/>
  <c r="AE65" i="29"/>
  <c r="AD65" i="29"/>
  <c r="AC65" i="29"/>
  <c r="AB65" i="29"/>
  <c r="AA65" i="29"/>
  <c r="Z65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H65" i="29"/>
  <c r="G65" i="29"/>
  <c r="F65" i="29"/>
  <c r="AH58" i="29"/>
  <c r="D58" i="29"/>
  <c r="AH57" i="29"/>
  <c r="AH65" i="29" s="1"/>
  <c r="D57" i="29"/>
  <c r="D56" i="29"/>
  <c r="I53" i="29"/>
  <c r="D53" i="29"/>
  <c r="I51" i="29"/>
  <c r="D51" i="29"/>
  <c r="I50" i="29"/>
  <c r="D50" i="29"/>
  <c r="I49" i="29"/>
  <c r="D49" i="29"/>
  <c r="I47" i="29"/>
  <c r="D47" i="29"/>
  <c r="I46" i="29"/>
  <c r="D46" i="29"/>
  <c r="D44" i="29"/>
  <c r="D43" i="29"/>
  <c r="D32" i="29"/>
  <c r="D31" i="29"/>
  <c r="D30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N27" i="29"/>
  <c r="M27" i="29"/>
  <c r="L27" i="29"/>
  <c r="K27" i="29"/>
  <c r="J27" i="29"/>
  <c r="I27" i="29"/>
  <c r="H27" i="29"/>
  <c r="G27" i="29"/>
  <c r="F27" i="29"/>
  <c r="AK18" i="29"/>
  <c r="AK17" i="29"/>
  <c r="AK16" i="29"/>
  <c r="O16" i="29"/>
  <c r="D16" i="29"/>
  <c r="AK15" i="29"/>
  <c r="AK14" i="29"/>
  <c r="O13" i="29"/>
  <c r="AK13" i="29" s="1"/>
  <c r="D13" i="29"/>
  <c r="AK12" i="29"/>
  <c r="AK11" i="29"/>
  <c r="D11" i="29"/>
  <c r="AK10" i="29"/>
  <c r="AK9" i="29"/>
  <c r="D9" i="29"/>
  <c r="AK8" i="29"/>
  <c r="AK7" i="29"/>
  <c r="AK6" i="29"/>
  <c r="AK5" i="29"/>
  <c r="AG79" i="28"/>
  <c r="AF79" i="28"/>
  <c r="AE79" i="28"/>
  <c r="AD79" i="28"/>
  <c r="AC79" i="28"/>
  <c r="AB79" i="28"/>
  <c r="AA79" i="28"/>
  <c r="Z79" i="28"/>
  <c r="Y79" i="28"/>
  <c r="X79" i="28"/>
  <c r="W79" i="28"/>
  <c r="V79" i="28"/>
  <c r="U79" i="28"/>
  <c r="T79" i="28"/>
  <c r="S79" i="28"/>
  <c r="R79" i="28"/>
  <c r="Q79" i="28"/>
  <c r="P79" i="28"/>
  <c r="O79" i="28"/>
  <c r="N79" i="28"/>
  <c r="L79" i="28"/>
  <c r="K79" i="28"/>
  <c r="J79" i="28"/>
  <c r="I79" i="28"/>
  <c r="H79" i="28"/>
  <c r="F79" i="28"/>
  <c r="D76" i="28"/>
  <c r="D75" i="28"/>
  <c r="D74" i="28"/>
  <c r="D69" i="28"/>
  <c r="M67" i="28"/>
  <c r="D67" i="28"/>
  <c r="M65" i="28"/>
  <c r="D65" i="28"/>
  <c r="M64" i="28"/>
  <c r="M79" i="28" s="1"/>
  <c r="D64" i="28"/>
  <c r="D63" i="28"/>
  <c r="D62" i="28"/>
  <c r="D60" i="28"/>
  <c r="D59" i="28"/>
  <c r="G56" i="28"/>
  <c r="D56" i="28"/>
  <c r="G55" i="28"/>
  <c r="D55" i="28"/>
  <c r="G54" i="28"/>
  <c r="D54" i="28"/>
  <c r="D42" i="28"/>
  <c r="D41" i="28"/>
  <c r="D40" i="28"/>
  <c r="AG37" i="28"/>
  <c r="AF37" i="28"/>
  <c r="AE37" i="28"/>
  <c r="AD37" i="28"/>
  <c r="AC37" i="28"/>
  <c r="AB37" i="28"/>
  <c r="AA37" i="28"/>
  <c r="Z37" i="28"/>
  <c r="Y37" i="28"/>
  <c r="X37" i="28"/>
  <c r="W37" i="28"/>
  <c r="V37" i="28"/>
  <c r="T37" i="28"/>
  <c r="S37" i="28"/>
  <c r="R37" i="28"/>
  <c r="Q37" i="28"/>
  <c r="P37" i="28"/>
  <c r="N37" i="28"/>
  <c r="L37" i="28"/>
  <c r="K37" i="28"/>
  <c r="J37" i="28"/>
  <c r="I37" i="28"/>
  <c r="H37" i="28"/>
  <c r="G37" i="28"/>
  <c r="F37" i="28"/>
  <c r="AH27" i="28"/>
  <c r="AH26" i="28"/>
  <c r="D26" i="28"/>
  <c r="AH25" i="28"/>
  <c r="AH24" i="28"/>
  <c r="O22" i="28"/>
  <c r="AH21" i="28"/>
  <c r="AH20" i="28"/>
  <c r="AH19" i="28"/>
  <c r="AH18" i="28"/>
  <c r="M18" i="28"/>
  <c r="O18" i="28" s="1"/>
  <c r="AH17" i="28"/>
  <c r="D17" i="28"/>
  <c r="AH16" i="28"/>
  <c r="AH15" i="28"/>
  <c r="D15" i="28"/>
  <c r="AH14" i="28"/>
  <c r="AH13" i="28"/>
  <c r="AH12" i="28"/>
  <c r="AH11" i="28"/>
  <c r="D11" i="28"/>
  <c r="AH10" i="28"/>
  <c r="AH9" i="28"/>
  <c r="D9" i="28"/>
  <c r="AH8" i="28"/>
  <c r="AH7" i="28"/>
  <c r="AH6" i="28"/>
  <c r="AH5" i="28"/>
  <c r="W70" i="27"/>
  <c r="AJ65" i="27"/>
  <c r="AI65" i="27"/>
  <c r="AH65" i="27"/>
  <c r="AG65" i="27"/>
  <c r="AF65" i="27"/>
  <c r="AE65" i="27"/>
  <c r="AD65" i="27"/>
  <c r="AC65" i="27"/>
  <c r="AB65" i="27"/>
  <c r="AA65" i="27"/>
  <c r="Z65" i="27"/>
  <c r="Y65" i="27"/>
  <c r="X65" i="27"/>
  <c r="W65" i="27"/>
  <c r="V65" i="27"/>
  <c r="U65" i="27"/>
  <c r="T65" i="27"/>
  <c r="S65" i="27"/>
  <c r="R65" i="27"/>
  <c r="Q65" i="27"/>
  <c r="O65" i="27"/>
  <c r="N65" i="27"/>
  <c r="M65" i="27"/>
  <c r="L65" i="27"/>
  <c r="K65" i="27"/>
  <c r="J65" i="27"/>
  <c r="I65" i="27"/>
  <c r="H65" i="27"/>
  <c r="G65" i="27"/>
  <c r="F65" i="27"/>
  <c r="D59" i="27"/>
  <c r="D58" i="27"/>
  <c r="D57" i="27"/>
  <c r="P55" i="27"/>
  <c r="D55" i="27"/>
  <c r="P53" i="27"/>
  <c r="D53" i="27"/>
  <c r="K48" i="27"/>
  <c r="D48" i="27"/>
  <c r="P45" i="27"/>
  <c r="D45" i="27"/>
  <c r="P44" i="27"/>
  <c r="D44" i="27"/>
  <c r="P40" i="27"/>
  <c r="P65" i="27" s="1"/>
  <c r="D40" i="27"/>
  <c r="D39" i="27"/>
  <c r="D34" i="27"/>
  <c r="D33" i="27"/>
  <c r="D32" i="27"/>
  <c r="AJ29" i="27"/>
  <c r="AI29" i="27"/>
  <c r="AH29" i="27"/>
  <c r="AG29" i="27"/>
  <c r="AF29" i="27"/>
  <c r="AE29" i="27"/>
  <c r="AD29" i="27"/>
  <c r="AC29" i="27"/>
  <c r="AB29" i="27"/>
  <c r="AA29" i="27"/>
  <c r="Z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AK20" i="27"/>
  <c r="AK19" i="27"/>
  <c r="AK18" i="27"/>
  <c r="AK17" i="27"/>
  <c r="Y16" i="27"/>
  <c r="AK15" i="27"/>
  <c r="AK14" i="27"/>
  <c r="AK13" i="27"/>
  <c r="D13" i="27"/>
  <c r="AK12" i="27"/>
  <c r="AK11" i="27"/>
  <c r="D11" i="27"/>
  <c r="AK10" i="27"/>
  <c r="AK9" i="27"/>
  <c r="AK8" i="27"/>
  <c r="AK7" i="27"/>
  <c r="AK6" i="27"/>
  <c r="AK5" i="27"/>
  <c r="W66" i="25"/>
  <c r="AJ61" i="25"/>
  <c r="AI61" i="25"/>
  <c r="AH61" i="25"/>
  <c r="AG61" i="25"/>
  <c r="AF61" i="25"/>
  <c r="AE61" i="25"/>
  <c r="AD61" i="25"/>
  <c r="AC61" i="25"/>
  <c r="AA61" i="25"/>
  <c r="Z61" i="25"/>
  <c r="Y61" i="25"/>
  <c r="X61" i="25"/>
  <c r="W61" i="25"/>
  <c r="V61" i="25"/>
  <c r="U61" i="25"/>
  <c r="T61" i="25"/>
  <c r="S61" i="25"/>
  <c r="R61" i="25"/>
  <c r="Q61" i="25"/>
  <c r="O61" i="25"/>
  <c r="N61" i="25"/>
  <c r="M61" i="25"/>
  <c r="L61" i="25"/>
  <c r="K61" i="25"/>
  <c r="J61" i="25"/>
  <c r="I61" i="25"/>
  <c r="H61" i="25"/>
  <c r="G61" i="25"/>
  <c r="F61" i="25"/>
  <c r="AB57" i="25"/>
  <c r="D57" i="25"/>
  <c r="AB56" i="25"/>
  <c r="AB61" i="25" s="1"/>
  <c r="D56" i="25"/>
  <c r="P53" i="25"/>
  <c r="D53" i="25"/>
  <c r="P52" i="25"/>
  <c r="D52" i="25"/>
  <c r="P51" i="25"/>
  <c r="D51" i="25"/>
  <c r="R49" i="25"/>
  <c r="D49" i="25"/>
  <c r="P48" i="25"/>
  <c r="D48" i="25"/>
  <c r="R45" i="25"/>
  <c r="D45" i="25"/>
  <c r="P44" i="25"/>
  <c r="P61" i="25" s="1"/>
  <c r="D44" i="25"/>
  <c r="D40" i="25"/>
  <c r="D36" i="25"/>
  <c r="D35" i="25"/>
  <c r="D34" i="25"/>
  <c r="AI30" i="25"/>
  <c r="AH30" i="25"/>
  <c r="AG30" i="25"/>
  <c r="AF30" i="25"/>
  <c r="AE30" i="25"/>
  <c r="AD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AK21" i="25"/>
  <c r="AK20" i="25"/>
  <c r="AK19" i="25"/>
  <c r="AC18" i="25"/>
  <c r="AK18" i="25" s="1"/>
  <c r="AK17" i="25"/>
  <c r="AK16" i="25"/>
  <c r="D16" i="25"/>
  <c r="AC15" i="25"/>
  <c r="AK15" i="25" s="1"/>
  <c r="AK14" i="25"/>
  <c r="AK13" i="25"/>
  <c r="D13" i="25"/>
  <c r="AK12" i="25"/>
  <c r="AK11" i="25"/>
  <c r="D11" i="25"/>
  <c r="AK10" i="25"/>
  <c r="AK9" i="25"/>
  <c r="AK8" i="25"/>
  <c r="AK7" i="25"/>
  <c r="AK6" i="25"/>
  <c r="AK5" i="25"/>
  <c r="W70" i="24"/>
  <c r="AI65" i="24"/>
  <c r="AH65" i="24"/>
  <c r="AG65" i="24"/>
  <c r="AF65" i="24"/>
  <c r="AE65" i="24"/>
  <c r="AD65" i="24"/>
  <c r="AC65" i="24"/>
  <c r="AB65" i="24"/>
  <c r="AA65" i="24"/>
  <c r="Z65" i="24"/>
  <c r="X65" i="24"/>
  <c r="W65" i="24"/>
  <c r="V65" i="24"/>
  <c r="U65" i="24"/>
  <c r="T65" i="24"/>
  <c r="S65" i="24"/>
  <c r="Q65" i="24"/>
  <c r="P65" i="24"/>
  <c r="O65" i="24"/>
  <c r="N65" i="24"/>
  <c r="M65" i="24"/>
  <c r="L65" i="24"/>
  <c r="K65" i="24"/>
  <c r="J65" i="24"/>
  <c r="H65" i="24"/>
  <c r="G65" i="24"/>
  <c r="F65" i="24"/>
  <c r="D62" i="24"/>
  <c r="D61" i="24"/>
  <c r="D58" i="24"/>
  <c r="Y57" i="24"/>
  <c r="D57" i="24"/>
  <c r="Y56" i="24"/>
  <c r="D56" i="24"/>
  <c r="Y55" i="24"/>
  <c r="D55" i="24"/>
  <c r="D54" i="24"/>
  <c r="Y53" i="24"/>
  <c r="Y65" i="24" s="1"/>
  <c r="D53" i="24"/>
  <c r="U52" i="24"/>
  <c r="D52" i="24"/>
  <c r="R50" i="24"/>
  <c r="D50" i="24"/>
  <c r="R49" i="24"/>
  <c r="D49" i="24"/>
  <c r="R48" i="24"/>
  <c r="D48" i="24"/>
  <c r="I45" i="24"/>
  <c r="I65" i="24" s="1"/>
  <c r="D45" i="24"/>
  <c r="D44" i="24"/>
  <c r="D43" i="24"/>
  <c r="D39" i="24"/>
  <c r="D38" i="24"/>
  <c r="D37" i="24"/>
  <c r="AI32" i="24"/>
  <c r="AH32" i="24"/>
  <c r="AG32" i="24"/>
  <c r="AF32" i="24"/>
  <c r="AE32" i="24"/>
  <c r="AD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D26" i="24"/>
  <c r="AJ23" i="24"/>
  <c r="D23" i="24"/>
  <c r="AJ22" i="24"/>
  <c r="AJ21" i="24"/>
  <c r="AJ20" i="24"/>
  <c r="AJ19" i="24"/>
  <c r="H19" i="24"/>
  <c r="AJ18" i="24"/>
  <c r="AJ17" i="24"/>
  <c r="AJ16" i="24"/>
  <c r="AJ15" i="24"/>
  <c r="D15" i="24"/>
  <c r="AJ14" i="24"/>
  <c r="AJ13" i="24"/>
  <c r="D13" i="24"/>
  <c r="AJ12" i="24"/>
  <c r="AJ11" i="24"/>
  <c r="AJ10" i="24"/>
  <c r="AJ9" i="24"/>
  <c r="AJ8" i="24"/>
  <c r="AJ7" i="24"/>
  <c r="AJ6" i="24"/>
  <c r="AC6" i="24"/>
  <c r="AC32" i="24" s="1"/>
  <c r="AJ5" i="24"/>
  <c r="W55" i="23"/>
  <c r="AH50" i="23"/>
  <c r="AG50" i="23"/>
  <c r="AF50" i="23"/>
  <c r="AE50" i="23"/>
  <c r="AD50" i="23"/>
  <c r="AC50" i="23"/>
  <c r="Y50" i="23"/>
  <c r="X50" i="23"/>
  <c r="W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AA42" i="23"/>
  <c r="D42" i="23"/>
  <c r="AB41" i="23"/>
  <c r="AB50" i="23" s="1"/>
  <c r="D41" i="23"/>
  <c r="AA40" i="23"/>
  <c r="AA50" i="23" s="1"/>
  <c r="D40" i="23"/>
  <c r="Z39" i="23"/>
  <c r="D39" i="23"/>
  <c r="V38" i="23"/>
  <c r="V50" i="23" s="1"/>
  <c r="D38" i="23"/>
  <c r="Z37" i="23"/>
  <c r="Z50" i="23" s="1"/>
  <c r="D37" i="23"/>
  <c r="AJ35" i="23"/>
  <c r="D35" i="23"/>
  <c r="AJ34" i="23"/>
  <c r="D34" i="23"/>
  <c r="AJ33" i="23"/>
  <c r="AI33" i="23"/>
  <c r="AI50" i="23" s="1"/>
  <c r="D33" i="23"/>
  <c r="D32" i="23"/>
  <c r="D31" i="23"/>
  <c r="D30" i="23"/>
  <c r="D27" i="23"/>
  <c r="AJ24" i="23"/>
  <c r="AI24" i="23"/>
  <c r="AH24" i="23"/>
  <c r="AG24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AK16" i="23"/>
  <c r="AK15" i="23"/>
  <c r="D15" i="23"/>
  <c r="AK14" i="23"/>
  <c r="AK13" i="23"/>
  <c r="D13" i="23"/>
  <c r="AK12" i="23"/>
  <c r="AK11" i="23"/>
  <c r="AK10" i="23"/>
  <c r="AK9" i="23"/>
  <c r="AK8" i="23"/>
  <c r="AK7" i="23"/>
  <c r="AK6" i="23"/>
  <c r="AK5" i="23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D35" i="22"/>
  <c r="D33" i="22"/>
  <c r="D32" i="22"/>
  <c r="D31" i="22"/>
  <c r="D30" i="22"/>
  <c r="D29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AJ16" i="22"/>
  <c r="AJ15" i="22"/>
  <c r="D15" i="22"/>
  <c r="AJ14" i="22"/>
  <c r="AJ13" i="22"/>
  <c r="D13" i="22"/>
  <c r="AJ12" i="22"/>
  <c r="AJ11" i="22"/>
  <c r="AJ10" i="22"/>
  <c r="AJ9" i="22"/>
  <c r="AJ8" i="22"/>
  <c r="AJ7" i="22"/>
  <c r="AJ6" i="22"/>
  <c r="AJ5" i="22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D37" i="21"/>
  <c r="D36" i="21"/>
  <c r="D34" i="21"/>
  <c r="D32" i="21"/>
  <c r="D31" i="21"/>
  <c r="D30" i="21"/>
  <c r="D29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D15" i="21"/>
  <c r="D13" i="21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N37" i="20"/>
  <c r="M37" i="20"/>
  <c r="L37" i="20"/>
  <c r="K37" i="20"/>
  <c r="J37" i="20"/>
  <c r="I37" i="20"/>
  <c r="H37" i="20"/>
  <c r="G37" i="20"/>
  <c r="F37" i="20"/>
  <c r="O34" i="20"/>
  <c r="D34" i="20"/>
  <c r="O33" i="20"/>
  <c r="D33" i="20"/>
  <c r="D31" i="20"/>
  <c r="D30" i="20"/>
  <c r="D29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D15" i="20"/>
  <c r="D13" i="20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D31" i="19"/>
  <c r="D30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AI16" i="19"/>
  <c r="AI24" i="19" s="1"/>
  <c r="D15" i="19"/>
  <c r="D13" i="19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D28" i="18"/>
  <c r="D27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D15" i="18"/>
  <c r="D13" i="18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N33" i="14"/>
  <c r="M33" i="14"/>
  <c r="L33" i="14"/>
  <c r="K33" i="14"/>
  <c r="J33" i="14"/>
  <c r="I33" i="14"/>
  <c r="H33" i="14"/>
  <c r="G33" i="14"/>
  <c r="F33" i="14"/>
  <c r="O31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D16" i="14"/>
  <c r="D14" i="14"/>
  <c r="E28" i="16" s="1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D52" i="12"/>
  <c r="D51" i="12"/>
  <c r="D50" i="12"/>
  <c r="D49" i="12"/>
  <c r="D44" i="12"/>
  <c r="E42" i="12"/>
  <c r="D41" i="12"/>
  <c r="X26" i="12"/>
  <c r="X57" i="12" s="1"/>
  <c r="W24" i="12"/>
  <c r="D23" i="12"/>
  <c r="E22" i="12"/>
  <c r="E20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D10" i="12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Q41" i="9"/>
  <c r="P41" i="9"/>
  <c r="N41" i="9"/>
  <c r="M41" i="9"/>
  <c r="L41" i="9"/>
  <c r="J41" i="9"/>
  <c r="I41" i="9"/>
  <c r="G41" i="9"/>
  <c r="F41" i="9"/>
  <c r="K26" i="9"/>
  <c r="K41" i="9" s="1"/>
  <c r="O25" i="9"/>
  <c r="O41" i="9" s="1"/>
  <c r="D25" i="9"/>
  <c r="R23" i="9"/>
  <c r="H22" i="9"/>
  <c r="H21" i="9"/>
  <c r="H41" i="9" s="1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AI40" i="5"/>
  <c r="AG40" i="5"/>
  <c r="AF40" i="5"/>
  <c r="AE40" i="5"/>
  <c r="AD40" i="5"/>
  <c r="AC40" i="5"/>
  <c r="AA40" i="5"/>
  <c r="Z40" i="5"/>
  <c r="Y40" i="5"/>
  <c r="X40" i="5"/>
  <c r="W40" i="5"/>
  <c r="V40" i="5"/>
  <c r="U40" i="5"/>
  <c r="Q40" i="5"/>
  <c r="N40" i="5"/>
  <c r="M40" i="5"/>
  <c r="J40" i="5"/>
  <c r="I40" i="5"/>
  <c r="H40" i="5"/>
  <c r="G40" i="5"/>
  <c r="F40" i="5"/>
  <c r="AJ37" i="5"/>
  <c r="AJ40" i="5" s="1"/>
  <c r="AB36" i="5"/>
  <c r="AB40" i="5" s="1"/>
  <c r="D35" i="5"/>
  <c r="T34" i="5"/>
  <c r="T40" i="5" s="1"/>
  <c r="S33" i="5"/>
  <c r="S40" i="5" s="1"/>
  <c r="R32" i="5"/>
  <c r="R40" i="5" s="1"/>
  <c r="D31" i="5"/>
  <c r="P30" i="5"/>
  <c r="P40" i="5" s="1"/>
  <c r="O29" i="5"/>
  <c r="O40" i="5" s="1"/>
  <c r="L27" i="5"/>
  <c r="L40" i="5" s="1"/>
  <c r="AH26" i="5"/>
  <c r="AH40" i="5" s="1"/>
  <c r="K25" i="5"/>
  <c r="K24" i="5"/>
  <c r="K40" i="5" s="1"/>
  <c r="AA20" i="5"/>
  <c r="O19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Q16" i="5"/>
  <c r="P16" i="5"/>
  <c r="O16" i="5"/>
  <c r="N16" i="5"/>
  <c r="M16" i="5"/>
  <c r="L16" i="5"/>
  <c r="K16" i="5"/>
  <c r="J16" i="5"/>
  <c r="I16" i="5"/>
  <c r="H16" i="5"/>
  <c r="G16" i="5"/>
  <c r="F16" i="5"/>
  <c r="R6" i="5"/>
  <c r="R5" i="5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T31" i="3"/>
  <c r="S31" i="3"/>
  <c r="R31" i="3"/>
  <c r="P31" i="3"/>
  <c r="O31" i="3"/>
  <c r="N31" i="3"/>
  <c r="M31" i="3"/>
  <c r="K31" i="3"/>
  <c r="J31" i="3"/>
  <c r="I31" i="3"/>
  <c r="H31" i="3"/>
  <c r="G31" i="3"/>
  <c r="F31" i="3"/>
  <c r="U26" i="3"/>
  <c r="L24" i="3"/>
  <c r="L31" i="3" s="1"/>
  <c r="Q23" i="3"/>
  <c r="Q31" i="3" s="1"/>
  <c r="AI19" i="3"/>
  <c r="D19" i="3"/>
  <c r="D18" i="3"/>
  <c r="U18" i="3" s="1"/>
  <c r="U31" i="3" s="1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R31" i="2"/>
  <c r="R29" i="2"/>
  <c r="AH26" i="2"/>
  <c r="AG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AI25" i="2"/>
  <c r="AI26" i="2" s="1"/>
  <c r="AF25" i="2"/>
  <c r="AF26" i="2" s="1"/>
  <c r="D25" i="2"/>
  <c r="K36" i="3" s="1"/>
  <c r="D23" i="2"/>
  <c r="AF17" i="2"/>
  <c r="D17" i="2"/>
  <c r="D28" i="2" s="1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F16" i="1"/>
  <c r="H14" i="1"/>
  <c r="H16" i="1" s="1"/>
  <c r="G13" i="1"/>
  <c r="G16" i="1" s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F17" i="1" s="1"/>
  <c r="G3" i="1" s="1"/>
  <c r="AK90" i="52" l="1"/>
  <c r="K139" i="52"/>
  <c r="Q29" i="35"/>
  <c r="AD60" i="41"/>
  <c r="D62" i="29"/>
  <c r="AK28" i="34"/>
  <c r="AK31" i="39"/>
  <c r="AK72" i="42"/>
  <c r="AK86" i="42" s="1"/>
  <c r="V86" i="42"/>
  <c r="Z110" i="50"/>
  <c r="AK78" i="57"/>
  <c r="AK83" i="59"/>
  <c r="E4" i="7"/>
  <c r="G40" i="11"/>
  <c r="F17" i="17"/>
  <c r="F20" i="17" s="1"/>
  <c r="D47" i="32"/>
  <c r="Y74" i="45"/>
  <c r="AN73" i="48"/>
  <c r="AK12" i="59"/>
  <c r="AK48" i="59" s="1"/>
  <c r="G85" i="60"/>
  <c r="AJ50" i="23"/>
  <c r="AJ24" i="24"/>
  <c r="AK14" i="31"/>
  <c r="AK14" i="32"/>
  <c r="AK13" i="39"/>
  <c r="AK38" i="44"/>
  <c r="P74" i="44"/>
  <c r="AK27" i="46"/>
  <c r="I57" i="33" s="1"/>
  <c r="AK56" i="46"/>
  <c r="AK29" i="48"/>
  <c r="D36" i="48" s="1"/>
  <c r="AQ129" i="52"/>
  <c r="D108" i="50"/>
  <c r="AO99" i="50"/>
  <c r="AR95" i="60" s="1"/>
  <c r="AN100" i="51"/>
  <c r="AN101" i="51" s="1"/>
  <c r="AK62" i="51"/>
  <c r="D139" i="52"/>
  <c r="AE139" i="52"/>
  <c r="AK52" i="53"/>
  <c r="AL52" i="53" s="1"/>
  <c r="B89" i="60"/>
  <c r="C89" i="60" s="1"/>
  <c r="AK101" i="55"/>
  <c r="AK98" i="56"/>
  <c r="AK36" i="60"/>
  <c r="AL36" i="60" s="1"/>
  <c r="E11" i="8"/>
  <c r="E5" i="7"/>
  <c r="D93" i="13"/>
  <c r="D21" i="6"/>
  <c r="H6" i="17"/>
  <c r="C17" i="17"/>
  <c r="AP111" i="54"/>
  <c r="AP112" i="54" s="1"/>
  <c r="AJ17" i="22"/>
  <c r="Q72" i="46"/>
  <c r="W72" i="46"/>
  <c r="B55" i="75"/>
  <c r="C55" i="75" s="1"/>
  <c r="B54" i="74"/>
  <c r="C54" i="74" s="1"/>
  <c r="B52" i="73"/>
  <c r="C52" i="73" s="1"/>
  <c r="B53" i="72"/>
  <c r="C53" i="72" s="1"/>
  <c r="B51" i="70"/>
  <c r="C51" i="70" s="1"/>
  <c r="B49" i="71"/>
  <c r="C49" i="71" s="1"/>
  <c r="B48" i="69"/>
  <c r="C48" i="69" s="1"/>
  <c r="B53" i="68"/>
  <c r="C53" i="68" s="1"/>
  <c r="AK56" i="54"/>
  <c r="P57" i="33" s="1"/>
  <c r="R21" i="6"/>
  <c r="G17" i="1"/>
  <c r="H3" i="1" s="1"/>
  <c r="H17" i="1" s="1"/>
  <c r="I3" i="1" s="1"/>
  <c r="I17" i="1" s="1"/>
  <c r="J3" i="1" s="1"/>
  <c r="J17" i="1" s="1"/>
  <c r="K3" i="1" s="1"/>
  <c r="K17" i="1" s="1"/>
  <c r="L3" i="1" s="1"/>
  <c r="L17" i="1" s="1"/>
  <c r="M3" i="1" s="1"/>
  <c r="M17" i="1" s="1"/>
  <c r="N3" i="1" s="1"/>
  <c r="N17" i="1" s="1"/>
  <c r="O3" i="1" s="1"/>
  <c r="O17" i="1" s="1"/>
  <c r="P3" i="1" s="1"/>
  <c r="P17" i="1" s="1"/>
  <c r="Q3" i="1" s="1"/>
  <c r="Q17" i="1" s="1"/>
  <c r="R3" i="1" s="1"/>
  <c r="R17" i="1" s="1"/>
  <c r="S3" i="1" s="1"/>
  <c r="S17" i="1" s="1"/>
  <c r="T3" i="1" s="1"/>
  <c r="T17" i="1" s="1"/>
  <c r="U3" i="1" s="1"/>
  <c r="U17" i="1" s="1"/>
  <c r="V3" i="1" s="1"/>
  <c r="V17" i="1" s="1"/>
  <c r="F3" i="2" s="1"/>
  <c r="R16" i="5"/>
  <c r="G79" i="28"/>
  <c r="D52" i="30"/>
  <c r="AF50" i="31"/>
  <c r="AK36" i="38"/>
  <c r="AK39" i="40"/>
  <c r="AK28" i="42"/>
  <c r="D40" i="42" s="1"/>
  <c r="C70" i="33"/>
  <c r="C74" i="33" s="1"/>
  <c r="AJ75" i="45"/>
  <c r="AN68" i="46"/>
  <c r="AN71" i="46" s="1"/>
  <c r="AN74" i="46" s="1"/>
  <c r="AN70" i="46"/>
  <c r="AK24" i="47"/>
  <c r="AI156" i="52"/>
  <c r="D59" i="55"/>
  <c r="AP97" i="55" s="1"/>
  <c r="AP99" i="55" s="1"/>
  <c r="AP100" i="55" s="1"/>
  <c r="AK54" i="56"/>
  <c r="D43" i="57"/>
  <c r="AK49" i="60"/>
  <c r="AP82" i="60"/>
  <c r="AD64" i="33"/>
  <c r="E21" i="8"/>
  <c r="E22" i="8" s="1"/>
  <c r="E39" i="16" s="1"/>
  <c r="K56" i="8"/>
  <c r="L98" i="8"/>
  <c r="O46" i="16"/>
  <c r="M46" i="16"/>
  <c r="E7" i="7"/>
  <c r="F60" i="10"/>
  <c r="G7" i="26"/>
  <c r="J7" i="26"/>
  <c r="J8" i="26" s="1"/>
  <c r="K8" i="26" s="1"/>
  <c r="B92" i="33"/>
  <c r="D30" i="2"/>
  <c r="D29" i="2"/>
  <c r="F27" i="2"/>
  <c r="G3" i="2" s="1"/>
  <c r="G27" i="2" s="1"/>
  <c r="H3" i="2" s="1"/>
  <c r="H27" i="2" s="1"/>
  <c r="I3" i="2" s="1"/>
  <c r="I27" i="2" s="1"/>
  <c r="J3" i="2" s="1"/>
  <c r="J27" i="2" s="1"/>
  <c r="K3" i="2" s="1"/>
  <c r="K27" i="2" s="1"/>
  <c r="L3" i="2" s="1"/>
  <c r="L27" i="2" s="1"/>
  <c r="M3" i="2" s="1"/>
  <c r="M27" i="2" s="1"/>
  <c r="N3" i="2" s="1"/>
  <c r="N27" i="2" s="1"/>
  <c r="O3" i="2" s="1"/>
  <c r="O27" i="2" s="1"/>
  <c r="P3" i="2" s="1"/>
  <c r="P27" i="2" s="1"/>
  <c r="Q3" i="2" s="1"/>
  <c r="Q27" i="2" s="1"/>
  <c r="R3" i="2" s="1"/>
  <c r="R27" i="2" s="1"/>
  <c r="S3" i="2" s="1"/>
  <c r="S27" i="2" s="1"/>
  <c r="T3" i="2" s="1"/>
  <c r="T27" i="2" s="1"/>
  <c r="U3" i="2" s="1"/>
  <c r="U27" i="2" s="1"/>
  <c r="V3" i="2" s="1"/>
  <c r="V27" i="2" s="1"/>
  <c r="W3" i="2" s="1"/>
  <c r="W27" i="2" s="1"/>
  <c r="X3" i="2" s="1"/>
  <c r="X27" i="2" s="1"/>
  <c r="Y3" i="2" s="1"/>
  <c r="Y27" i="2" s="1"/>
  <c r="Z3" i="2" s="1"/>
  <c r="Z27" i="2" s="1"/>
  <c r="AA3" i="2" s="1"/>
  <c r="AA27" i="2" s="1"/>
  <c r="AB3" i="2" s="1"/>
  <c r="AB27" i="2" s="1"/>
  <c r="AC3" i="2" s="1"/>
  <c r="AC27" i="2" s="1"/>
  <c r="AD3" i="2" s="1"/>
  <c r="AD27" i="2" s="1"/>
  <c r="AE3" i="2" s="1"/>
  <c r="AE27" i="2" s="1"/>
  <c r="AF3" i="2" s="1"/>
  <c r="AF27" i="2" s="1"/>
  <c r="AG3" i="2" s="1"/>
  <c r="AG27" i="2" s="1"/>
  <c r="AH3" i="2" s="1"/>
  <c r="AH27" i="2" s="1"/>
  <c r="AI3" i="2" s="1"/>
  <c r="AI27" i="2" s="1"/>
  <c r="F3" i="3" s="1"/>
  <c r="F32" i="3" s="1"/>
  <c r="G3" i="3" s="1"/>
  <c r="G32" i="3" s="1"/>
  <c r="H3" i="3" s="1"/>
  <c r="H32" i="3" s="1"/>
  <c r="I3" i="3" s="1"/>
  <c r="I32" i="3" s="1"/>
  <c r="J3" i="3" s="1"/>
  <c r="J32" i="3" s="1"/>
  <c r="K3" i="3" s="1"/>
  <c r="K32" i="3" s="1"/>
  <c r="U22" i="28"/>
  <c r="O37" i="28"/>
  <c r="AN74" i="47"/>
  <c r="AQ122" i="52"/>
  <c r="D64" i="54"/>
  <c r="D66" i="55" s="1"/>
  <c r="H59" i="10"/>
  <c r="E13" i="10"/>
  <c r="AK17" i="23"/>
  <c r="AK19" i="29"/>
  <c r="AK60" i="41"/>
  <c r="E12" i="10"/>
  <c r="E12" i="7"/>
  <c r="E12" i="11"/>
  <c r="R24" i="9"/>
  <c r="R41" i="9" s="1"/>
  <c r="O37" i="20"/>
  <c r="AQ128" i="52"/>
  <c r="K57" i="33"/>
  <c r="AN74" i="48"/>
  <c r="AI113" i="51"/>
  <c r="AK104" i="51"/>
  <c r="Y29" i="27"/>
  <c r="AK16" i="27"/>
  <c r="AK21" i="27" s="1"/>
  <c r="J57" i="33"/>
  <c r="D32" i="47"/>
  <c r="AQ123" i="52"/>
  <c r="AL44" i="50"/>
  <c r="C84" i="33"/>
  <c r="C92" i="33" s="1"/>
  <c r="B93" i="33" s="1"/>
  <c r="AA100" i="50"/>
  <c r="AK89" i="51"/>
  <c r="W113" i="51"/>
  <c r="O29" i="14"/>
  <c r="O33" i="14" s="1"/>
  <c r="R65" i="24"/>
  <c r="AK22" i="25"/>
  <c r="AC30" i="25"/>
  <c r="I65" i="29"/>
  <c r="D49" i="31"/>
  <c r="AK13" i="35"/>
  <c r="AK42" i="37"/>
  <c r="AK15" i="38"/>
  <c r="Z86" i="42"/>
  <c r="AK26" i="43"/>
  <c r="F57" i="33" s="1"/>
  <c r="G57" i="33"/>
  <c r="D43" i="44"/>
  <c r="D36" i="45" s="1"/>
  <c r="D34" i="46" s="1"/>
  <c r="AL31" i="44"/>
  <c r="D74" i="44"/>
  <c r="AN72" i="45"/>
  <c r="G81" i="47"/>
  <c r="AK70" i="47"/>
  <c r="J80" i="33"/>
  <c r="L57" i="33"/>
  <c r="D52" i="50"/>
  <c r="AN102" i="50"/>
  <c r="D113" i="51"/>
  <c r="N57" i="33"/>
  <c r="D66" i="52"/>
  <c r="AN125" i="52"/>
  <c r="AL56" i="52"/>
  <c r="AR93" i="60"/>
  <c r="AR122" i="52"/>
  <c r="AJ81" i="47"/>
  <c r="M82" i="48"/>
  <c r="AD110" i="50"/>
  <c r="Z113" i="51"/>
  <c r="AH113" i="51"/>
  <c r="AP113" i="53"/>
  <c r="AP116" i="53" s="1"/>
  <c r="AP117" i="53" s="1"/>
  <c r="AP111" i="53"/>
  <c r="R57" i="33"/>
  <c r="D90" i="56"/>
  <c r="AP97" i="56" s="1"/>
  <c r="H81" i="8"/>
  <c r="H79" i="8"/>
  <c r="O27" i="29"/>
  <c r="N29" i="35"/>
  <c r="R41" i="36"/>
  <c r="AF43" i="37"/>
  <c r="AK64" i="43"/>
  <c r="AK59" i="44"/>
  <c r="AK74" i="44" s="1"/>
  <c r="AK40" i="45"/>
  <c r="AK41" i="46"/>
  <c r="AK72" i="46" s="1"/>
  <c r="AH74" i="47"/>
  <c r="AK15" i="51"/>
  <c r="AK40" i="51" s="1"/>
  <c r="F119" i="54"/>
  <c r="AK113" i="54"/>
  <c r="V59" i="55"/>
  <c r="AK35" i="55"/>
  <c r="AK72" i="58"/>
  <c r="AP81" i="59"/>
  <c r="M37" i="28"/>
  <c r="AJ26" i="30"/>
  <c r="AI55" i="35"/>
  <c r="AK71" i="51"/>
  <c r="AK113" i="51" s="1"/>
  <c r="Q139" i="52"/>
  <c r="AK81" i="52"/>
  <c r="Y139" i="52"/>
  <c r="AK99" i="52"/>
  <c r="AH154" i="52"/>
  <c r="O57" i="33"/>
  <c r="AQ115" i="53"/>
  <c r="AD116" i="53"/>
  <c r="AT115" i="54"/>
  <c r="AK34" i="58"/>
  <c r="D7" i="26"/>
  <c r="K7" i="26" s="1"/>
  <c r="K6" i="26"/>
  <c r="B11" i="33" s="1"/>
  <c r="E8" i="7"/>
  <c r="E6" i="7"/>
  <c r="G36" i="13"/>
  <c r="F60" i="13"/>
  <c r="F61" i="13" s="1"/>
  <c r="AK21" i="35"/>
  <c r="AK52" i="43"/>
  <c r="AK71" i="43" s="1"/>
  <c r="AG71" i="45"/>
  <c r="AK70" i="48"/>
  <c r="AK82" i="48" s="1"/>
  <c r="AE57" i="33"/>
  <c r="AE60" i="33"/>
  <c r="AE64" i="33" s="1"/>
  <c r="AF64" i="33" s="1"/>
  <c r="AG64" i="33" s="1"/>
  <c r="AH64" i="33" s="1"/>
  <c r="AK88" i="52"/>
  <c r="AF139" i="52"/>
  <c r="AH139" i="52"/>
  <c r="AK123" i="52"/>
  <c r="AK42" i="57"/>
  <c r="AK85" i="60"/>
  <c r="AK65" i="33"/>
  <c r="AL65" i="33" s="1"/>
  <c r="AM65" i="33" s="1"/>
  <c r="AN65" i="33" s="1"/>
  <c r="AO65" i="33" s="1"/>
  <c r="AJ156" i="52"/>
  <c r="T119" i="54"/>
  <c r="U101" i="55"/>
  <c r="O54" i="56"/>
  <c r="D55" i="56"/>
  <c r="AL54" i="56" s="1"/>
  <c r="AA42" i="57"/>
  <c r="D34" i="58"/>
  <c r="AP67" i="58" s="1"/>
  <c r="AP69" i="58" s="1"/>
  <c r="AQ67" i="58"/>
  <c r="AJ57" i="33"/>
  <c r="E66" i="8"/>
  <c r="E31" i="16"/>
  <c r="E20" i="16" s="1"/>
  <c r="G34" i="13"/>
  <c r="R23" i="6"/>
  <c r="R25" i="6" s="1"/>
  <c r="F23" i="4"/>
  <c r="B51" i="67"/>
  <c r="C51" i="67" s="1"/>
  <c r="B49" i="66"/>
  <c r="C49" i="66" s="1"/>
  <c r="B61" i="65"/>
  <c r="C61" i="65" s="1"/>
  <c r="B75" i="63"/>
  <c r="C75" i="63" s="1"/>
  <c r="B66" i="64"/>
  <c r="C66" i="64" s="1"/>
  <c r="B68" i="62"/>
  <c r="C68" i="62" s="1"/>
  <c r="P116" i="53"/>
  <c r="D57" i="54"/>
  <c r="AL56" i="54" s="1"/>
  <c r="AQ109" i="54"/>
  <c r="AR99" i="60" s="1"/>
  <c r="AK18" i="55"/>
  <c r="AK59" i="55" s="1"/>
  <c r="D60" i="55"/>
  <c r="AR103" i="55"/>
  <c r="AQ93" i="56"/>
  <c r="AR101" i="60" s="1"/>
  <c r="V98" i="56"/>
  <c r="AK57" i="33"/>
  <c r="AI60" i="33"/>
  <c r="C76" i="33"/>
  <c r="L78" i="8"/>
  <c r="L81" i="8"/>
  <c r="F60" i="7"/>
  <c r="G28" i="7"/>
  <c r="G53" i="7" s="1"/>
  <c r="E5" i="10"/>
  <c r="D64" i="10"/>
  <c r="G45" i="11"/>
  <c r="E7" i="13"/>
  <c r="E8" i="13" s="1"/>
  <c r="G32" i="13"/>
  <c r="G17" i="17"/>
  <c r="C20" i="17"/>
  <c r="AS108" i="53"/>
  <c r="AK116" i="53"/>
  <c r="AR109" i="54"/>
  <c r="AQ97" i="55"/>
  <c r="AR100" i="60" s="1"/>
  <c r="D54" i="56"/>
  <c r="AP93" i="56" s="1"/>
  <c r="AP95" i="56" s="1"/>
  <c r="D35" i="58"/>
  <c r="AL34" i="58" s="1"/>
  <c r="B75" i="61"/>
  <c r="C75" i="61" s="1"/>
  <c r="Y58" i="33"/>
  <c r="Z58" i="33" s="1"/>
  <c r="AA58" i="33" s="1"/>
  <c r="AB58" i="33" s="1"/>
  <c r="AC58" i="33" s="1"/>
  <c r="AD58" i="33" s="1"/>
  <c r="AE58" i="33" s="1"/>
  <c r="AF58" i="33" s="1"/>
  <c r="AG58" i="33" s="1"/>
  <c r="AH58" i="33" s="1"/>
  <c r="AI58" i="33" s="1"/>
  <c r="AJ58" i="33" s="1"/>
  <c r="AK58" i="33" s="1"/>
  <c r="AL58" i="33" s="1"/>
  <c r="AM58" i="33" s="1"/>
  <c r="AN58" i="33" s="1"/>
  <c r="AO58" i="33" s="1"/>
  <c r="L79" i="8"/>
  <c r="H100" i="8"/>
  <c r="L99" i="8"/>
  <c r="F105" i="8"/>
  <c r="E5" i="11"/>
  <c r="F46" i="11"/>
  <c r="D17" i="4"/>
  <c r="D18" i="4" s="1"/>
  <c r="H7" i="8"/>
  <c r="K7" i="8" s="1"/>
  <c r="D50" i="11"/>
  <c r="G16" i="17"/>
  <c r="AM63" i="33"/>
  <c r="AN63" i="33" s="1"/>
  <c r="AO63" i="33" s="1"/>
  <c r="AL64" i="62"/>
  <c r="AK31" i="61"/>
  <c r="D63" i="61" s="1"/>
  <c r="D71" i="61" s="1"/>
  <c r="AK49" i="61"/>
  <c r="AK71" i="61" s="1"/>
  <c r="AP68" i="61"/>
  <c r="AP69" i="61" s="1"/>
  <c r="AP75" i="57"/>
  <c r="U57" i="33" l="1"/>
  <c r="D75" i="59"/>
  <c r="AL48" i="59"/>
  <c r="H17" i="17"/>
  <c r="C94" i="33"/>
  <c r="D63" i="53"/>
  <c r="D63" i="54" s="1"/>
  <c r="AK139" i="52"/>
  <c r="AL139" i="52" s="1"/>
  <c r="AP113" i="54"/>
  <c r="AP114" i="54" s="1"/>
  <c r="AP117" i="54" s="1"/>
  <c r="AP118" i="54" s="1"/>
  <c r="AN69" i="46"/>
  <c r="D77" i="60"/>
  <c r="B48" i="33"/>
  <c r="B72" i="33" s="1"/>
  <c r="B74" i="33" s="1"/>
  <c r="B75" i="33" s="1"/>
  <c r="B13" i="33"/>
  <c r="AP83" i="60"/>
  <c r="AK22" i="35"/>
  <c r="V57" i="33"/>
  <c r="B47" i="33"/>
  <c r="B50" i="33" s="1"/>
  <c r="B30" i="33"/>
  <c r="B33" i="33" s="1"/>
  <c r="B34" i="33" s="1"/>
  <c r="D49" i="51"/>
  <c r="M57" i="33"/>
  <c r="AL40" i="51"/>
  <c r="D94" i="55"/>
  <c r="Q57" i="33"/>
  <c r="AP98" i="56"/>
  <c r="AP101" i="56" s="1"/>
  <c r="AP96" i="56"/>
  <c r="E6" i="10"/>
  <c r="E8" i="10"/>
  <c r="AL59" i="55"/>
  <c r="AR103" i="60"/>
  <c r="D70" i="57"/>
  <c r="S57" i="33"/>
  <c r="AG74" i="45"/>
  <c r="AK71" i="45"/>
  <c r="AK74" i="45" s="1"/>
  <c r="AP82" i="59"/>
  <c r="AP83" i="59" s="1"/>
  <c r="AP86" i="59" s="1"/>
  <c r="D83" i="59"/>
  <c r="AL83" i="59" s="1"/>
  <c r="D62" i="54"/>
  <c r="AN126" i="52"/>
  <c r="AN127" i="52" s="1"/>
  <c r="AN130" i="52" s="1"/>
  <c r="D62" i="53"/>
  <c r="AN73" i="45"/>
  <c r="AN75" i="45"/>
  <c r="AN78" i="45" s="1"/>
  <c r="E32" i="16"/>
  <c r="E33" i="16" s="1"/>
  <c r="E35" i="16" s="1"/>
  <c r="AA110" i="50"/>
  <c r="AK100" i="50"/>
  <c r="AK110" i="50" s="1"/>
  <c r="D58" i="53"/>
  <c r="D50" i="50"/>
  <c r="D35" i="48"/>
  <c r="D62" i="52"/>
  <c r="D46" i="51"/>
  <c r="AN75" i="48"/>
  <c r="D48" i="28"/>
  <c r="AN76" i="47"/>
  <c r="R30" i="2"/>
  <c r="C21" i="17"/>
  <c r="D21" i="17" s="1"/>
  <c r="E21" i="17" s="1"/>
  <c r="F21" i="17" s="1"/>
  <c r="G20" i="17"/>
  <c r="E13" i="11"/>
  <c r="E14" i="11" s="1"/>
  <c r="H45" i="11"/>
  <c r="E13" i="7"/>
  <c r="E14" i="7" s="1"/>
  <c r="H53" i="7"/>
  <c r="AP70" i="58"/>
  <c r="AI64" i="33"/>
  <c r="AJ64" i="33" s="1"/>
  <c r="AK64" i="33" s="1"/>
  <c r="AL64" i="33" s="1"/>
  <c r="AM64" i="33" s="1"/>
  <c r="AN64" i="33" s="1"/>
  <c r="AO64" i="33" s="1"/>
  <c r="AH81" i="47"/>
  <c r="AK74" i="47"/>
  <c r="AK81" i="47" s="1"/>
  <c r="AL74" i="44"/>
  <c r="AL42" i="57"/>
  <c r="D63" i="52"/>
  <c r="D59" i="53" s="1"/>
  <c r="D47" i="51"/>
  <c r="D51" i="50"/>
  <c r="AN76" i="48"/>
  <c r="AN77" i="48" s="1"/>
  <c r="AN80" i="48" s="1"/>
  <c r="K35" i="3"/>
  <c r="K37" i="3" s="1"/>
  <c r="L3" i="3"/>
  <c r="L32" i="3" s="1"/>
  <c r="M3" i="3" s="1"/>
  <c r="M32" i="3" s="1"/>
  <c r="N3" i="3" s="1"/>
  <c r="N32" i="3" s="1"/>
  <c r="O3" i="3" s="1"/>
  <c r="O32" i="3" s="1"/>
  <c r="P3" i="3" s="1"/>
  <c r="P32" i="3" s="1"/>
  <c r="Q3" i="3" s="1"/>
  <c r="Q32" i="3" s="1"/>
  <c r="R3" i="3" s="1"/>
  <c r="R32" i="3" s="1"/>
  <c r="S3" i="3" s="1"/>
  <c r="S32" i="3" s="1"/>
  <c r="T3" i="3" s="1"/>
  <c r="T32" i="3" s="1"/>
  <c r="U3" i="3" s="1"/>
  <c r="U32" i="3" s="1"/>
  <c r="V3" i="3" s="1"/>
  <c r="V32" i="3" s="1"/>
  <c r="W3" i="3" s="1"/>
  <c r="W32" i="3" s="1"/>
  <c r="X3" i="3" s="1"/>
  <c r="X32" i="3" s="1"/>
  <c r="Y3" i="3" s="1"/>
  <c r="Y32" i="3" s="1"/>
  <c r="Z3" i="3" s="1"/>
  <c r="Z32" i="3" s="1"/>
  <c r="AA3" i="3" s="1"/>
  <c r="AA32" i="3" s="1"/>
  <c r="AB3" i="3" s="1"/>
  <c r="AB32" i="3" s="1"/>
  <c r="AC3" i="3" s="1"/>
  <c r="AC32" i="3" s="1"/>
  <c r="AD3" i="3" s="1"/>
  <c r="AD32" i="3" s="1"/>
  <c r="AE3" i="3" s="1"/>
  <c r="AE32" i="3" s="1"/>
  <c r="AF3" i="3" s="1"/>
  <c r="AF32" i="3" s="1"/>
  <c r="AG3" i="3" s="1"/>
  <c r="AG32" i="3" s="1"/>
  <c r="AH3" i="3" s="1"/>
  <c r="AH32" i="3" s="1"/>
  <c r="AI3" i="3" s="1"/>
  <c r="AI32" i="3" s="1"/>
  <c r="AJ3" i="3" s="1"/>
  <c r="AJ32" i="3" s="1"/>
  <c r="F3" i="5" s="1"/>
  <c r="F41" i="5" s="1"/>
  <c r="G3" i="5" s="1"/>
  <c r="G41" i="5" s="1"/>
  <c r="H3" i="5" s="1"/>
  <c r="H41" i="5" s="1"/>
  <c r="I3" i="5" s="1"/>
  <c r="I41" i="5" s="1"/>
  <c r="J3" i="5" s="1"/>
  <c r="J41" i="5" s="1"/>
  <c r="K3" i="5" s="1"/>
  <c r="K41" i="5" s="1"/>
  <c r="L3" i="5" s="1"/>
  <c r="L41" i="5" s="1"/>
  <c r="M3" i="5" s="1"/>
  <c r="M41" i="5" s="1"/>
  <c r="N3" i="5" s="1"/>
  <c r="N41" i="5" s="1"/>
  <c r="O3" i="5" s="1"/>
  <c r="O41" i="5" s="1"/>
  <c r="P3" i="5" s="1"/>
  <c r="P41" i="5" s="1"/>
  <c r="Q3" i="5" s="1"/>
  <c r="Q41" i="5" s="1"/>
  <c r="R3" i="5" s="1"/>
  <c r="R41" i="5" s="1"/>
  <c r="S3" i="5" s="1"/>
  <c r="S41" i="5" s="1"/>
  <c r="T3" i="5" s="1"/>
  <c r="T41" i="5" s="1"/>
  <c r="U3" i="5" s="1"/>
  <c r="U41" i="5" s="1"/>
  <c r="V3" i="5" s="1"/>
  <c r="V41" i="5" s="1"/>
  <c r="W3" i="5" s="1"/>
  <c r="W41" i="5" s="1"/>
  <c r="X3" i="5" s="1"/>
  <c r="X41" i="5" s="1"/>
  <c r="Y3" i="5" s="1"/>
  <c r="Y41" i="5" s="1"/>
  <c r="Z3" i="5" s="1"/>
  <c r="Z41" i="5" s="1"/>
  <c r="AA3" i="5" s="1"/>
  <c r="AA41" i="5" s="1"/>
  <c r="AB3" i="5" s="1"/>
  <c r="AB41" i="5" s="1"/>
  <c r="AC3" i="5" s="1"/>
  <c r="AC41" i="5" s="1"/>
  <c r="AD3" i="5" s="1"/>
  <c r="AD41" i="5" s="1"/>
  <c r="AE3" i="5" s="1"/>
  <c r="AE41" i="5" s="1"/>
  <c r="AF3" i="5" s="1"/>
  <c r="AF41" i="5" s="1"/>
  <c r="AG3" i="5" s="1"/>
  <c r="AG41" i="5" s="1"/>
  <c r="AH3" i="5" s="1"/>
  <c r="AH41" i="5" s="1"/>
  <c r="AI3" i="5" s="1"/>
  <c r="AI41" i="5" s="1"/>
  <c r="AJ3" i="5" s="1"/>
  <c r="AJ41" i="5" s="1"/>
  <c r="F3" i="9" s="1"/>
  <c r="F42" i="9" s="1"/>
  <c r="G3" i="9" s="1"/>
  <c r="G42" i="9" s="1"/>
  <c r="H3" i="9" s="1"/>
  <c r="H42" i="9" s="1"/>
  <c r="I3" i="9" s="1"/>
  <c r="I42" i="9" s="1"/>
  <c r="J3" i="9" s="1"/>
  <c r="J42" i="9" s="1"/>
  <c r="K3" i="9" s="1"/>
  <c r="K42" i="9" s="1"/>
  <c r="L3" i="9" s="1"/>
  <c r="L42" i="9" s="1"/>
  <c r="M3" i="9" s="1"/>
  <c r="M42" i="9" s="1"/>
  <c r="N3" i="9" s="1"/>
  <c r="N42" i="9" s="1"/>
  <c r="O3" i="9" s="1"/>
  <c r="O42" i="9" s="1"/>
  <c r="P3" i="9" s="1"/>
  <c r="P42" i="9" s="1"/>
  <c r="Q3" i="9" s="1"/>
  <c r="Q42" i="9" s="1"/>
  <c r="R3" i="9" s="1"/>
  <c r="R42" i="9" s="1"/>
  <c r="S3" i="9" s="1"/>
  <c r="S42" i="9" s="1"/>
  <c r="T3" i="9" s="1"/>
  <c r="T42" i="9" s="1"/>
  <c r="U3" i="9" s="1"/>
  <c r="U42" i="9" s="1"/>
  <c r="V3" i="9" s="1"/>
  <c r="V42" i="9" s="1"/>
  <c r="W3" i="9" s="1"/>
  <c r="W42" i="9" s="1"/>
  <c r="X3" i="9" s="1"/>
  <c r="X42" i="9" s="1"/>
  <c r="Y3" i="9" s="1"/>
  <c r="Y42" i="9" s="1"/>
  <c r="Z3" i="9" s="1"/>
  <c r="Z42" i="9" s="1"/>
  <c r="AA3" i="9" s="1"/>
  <c r="AA42" i="9" s="1"/>
  <c r="AB3" i="9" s="1"/>
  <c r="AB42" i="9" s="1"/>
  <c r="AC3" i="9" s="1"/>
  <c r="AC42" i="9" s="1"/>
  <c r="AD3" i="9" s="1"/>
  <c r="AD42" i="9" s="1"/>
  <c r="AE3" i="9" s="1"/>
  <c r="AE42" i="9" s="1"/>
  <c r="AF3" i="9" s="1"/>
  <c r="AF42" i="9" s="1"/>
  <c r="AG3" i="9" s="1"/>
  <c r="AG42" i="9" s="1"/>
  <c r="AH3" i="9" s="1"/>
  <c r="AH42" i="9" s="1"/>
  <c r="F3" i="12" s="1"/>
  <c r="F58" i="12" s="1"/>
  <c r="G3" i="12" s="1"/>
  <c r="G58" i="12" s="1"/>
  <c r="H3" i="12" s="1"/>
  <c r="H58" i="12" s="1"/>
  <c r="I3" i="12" s="1"/>
  <c r="I58" i="12" s="1"/>
  <c r="J3" i="12" s="1"/>
  <c r="J58" i="12" s="1"/>
  <c r="K3" i="12" s="1"/>
  <c r="K58" i="12" s="1"/>
  <c r="L3" i="12" s="1"/>
  <c r="L58" i="12" s="1"/>
  <c r="M3" i="12" s="1"/>
  <c r="M58" i="12" s="1"/>
  <c r="N3" i="12" s="1"/>
  <c r="N58" i="12" s="1"/>
  <c r="O3" i="12" s="1"/>
  <c r="O58" i="12" s="1"/>
  <c r="P3" i="12" s="1"/>
  <c r="P58" i="12" s="1"/>
  <c r="Q3" i="12" s="1"/>
  <c r="Q58" i="12" s="1"/>
  <c r="R3" i="12" s="1"/>
  <c r="R58" i="12" s="1"/>
  <c r="S3" i="12" s="1"/>
  <c r="S58" i="12" s="1"/>
  <c r="T3" i="12" s="1"/>
  <c r="T58" i="12" s="1"/>
  <c r="U3" i="12" s="1"/>
  <c r="U58" i="12" s="1"/>
  <c r="V3" i="12" s="1"/>
  <c r="V58" i="12" s="1"/>
  <c r="W3" i="12" s="1"/>
  <c r="W58" i="12" s="1"/>
  <c r="X3" i="12" s="1"/>
  <c r="X58" i="12" s="1"/>
  <c r="Y3" i="12" s="1"/>
  <c r="Y58" i="12" s="1"/>
  <c r="Z3" i="12" s="1"/>
  <c r="Z58" i="12" s="1"/>
  <c r="AA3" i="12" s="1"/>
  <c r="AA58" i="12" s="1"/>
  <c r="AB3" i="12" s="1"/>
  <c r="AB58" i="12" s="1"/>
  <c r="AC3" i="12" s="1"/>
  <c r="AC58" i="12" s="1"/>
  <c r="AD3" i="12" s="1"/>
  <c r="AD58" i="12" s="1"/>
  <c r="AE3" i="12" s="1"/>
  <c r="AE58" i="12" s="1"/>
  <c r="AF3" i="12" s="1"/>
  <c r="AF58" i="12" s="1"/>
  <c r="AG3" i="12" s="1"/>
  <c r="AG58" i="12" s="1"/>
  <c r="AH3" i="12" s="1"/>
  <c r="AH58" i="12" s="1"/>
  <c r="AI3" i="12" s="1"/>
  <c r="AI58" i="12" s="1"/>
  <c r="AJ3" i="12" s="1"/>
  <c r="AJ58" i="12" s="1"/>
  <c r="F3" i="14" s="1"/>
  <c r="F34" i="14" s="1"/>
  <c r="G3" i="14" s="1"/>
  <c r="G34" i="14" s="1"/>
  <c r="H3" i="14" s="1"/>
  <c r="H34" i="14" s="1"/>
  <c r="I3" i="14" s="1"/>
  <c r="I34" i="14" s="1"/>
  <c r="J3" i="14" s="1"/>
  <c r="J34" i="14" s="1"/>
  <c r="K3" i="14" s="1"/>
  <c r="K34" i="14" s="1"/>
  <c r="L3" i="14" s="1"/>
  <c r="L34" i="14" s="1"/>
  <c r="M3" i="14" s="1"/>
  <c r="M34" i="14" s="1"/>
  <c r="N3" i="14" s="1"/>
  <c r="N34" i="14" s="1"/>
  <c r="O3" i="14" s="1"/>
  <c r="O34" i="14" s="1"/>
  <c r="P3" i="14" s="1"/>
  <c r="P34" i="14" s="1"/>
  <c r="Q3" i="14" s="1"/>
  <c r="Q34" i="14" s="1"/>
  <c r="R3" i="14" s="1"/>
  <c r="R34" i="14" s="1"/>
  <c r="S3" i="14" s="1"/>
  <c r="S34" i="14" s="1"/>
  <c r="T3" i="14" s="1"/>
  <c r="T34" i="14" s="1"/>
  <c r="U3" i="14" s="1"/>
  <c r="U34" i="14" s="1"/>
  <c r="V3" i="14" s="1"/>
  <c r="V34" i="14" s="1"/>
  <c r="W3" i="14" s="1"/>
  <c r="W34" i="14" s="1"/>
  <c r="X3" i="14" s="1"/>
  <c r="X34" i="14" s="1"/>
  <c r="Y3" i="14" s="1"/>
  <c r="Y34" i="14" s="1"/>
  <c r="Z3" i="14" s="1"/>
  <c r="Z34" i="14" s="1"/>
  <c r="AA3" i="14" s="1"/>
  <c r="AA34" i="14" s="1"/>
  <c r="AB3" i="14" s="1"/>
  <c r="AB34" i="14" s="1"/>
  <c r="AC3" i="14" s="1"/>
  <c r="AC34" i="14" s="1"/>
  <c r="AD3" i="14" s="1"/>
  <c r="AD34" i="14" s="1"/>
  <c r="AE3" i="14" s="1"/>
  <c r="AE34" i="14" s="1"/>
  <c r="AF3" i="14" s="1"/>
  <c r="AF34" i="14" s="1"/>
  <c r="AG3" i="14" s="1"/>
  <c r="AG34" i="14" s="1"/>
  <c r="AH3" i="14" s="1"/>
  <c r="AH34" i="14" s="1"/>
  <c r="AI3" i="14" s="1"/>
  <c r="AI34" i="14" s="1"/>
  <c r="F3" i="18" s="1"/>
  <c r="F33" i="18" s="1"/>
  <c r="G3" i="18" s="1"/>
  <c r="G33" i="18" s="1"/>
  <c r="H3" i="18" s="1"/>
  <c r="H33" i="18" s="1"/>
  <c r="I3" i="18" s="1"/>
  <c r="I33" i="18" s="1"/>
  <c r="J3" i="18" s="1"/>
  <c r="J33" i="18" s="1"/>
  <c r="K3" i="18" s="1"/>
  <c r="K33" i="18" s="1"/>
  <c r="L3" i="18" s="1"/>
  <c r="L33" i="18" s="1"/>
  <c r="M3" i="18" s="1"/>
  <c r="M33" i="18" s="1"/>
  <c r="N3" i="18" s="1"/>
  <c r="N33" i="18" s="1"/>
  <c r="O3" i="18" s="1"/>
  <c r="O33" i="18" s="1"/>
  <c r="P3" i="18" s="1"/>
  <c r="P33" i="18" s="1"/>
  <c r="Q3" i="18" s="1"/>
  <c r="Q33" i="18" s="1"/>
  <c r="R3" i="18" s="1"/>
  <c r="R33" i="18" s="1"/>
  <c r="S3" i="18" s="1"/>
  <c r="S33" i="18" s="1"/>
  <c r="T3" i="18" s="1"/>
  <c r="T33" i="18" s="1"/>
  <c r="U3" i="18" s="1"/>
  <c r="U33" i="18" s="1"/>
  <c r="V3" i="18" s="1"/>
  <c r="V33" i="18" s="1"/>
  <c r="W3" i="18" s="1"/>
  <c r="W33" i="18" s="1"/>
  <c r="X3" i="18" s="1"/>
  <c r="X33" i="18" s="1"/>
  <c r="Y3" i="18" s="1"/>
  <c r="Y33" i="18" s="1"/>
  <c r="Z3" i="18" s="1"/>
  <c r="Z33" i="18" s="1"/>
  <c r="AA3" i="18" s="1"/>
  <c r="AA33" i="18" s="1"/>
  <c r="AB3" i="18" s="1"/>
  <c r="AB33" i="18" s="1"/>
  <c r="AC3" i="18" s="1"/>
  <c r="AC33" i="18" s="1"/>
  <c r="AD3" i="18" s="1"/>
  <c r="AD33" i="18" s="1"/>
  <c r="AE3" i="18" s="1"/>
  <c r="AE33" i="18" s="1"/>
  <c r="AF3" i="18" s="1"/>
  <c r="AF33" i="18" s="1"/>
  <c r="AG3" i="18" s="1"/>
  <c r="AG33" i="18" s="1"/>
  <c r="AH3" i="18" s="1"/>
  <c r="AH33" i="18" s="1"/>
  <c r="AI3" i="18" s="1"/>
  <c r="AI33" i="18" s="1"/>
  <c r="AJ3" i="18" s="1"/>
  <c r="AJ33" i="18" s="1"/>
  <c r="F3" i="19" s="1"/>
  <c r="F35" i="19" s="1"/>
  <c r="G3" i="19" s="1"/>
  <c r="G35" i="19" s="1"/>
  <c r="H3" i="19" s="1"/>
  <c r="H35" i="19" s="1"/>
  <c r="I3" i="19" s="1"/>
  <c r="I35" i="19" s="1"/>
  <c r="J3" i="19" s="1"/>
  <c r="J35" i="19" s="1"/>
  <c r="K3" i="19" s="1"/>
  <c r="K35" i="19" s="1"/>
  <c r="L3" i="19" s="1"/>
  <c r="L35" i="19" s="1"/>
  <c r="M3" i="19" s="1"/>
  <c r="M35" i="19" s="1"/>
  <c r="N3" i="19" s="1"/>
  <c r="N35" i="19" s="1"/>
  <c r="O3" i="19" s="1"/>
  <c r="O35" i="19" s="1"/>
  <c r="P3" i="19" s="1"/>
  <c r="P35" i="19" s="1"/>
  <c r="Q3" i="19" s="1"/>
  <c r="Q35" i="19" s="1"/>
  <c r="R3" i="19" s="1"/>
  <c r="R35" i="19" s="1"/>
  <c r="S3" i="19" s="1"/>
  <c r="S35" i="19" s="1"/>
  <c r="T3" i="19" s="1"/>
  <c r="T35" i="19" s="1"/>
  <c r="U3" i="19" s="1"/>
  <c r="U35" i="19" s="1"/>
  <c r="V3" i="19" s="1"/>
  <c r="V35" i="19" s="1"/>
  <c r="W3" i="19" s="1"/>
  <c r="W35" i="19" s="1"/>
  <c r="X3" i="19" s="1"/>
  <c r="X35" i="19" s="1"/>
  <c r="Y3" i="19" s="1"/>
  <c r="Y35" i="19" s="1"/>
  <c r="Z3" i="19" s="1"/>
  <c r="Z35" i="19" s="1"/>
  <c r="AA3" i="19" s="1"/>
  <c r="AA35" i="19" s="1"/>
  <c r="AB3" i="19" s="1"/>
  <c r="AB35" i="19" s="1"/>
  <c r="AC3" i="19" s="1"/>
  <c r="AC35" i="19" s="1"/>
  <c r="AD3" i="19" s="1"/>
  <c r="AD35" i="19" s="1"/>
  <c r="AE3" i="19" s="1"/>
  <c r="AE35" i="19" s="1"/>
  <c r="AF3" i="19" s="1"/>
  <c r="AF35" i="19" s="1"/>
  <c r="AG3" i="19" s="1"/>
  <c r="AG35" i="19" s="1"/>
  <c r="AH3" i="19" s="1"/>
  <c r="AH35" i="19" s="1"/>
  <c r="AI3" i="19" s="1"/>
  <c r="AI35" i="19" s="1"/>
  <c r="F3" i="20" s="1"/>
  <c r="F38" i="20" s="1"/>
  <c r="G3" i="20" s="1"/>
  <c r="G38" i="20" s="1"/>
  <c r="H3" i="20" s="1"/>
  <c r="H38" i="20" s="1"/>
  <c r="I3" i="20" s="1"/>
  <c r="I38" i="20" s="1"/>
  <c r="J3" i="20" s="1"/>
  <c r="J38" i="20" s="1"/>
  <c r="K3" i="20" s="1"/>
  <c r="K38" i="20" s="1"/>
  <c r="L3" i="20" s="1"/>
  <c r="L38" i="20" s="1"/>
  <c r="M3" i="20" s="1"/>
  <c r="M38" i="20" s="1"/>
  <c r="N3" i="20" s="1"/>
  <c r="N38" i="20" s="1"/>
  <c r="O3" i="20" s="1"/>
  <c r="O38" i="20" s="1"/>
  <c r="P3" i="20" s="1"/>
  <c r="P38" i="20" s="1"/>
  <c r="Q3" i="20" s="1"/>
  <c r="Q38" i="20" s="1"/>
  <c r="R3" i="20" s="1"/>
  <c r="R38" i="20" s="1"/>
  <c r="S3" i="20" s="1"/>
  <c r="S38" i="20" s="1"/>
  <c r="T3" i="20" s="1"/>
  <c r="T38" i="20" s="1"/>
  <c r="U3" i="20" s="1"/>
  <c r="U38" i="20" s="1"/>
  <c r="V3" i="20" s="1"/>
  <c r="V38" i="20" s="1"/>
  <c r="W3" i="20" s="1"/>
  <c r="W38" i="20" s="1"/>
  <c r="X3" i="20" s="1"/>
  <c r="X38" i="20" s="1"/>
  <c r="Y3" i="20" s="1"/>
  <c r="Y38" i="20" s="1"/>
  <c r="Z3" i="20" s="1"/>
  <c r="Z38" i="20" s="1"/>
  <c r="AA3" i="20" s="1"/>
  <c r="AA38" i="20" s="1"/>
  <c r="AB3" i="20" s="1"/>
  <c r="AB38" i="20" s="1"/>
  <c r="AC3" i="20" s="1"/>
  <c r="AC38" i="20" s="1"/>
  <c r="AD3" i="20" s="1"/>
  <c r="AD38" i="20" s="1"/>
  <c r="AE3" i="20" s="1"/>
  <c r="AE38" i="20" s="1"/>
  <c r="AF3" i="20" s="1"/>
  <c r="AF38" i="20" s="1"/>
  <c r="AG3" i="20" s="1"/>
  <c r="AG38" i="20" s="1"/>
  <c r="AH3" i="20" s="1"/>
  <c r="AH38" i="20" s="1"/>
  <c r="AI3" i="20" s="1"/>
  <c r="AI38" i="20" s="1"/>
  <c r="AJ3" i="20" s="1"/>
  <c r="AJ38" i="20" s="1"/>
  <c r="F3" i="21" s="1"/>
  <c r="F44" i="21" s="1"/>
  <c r="G3" i="21" s="1"/>
  <c r="G44" i="21" s="1"/>
  <c r="H3" i="21" s="1"/>
  <c r="H44" i="21" s="1"/>
  <c r="I3" i="21" s="1"/>
  <c r="I44" i="21" s="1"/>
  <c r="J3" i="21" s="1"/>
  <c r="J44" i="21" s="1"/>
  <c r="K3" i="21" s="1"/>
  <c r="K44" i="21" s="1"/>
  <c r="L3" i="21" s="1"/>
  <c r="L44" i="21" s="1"/>
  <c r="M3" i="21" s="1"/>
  <c r="M44" i="21" s="1"/>
  <c r="N3" i="21" s="1"/>
  <c r="N44" i="21" s="1"/>
  <c r="O3" i="21" s="1"/>
  <c r="O44" i="21" s="1"/>
  <c r="P3" i="21" s="1"/>
  <c r="P44" i="21" s="1"/>
  <c r="Q3" i="21" s="1"/>
  <c r="Q44" i="21" s="1"/>
  <c r="R3" i="21" s="1"/>
  <c r="R44" i="21" s="1"/>
  <c r="S3" i="21" s="1"/>
  <c r="S44" i="21" s="1"/>
  <c r="T3" i="21" s="1"/>
  <c r="T44" i="21" s="1"/>
  <c r="U3" i="21" s="1"/>
  <c r="U44" i="21" s="1"/>
  <c r="V3" i="21" s="1"/>
  <c r="V44" i="21" s="1"/>
  <c r="W3" i="21" s="1"/>
  <c r="W44" i="21" s="1"/>
  <c r="X3" i="21" s="1"/>
  <c r="X44" i="21" s="1"/>
  <c r="Y3" i="21" s="1"/>
  <c r="Y44" i="21" s="1"/>
  <c r="Z3" i="21" s="1"/>
  <c r="Z44" i="21" s="1"/>
  <c r="AA3" i="21" s="1"/>
  <c r="AA44" i="21" s="1"/>
  <c r="AB3" i="21" s="1"/>
  <c r="AB44" i="21" s="1"/>
  <c r="AC3" i="21" s="1"/>
  <c r="AC44" i="21" s="1"/>
  <c r="AD3" i="21" s="1"/>
  <c r="AD44" i="21" s="1"/>
  <c r="AE3" i="21" s="1"/>
  <c r="AE44" i="21" s="1"/>
  <c r="AF3" i="21" s="1"/>
  <c r="AF44" i="21" s="1"/>
  <c r="AG3" i="21" s="1"/>
  <c r="AG44" i="21" s="1"/>
  <c r="AH3" i="21" s="1"/>
  <c r="AH44" i="21" s="1"/>
  <c r="AI3" i="21" s="1"/>
  <c r="AI44" i="21" s="1"/>
  <c r="AJ3" i="21" s="1"/>
  <c r="AJ44" i="21" s="1"/>
  <c r="F3" i="22" s="1"/>
  <c r="F39" i="22" s="1"/>
  <c r="G3" i="22" s="1"/>
  <c r="G39" i="22" s="1"/>
  <c r="H3" i="22" s="1"/>
  <c r="H39" i="22" s="1"/>
  <c r="I3" i="22" s="1"/>
  <c r="I39" i="22" s="1"/>
  <c r="J3" i="22" s="1"/>
  <c r="J39" i="22" s="1"/>
  <c r="K3" i="22" s="1"/>
  <c r="K39" i="22" s="1"/>
  <c r="L3" i="22" s="1"/>
  <c r="L39" i="22" s="1"/>
  <c r="M3" i="22" s="1"/>
  <c r="M39" i="22" s="1"/>
  <c r="N3" i="22" s="1"/>
  <c r="N39" i="22" s="1"/>
  <c r="O3" i="22" s="1"/>
  <c r="O39" i="22" s="1"/>
  <c r="P3" i="22" s="1"/>
  <c r="P39" i="22" s="1"/>
  <c r="Q3" i="22" s="1"/>
  <c r="Q39" i="22" s="1"/>
  <c r="R3" i="22" s="1"/>
  <c r="R39" i="22" s="1"/>
  <c r="S3" i="22" s="1"/>
  <c r="S39" i="22" s="1"/>
  <c r="T3" i="22" s="1"/>
  <c r="T39" i="22" s="1"/>
  <c r="U3" i="22" s="1"/>
  <c r="U39" i="22" s="1"/>
  <c r="V3" i="22" s="1"/>
  <c r="V39" i="22" s="1"/>
  <c r="W3" i="22" s="1"/>
  <c r="W39" i="22" s="1"/>
  <c r="X3" i="22" s="1"/>
  <c r="X39" i="22" s="1"/>
  <c r="Y3" i="22" s="1"/>
  <c r="Y39" i="22" s="1"/>
  <c r="Z3" i="22" s="1"/>
  <c r="Z39" i="22" s="1"/>
  <c r="E8" i="11"/>
  <c r="E6" i="11"/>
  <c r="F106" i="8"/>
  <c r="M57" i="16"/>
  <c r="M58" i="16" s="1"/>
  <c r="M35" i="16"/>
  <c r="M20" i="16"/>
  <c r="M21" i="16" s="1"/>
  <c r="M22" i="16" s="1"/>
  <c r="D64" i="58"/>
  <c r="T57" i="33"/>
  <c r="AL113" i="51"/>
  <c r="D60" i="54"/>
  <c r="D60" i="53"/>
  <c r="D64" i="52"/>
  <c r="D48" i="51"/>
  <c r="AN103" i="50"/>
  <c r="AN104" i="50" s="1"/>
  <c r="AN107" i="50" s="1"/>
  <c r="E14" i="10"/>
  <c r="D41" i="34"/>
  <c r="D39" i="30"/>
  <c r="D34" i="31"/>
  <c r="D34" i="32"/>
  <c r="D40" i="35"/>
  <c r="AQ124" i="52"/>
  <c r="U23" i="28"/>
  <c r="AH23" i="28" s="1"/>
  <c r="AR97" i="55"/>
  <c r="AT109" i="54"/>
  <c r="L100" i="8"/>
  <c r="H101" i="8"/>
  <c r="E19" i="16"/>
  <c r="B7" i="33"/>
  <c r="B15" i="33" s="1"/>
  <c r="B16" i="33" s="1"/>
  <c r="AT103" i="55"/>
  <c r="AR99" i="56"/>
  <c r="H82" i="8"/>
  <c r="L82" i="8" s="1"/>
  <c r="H80" i="8"/>
  <c r="D31" i="47"/>
  <c r="D34" i="48"/>
  <c r="D49" i="50" s="1"/>
  <c r="D45" i="51" s="1"/>
  <c r="D61" i="52" s="1"/>
  <c r="D57" i="53" s="1"/>
  <c r="D37" i="43"/>
  <c r="D42" i="44" s="1"/>
  <c r="D35" i="45" s="1"/>
  <c r="D101" i="55"/>
  <c r="AL101" i="55" s="1"/>
  <c r="AN77" i="47"/>
  <c r="AN80" i="47" s="1"/>
  <c r="AN82" i="47" s="1"/>
  <c r="AN75" i="47"/>
  <c r="AH22" i="28"/>
  <c r="AH28" i="28" s="1"/>
  <c r="D39" i="29" s="1"/>
  <c r="AL31" i="61"/>
  <c r="AL71" i="61"/>
  <c r="AP71" i="61"/>
  <c r="AP74" i="61" s="1"/>
  <c r="AP76" i="57"/>
  <c r="AP84" i="60" l="1"/>
  <c r="AP85" i="60" s="1"/>
  <c r="AP88" i="60" s="1"/>
  <c r="D85" i="60"/>
  <c r="AL85" i="60" s="1"/>
  <c r="U37" i="28"/>
  <c r="AN83" i="48"/>
  <c r="AN110" i="50" s="1"/>
  <c r="AT99" i="56"/>
  <c r="AR79" i="57"/>
  <c r="D72" i="58"/>
  <c r="AL72" i="58" s="1"/>
  <c r="AP73" i="58" s="1"/>
  <c r="AP71" i="58"/>
  <c r="AP72" i="58" s="1"/>
  <c r="D56" i="53"/>
  <c r="D48" i="50"/>
  <c r="D33" i="48"/>
  <c r="D60" i="52"/>
  <c r="D44" i="51"/>
  <c r="D33" i="46"/>
  <c r="D30" i="47"/>
  <c r="M34" i="16"/>
  <c r="M36" i="16" s="1"/>
  <c r="M37" i="16" s="1"/>
  <c r="E21" i="16"/>
  <c r="E22" i="16" s="1"/>
  <c r="AR93" i="56"/>
  <c r="AT97" i="55"/>
  <c r="D60" i="56"/>
  <c r="D98" i="56" s="1"/>
  <c r="AL98" i="56" s="1"/>
  <c r="AP101" i="55"/>
  <c r="AP102" i="55" s="1"/>
  <c r="AP105" i="55" s="1"/>
  <c r="D45" i="23"/>
  <c r="AA3" i="22"/>
  <c r="AA39" i="22" s="1"/>
  <c r="AB3" i="22" s="1"/>
  <c r="AB39" i="22" s="1"/>
  <c r="AC3" i="22" s="1"/>
  <c r="AC39" i="22" s="1"/>
  <c r="AD3" i="22" s="1"/>
  <c r="AD39" i="22" s="1"/>
  <c r="AE3" i="22" s="1"/>
  <c r="AE39" i="22" s="1"/>
  <c r="AF3" i="22" s="1"/>
  <c r="AF39" i="22" s="1"/>
  <c r="AG3" i="22" s="1"/>
  <c r="AG39" i="22" s="1"/>
  <c r="AH3" i="22" s="1"/>
  <c r="AH39" i="22" s="1"/>
  <c r="AI3" i="22" s="1"/>
  <c r="AI39" i="22" s="1"/>
  <c r="F3" i="23" s="1"/>
  <c r="F51" i="23" s="1"/>
  <c r="G3" i="23" s="1"/>
  <c r="G51" i="23" s="1"/>
  <c r="H3" i="23" s="1"/>
  <c r="H51" i="23" s="1"/>
  <c r="I3" i="23" s="1"/>
  <c r="I51" i="23" s="1"/>
  <c r="J3" i="23" s="1"/>
  <c r="J51" i="23" s="1"/>
  <c r="K3" i="23" s="1"/>
  <c r="K51" i="23" s="1"/>
  <c r="L3" i="23" s="1"/>
  <c r="L51" i="23" s="1"/>
  <c r="M3" i="23" s="1"/>
  <c r="M51" i="23" s="1"/>
  <c r="N3" i="23" s="1"/>
  <c r="N51" i="23" s="1"/>
  <c r="O3" i="23" s="1"/>
  <c r="O51" i="23" s="1"/>
  <c r="P3" i="23" s="1"/>
  <c r="P51" i="23" s="1"/>
  <c r="Q3" i="23" s="1"/>
  <c r="Q51" i="23" s="1"/>
  <c r="R3" i="23" s="1"/>
  <c r="R51" i="23" s="1"/>
  <c r="S3" i="23" s="1"/>
  <c r="S51" i="23" s="1"/>
  <c r="T3" i="23" s="1"/>
  <c r="T51" i="23" s="1"/>
  <c r="U3" i="23" s="1"/>
  <c r="U51" i="23" s="1"/>
  <c r="V3" i="23" s="1"/>
  <c r="V51" i="23" s="1"/>
  <c r="W3" i="23" s="1"/>
  <c r="W51" i="23" s="1"/>
  <c r="X3" i="23" s="1"/>
  <c r="X51" i="23" s="1"/>
  <c r="Y3" i="23" s="1"/>
  <c r="Y51" i="23" s="1"/>
  <c r="Z3" i="23" s="1"/>
  <c r="Z51" i="23" s="1"/>
  <c r="AA3" i="23" s="1"/>
  <c r="AA51" i="23" s="1"/>
  <c r="AB3" i="23" s="1"/>
  <c r="AB51" i="23" s="1"/>
  <c r="AC3" i="23" s="1"/>
  <c r="AC51" i="23" s="1"/>
  <c r="AD3" i="23" s="1"/>
  <c r="AD51" i="23" s="1"/>
  <c r="AE3" i="23" s="1"/>
  <c r="AE51" i="23" s="1"/>
  <c r="AF3" i="23" s="1"/>
  <c r="AF51" i="23" s="1"/>
  <c r="AG3" i="23" s="1"/>
  <c r="AG51" i="23" s="1"/>
  <c r="AH3" i="23" s="1"/>
  <c r="AH51" i="23" s="1"/>
  <c r="AI3" i="23" s="1"/>
  <c r="AI51" i="23" s="1"/>
  <c r="AJ3" i="23" s="1"/>
  <c r="AJ51" i="23" s="1"/>
  <c r="F3" i="24" s="1"/>
  <c r="F66" i="24" s="1"/>
  <c r="G3" i="24" s="1"/>
  <c r="G66" i="24" s="1"/>
  <c r="H3" i="24" s="1"/>
  <c r="H66" i="24" s="1"/>
  <c r="I3" i="24" s="1"/>
  <c r="I66" i="24" s="1"/>
  <c r="J3" i="24" s="1"/>
  <c r="J66" i="24" s="1"/>
  <c r="K3" i="24" s="1"/>
  <c r="K66" i="24" s="1"/>
  <c r="L3" i="24" s="1"/>
  <c r="L66" i="24" s="1"/>
  <c r="M3" i="24" s="1"/>
  <c r="M66" i="24" s="1"/>
  <c r="N3" i="24" s="1"/>
  <c r="N66" i="24" s="1"/>
  <c r="O3" i="24" s="1"/>
  <c r="O66" i="24" s="1"/>
  <c r="P3" i="24" s="1"/>
  <c r="P66" i="24" s="1"/>
  <c r="Q3" i="24" s="1"/>
  <c r="Q66" i="24" s="1"/>
  <c r="R3" i="24" s="1"/>
  <c r="R66" i="24" s="1"/>
  <c r="S3" i="24" s="1"/>
  <c r="S66" i="24" s="1"/>
  <c r="T3" i="24" s="1"/>
  <c r="T66" i="24" s="1"/>
  <c r="U3" i="24" s="1"/>
  <c r="U66" i="24" s="1"/>
  <c r="V3" i="24" s="1"/>
  <c r="V66" i="24" s="1"/>
  <c r="W3" i="24" s="1"/>
  <c r="W66" i="24" s="1"/>
  <c r="X3" i="24" s="1"/>
  <c r="X66" i="24" s="1"/>
  <c r="Y3" i="24" s="1"/>
  <c r="Y66" i="24" s="1"/>
  <c r="Z3" i="24" s="1"/>
  <c r="Z66" i="24" s="1"/>
  <c r="AA3" i="24" s="1"/>
  <c r="AA66" i="24" s="1"/>
  <c r="AB3" i="24" s="1"/>
  <c r="AB66" i="24" s="1"/>
  <c r="AC3" i="24" s="1"/>
  <c r="AC66" i="24" s="1"/>
  <c r="AD3" i="24" s="1"/>
  <c r="AD66" i="24" s="1"/>
  <c r="AE3" i="24" s="1"/>
  <c r="AE66" i="24" s="1"/>
  <c r="AF3" i="24" s="1"/>
  <c r="AF66" i="24" s="1"/>
  <c r="AG3" i="24" s="1"/>
  <c r="AG66" i="24" s="1"/>
  <c r="AH3" i="24" s="1"/>
  <c r="AH66" i="24" s="1"/>
  <c r="AI3" i="24" s="1"/>
  <c r="AI66" i="24" s="1"/>
  <c r="F3" i="25" s="1"/>
  <c r="F62" i="25" s="1"/>
  <c r="G3" i="25" s="1"/>
  <c r="G62" i="25" s="1"/>
  <c r="H3" i="25" s="1"/>
  <c r="H62" i="25" s="1"/>
  <c r="I3" i="25" s="1"/>
  <c r="I62" i="25" s="1"/>
  <c r="J3" i="25" s="1"/>
  <c r="J62" i="25" s="1"/>
  <c r="K3" i="25" s="1"/>
  <c r="K62" i="25" s="1"/>
  <c r="L3" i="25" s="1"/>
  <c r="L62" i="25" s="1"/>
  <c r="M3" i="25" s="1"/>
  <c r="M62" i="25" s="1"/>
  <c r="N3" i="25" s="1"/>
  <c r="N62" i="25" s="1"/>
  <c r="O3" i="25" s="1"/>
  <c r="O62" i="25" s="1"/>
  <c r="P3" i="25" s="1"/>
  <c r="P62" i="25" s="1"/>
  <c r="D78" i="57"/>
  <c r="AL78" i="57" s="1"/>
  <c r="AP77" i="57"/>
  <c r="AP78" i="57" s="1"/>
  <c r="AP81" i="57" s="1"/>
  <c r="F107" i="8"/>
  <c r="H102" i="8"/>
  <c r="H104" i="8"/>
  <c r="L101" i="8"/>
  <c r="H84" i="8"/>
  <c r="L84" i="8" s="1"/>
  <c r="H83" i="8"/>
  <c r="L83" i="8" s="1"/>
  <c r="L80" i="8"/>
  <c r="AQ125" i="52"/>
  <c r="D61" i="53"/>
  <c r="D61" i="54"/>
  <c r="D65" i="52"/>
  <c r="AN102" i="51"/>
  <c r="AN103" i="51" s="1"/>
  <c r="AN106" i="51" s="1"/>
  <c r="AN109" i="51" l="1"/>
  <c r="AN133" i="52" s="1"/>
  <c r="AP118" i="53" s="1"/>
  <c r="AP119" i="54" s="1"/>
  <c r="AP107" i="55" s="1"/>
  <c r="AP103" i="56" s="1"/>
  <c r="AP83" i="57" s="1"/>
  <c r="AP51" i="78" s="1"/>
  <c r="AP106" i="55"/>
  <c r="AP102" i="56" s="1"/>
  <c r="AP82" i="57" s="1"/>
  <c r="AP50" i="78" s="1"/>
  <c r="AQ126" i="52"/>
  <c r="AQ127" i="52" s="1"/>
  <c r="AQ130" i="52" s="1"/>
  <c r="AP75" i="58"/>
  <c r="Q3" i="25"/>
  <c r="Q62" i="25" s="1"/>
  <c r="R3" i="25" s="1"/>
  <c r="R62" i="25" s="1"/>
  <c r="S3" i="25" s="1"/>
  <c r="S62" i="25" s="1"/>
  <c r="T3" i="25" s="1"/>
  <c r="T62" i="25" s="1"/>
  <c r="U3" i="25" s="1"/>
  <c r="U62" i="25" s="1"/>
  <c r="V3" i="25" s="1"/>
  <c r="V62" i="25" s="1"/>
  <c r="W3" i="25" s="1"/>
  <c r="W62" i="25" s="1"/>
  <c r="X3" i="25" s="1"/>
  <c r="X62" i="25" s="1"/>
  <c r="Y3" i="25" s="1"/>
  <c r="Y62" i="25" s="1"/>
  <c r="Z3" i="25" s="1"/>
  <c r="Z62" i="25" s="1"/>
  <c r="AA3" i="25" s="1"/>
  <c r="AA62" i="25" s="1"/>
  <c r="AB3" i="25" s="1"/>
  <c r="AB62" i="25" s="1"/>
  <c r="AC3" i="25" s="1"/>
  <c r="AC62" i="25" s="1"/>
  <c r="AD3" i="25" s="1"/>
  <c r="AD62" i="25" s="1"/>
  <c r="AE3" i="25" s="1"/>
  <c r="AE62" i="25" s="1"/>
  <c r="AF3" i="25" s="1"/>
  <c r="AF62" i="25" s="1"/>
  <c r="AG3" i="25" s="1"/>
  <c r="AG62" i="25" s="1"/>
  <c r="AH3" i="25" s="1"/>
  <c r="AH62" i="25" s="1"/>
  <c r="AI3" i="25" s="1"/>
  <c r="AI62" i="25" s="1"/>
  <c r="AJ3" i="25" s="1"/>
  <c r="AJ62" i="25" s="1"/>
  <c r="F3" i="27" s="1"/>
  <c r="F66" i="27" s="1"/>
  <c r="G3" i="27" s="1"/>
  <c r="G66" i="27" s="1"/>
  <c r="H3" i="27" s="1"/>
  <c r="H66" i="27" s="1"/>
  <c r="I3" i="27" s="1"/>
  <c r="I66" i="27" s="1"/>
  <c r="J3" i="27" s="1"/>
  <c r="J66" i="27" s="1"/>
  <c r="K3" i="27" s="1"/>
  <c r="K66" i="27" s="1"/>
  <c r="L3" i="27" s="1"/>
  <c r="L66" i="27" s="1"/>
  <c r="M3" i="27" s="1"/>
  <c r="M66" i="27" s="1"/>
  <c r="N3" i="27" s="1"/>
  <c r="N66" i="27" s="1"/>
  <c r="O3" i="27" s="1"/>
  <c r="O66" i="27" s="1"/>
  <c r="P3" i="27" s="1"/>
  <c r="P66" i="27" s="1"/>
  <c r="Q3" i="27" s="1"/>
  <c r="Q66" i="27" s="1"/>
  <c r="R3" i="27" s="1"/>
  <c r="R66" i="27" s="1"/>
  <c r="S3" i="27" s="1"/>
  <c r="S66" i="27" s="1"/>
  <c r="T3" i="27" s="1"/>
  <c r="T66" i="27" s="1"/>
  <c r="U3" i="27" s="1"/>
  <c r="U66" i="27" s="1"/>
  <c r="V3" i="27" s="1"/>
  <c r="V66" i="27" s="1"/>
  <c r="W3" i="27" s="1"/>
  <c r="W66" i="27" s="1"/>
  <c r="X3" i="27" s="1"/>
  <c r="X66" i="27" s="1"/>
  <c r="Y3" i="27" s="1"/>
  <c r="Y66" i="27" s="1"/>
  <c r="Z3" i="27" s="1"/>
  <c r="Z66" i="27" s="1"/>
  <c r="AA3" i="27" s="1"/>
  <c r="AA66" i="27" s="1"/>
  <c r="AB3" i="27" s="1"/>
  <c r="AB66" i="27" s="1"/>
  <c r="AC3" i="27" s="1"/>
  <c r="AC66" i="27" s="1"/>
  <c r="AD3" i="27" s="1"/>
  <c r="AD66" i="27" s="1"/>
  <c r="AE3" i="27" s="1"/>
  <c r="AE66" i="27" s="1"/>
  <c r="AF3" i="27" s="1"/>
  <c r="AF66" i="27" s="1"/>
  <c r="AG3" i="27" s="1"/>
  <c r="AG66" i="27" s="1"/>
  <c r="AH3" i="27" s="1"/>
  <c r="AH66" i="27" s="1"/>
  <c r="AI3" i="27" s="1"/>
  <c r="AI66" i="27" s="1"/>
  <c r="AJ3" i="27" s="1"/>
  <c r="AJ66" i="27" s="1"/>
  <c r="F3" i="28" s="1"/>
  <c r="F80" i="28" s="1"/>
  <c r="G3" i="28" s="1"/>
  <c r="G80" i="28" s="1"/>
  <c r="H3" i="28" s="1"/>
  <c r="H80" i="28" s="1"/>
  <c r="I3" i="28" s="1"/>
  <c r="I80" i="28" s="1"/>
  <c r="J3" i="28" s="1"/>
  <c r="J80" i="28" s="1"/>
  <c r="K3" i="28" s="1"/>
  <c r="K80" i="28" s="1"/>
  <c r="L3" i="28" s="1"/>
  <c r="L80" i="28" s="1"/>
  <c r="M3" i="28" s="1"/>
  <c r="M80" i="28" s="1"/>
  <c r="N3" i="28" s="1"/>
  <c r="N80" i="28" s="1"/>
  <c r="O3" i="28" s="1"/>
  <c r="O80" i="28" s="1"/>
  <c r="P3" i="28" s="1"/>
  <c r="P80" i="28" s="1"/>
  <c r="Q3" i="28" s="1"/>
  <c r="Q80" i="28" s="1"/>
  <c r="R3" i="28" s="1"/>
  <c r="R80" i="28" s="1"/>
  <c r="S3" i="28" s="1"/>
  <c r="S80" i="28" s="1"/>
  <c r="T3" i="28" s="1"/>
  <c r="T80" i="28" s="1"/>
  <c r="U3" i="28" s="1"/>
  <c r="U80" i="28" s="1"/>
  <c r="V3" i="28" s="1"/>
  <c r="V80" i="28" s="1"/>
  <c r="W3" i="28" s="1"/>
  <c r="W80" i="28" s="1"/>
  <c r="X3" i="28" s="1"/>
  <c r="X80" i="28" s="1"/>
  <c r="Y3" i="28" s="1"/>
  <c r="Y80" i="28" s="1"/>
  <c r="Z3" i="28" s="1"/>
  <c r="Z80" i="28" s="1"/>
  <c r="AA3" i="28" s="1"/>
  <c r="AA80" i="28" s="1"/>
  <c r="AB3" i="28" s="1"/>
  <c r="AB80" i="28" s="1"/>
  <c r="AC3" i="28" s="1"/>
  <c r="AC80" i="28" s="1"/>
  <c r="AD3" i="28" s="1"/>
  <c r="AD80" i="28" s="1"/>
  <c r="AE3" i="28" s="1"/>
  <c r="AE80" i="28" s="1"/>
  <c r="AF3" i="28" s="1"/>
  <c r="AF80" i="28" s="1"/>
  <c r="AG3" i="28" s="1"/>
  <c r="AG80" i="28" s="1"/>
  <c r="F3" i="29" s="1"/>
  <c r="F66" i="29" s="1"/>
  <c r="G3" i="29" s="1"/>
  <c r="G66" i="29" s="1"/>
  <c r="H3" i="29" s="1"/>
  <c r="H66" i="29" s="1"/>
  <c r="I3" i="29" s="1"/>
  <c r="I66" i="29" s="1"/>
  <c r="J3" i="29" s="1"/>
  <c r="J66" i="29" s="1"/>
  <c r="K3" i="29" s="1"/>
  <c r="K66" i="29" s="1"/>
  <c r="L3" i="29" s="1"/>
  <c r="L66" i="29" s="1"/>
  <c r="M3" i="29" s="1"/>
  <c r="M66" i="29" s="1"/>
  <c r="N3" i="29" s="1"/>
  <c r="N66" i="29" s="1"/>
  <c r="O3" i="29" s="1"/>
  <c r="O66" i="29" s="1"/>
  <c r="P3" i="29" s="1"/>
  <c r="P66" i="29" s="1"/>
  <c r="Q3" i="29" s="1"/>
  <c r="Q66" i="29" s="1"/>
  <c r="R3" i="29" s="1"/>
  <c r="R66" i="29" s="1"/>
  <c r="S3" i="29" s="1"/>
  <c r="S66" i="29" s="1"/>
  <c r="T3" i="29" s="1"/>
  <c r="T66" i="29" s="1"/>
  <c r="U3" i="29" s="1"/>
  <c r="U66" i="29" s="1"/>
  <c r="V3" i="29" s="1"/>
  <c r="V66" i="29" s="1"/>
  <c r="W3" i="29" s="1"/>
  <c r="W66" i="29" s="1"/>
  <c r="X3" i="29" s="1"/>
  <c r="X66" i="29" s="1"/>
  <c r="Y3" i="29" s="1"/>
  <c r="Y66" i="29" s="1"/>
  <c r="Z3" i="29" s="1"/>
  <c r="Z66" i="29" s="1"/>
  <c r="AA3" i="29" s="1"/>
  <c r="AA66" i="29" s="1"/>
  <c r="AB3" i="29" s="1"/>
  <c r="AB66" i="29" s="1"/>
  <c r="AC3" i="29" s="1"/>
  <c r="AC66" i="29" s="1"/>
  <c r="AD3" i="29" s="1"/>
  <c r="AD66" i="29" s="1"/>
  <c r="AE3" i="29" s="1"/>
  <c r="AE66" i="29" s="1"/>
  <c r="AF3" i="29" s="1"/>
  <c r="AF66" i="29" s="1"/>
  <c r="AG3" i="29" s="1"/>
  <c r="AG66" i="29" s="1"/>
  <c r="AH3" i="29" s="1"/>
  <c r="AH66" i="29" s="1"/>
  <c r="AI3" i="29" s="1"/>
  <c r="AI66" i="29" s="1"/>
  <c r="AJ3" i="29" s="1"/>
  <c r="AJ66" i="29" s="1"/>
  <c r="F3" i="30" s="1"/>
  <c r="F55" i="30" s="1"/>
  <c r="G3" i="30" s="1"/>
  <c r="G55" i="30" s="1"/>
  <c r="H3" i="30" s="1"/>
  <c r="H55" i="30" s="1"/>
  <c r="I3" i="30" s="1"/>
  <c r="I55" i="30" s="1"/>
  <c r="J3" i="30" s="1"/>
  <c r="J55" i="30" s="1"/>
  <c r="K3" i="30" s="1"/>
  <c r="K55" i="30" s="1"/>
  <c r="L3" i="30" s="1"/>
  <c r="L55" i="30" s="1"/>
  <c r="M3" i="30" s="1"/>
  <c r="M55" i="30" s="1"/>
  <c r="N3" i="30" s="1"/>
  <c r="N55" i="30" s="1"/>
  <c r="O3" i="30" s="1"/>
  <c r="O55" i="30" s="1"/>
  <c r="P3" i="30" s="1"/>
  <c r="P55" i="30" s="1"/>
  <c r="Q3" i="30" s="1"/>
  <c r="Q55" i="30" s="1"/>
  <c r="R3" i="30" s="1"/>
  <c r="R55" i="30" s="1"/>
  <c r="S3" i="30" s="1"/>
  <c r="S55" i="30" s="1"/>
  <c r="T3" i="30" s="1"/>
  <c r="T55" i="30" s="1"/>
  <c r="U3" i="30" s="1"/>
  <c r="U55" i="30" s="1"/>
  <c r="V3" i="30" s="1"/>
  <c r="V55" i="30" s="1"/>
  <c r="W3" i="30" s="1"/>
  <c r="W55" i="30" s="1"/>
  <c r="X3" i="30" s="1"/>
  <c r="X55" i="30" s="1"/>
  <c r="Y3" i="30" s="1"/>
  <c r="Y55" i="30" s="1"/>
  <c r="Z3" i="30" s="1"/>
  <c r="Z55" i="30" s="1"/>
  <c r="AA3" i="30" s="1"/>
  <c r="AA55" i="30" s="1"/>
  <c r="AB3" i="30" s="1"/>
  <c r="AB55" i="30" s="1"/>
  <c r="AC3" i="30" s="1"/>
  <c r="AC55" i="30" s="1"/>
  <c r="AD3" i="30" s="1"/>
  <c r="AD55" i="30" s="1"/>
  <c r="AE3" i="30" s="1"/>
  <c r="AE55" i="30" s="1"/>
  <c r="AF3" i="30" s="1"/>
  <c r="AF55" i="30" s="1"/>
  <c r="AG3" i="30" s="1"/>
  <c r="AG55" i="30" s="1"/>
  <c r="AH3" i="30" s="1"/>
  <c r="AH55" i="30" s="1"/>
  <c r="AI3" i="30" s="1"/>
  <c r="AI55" i="30" s="1"/>
  <c r="F3" i="31" s="1"/>
  <c r="F51" i="31" s="1"/>
  <c r="G3" i="31" s="1"/>
  <c r="G51" i="31" s="1"/>
  <c r="H3" i="31" s="1"/>
  <c r="H51" i="31" s="1"/>
  <c r="I3" i="31" s="1"/>
  <c r="I51" i="31" s="1"/>
  <c r="J3" i="31" s="1"/>
  <c r="J51" i="31" s="1"/>
  <c r="K3" i="31" s="1"/>
  <c r="K51" i="31" s="1"/>
  <c r="L3" i="31" s="1"/>
  <c r="L51" i="31" s="1"/>
  <c r="M3" i="31" s="1"/>
  <c r="M51" i="31" s="1"/>
  <c r="N3" i="31" s="1"/>
  <c r="N51" i="31" s="1"/>
  <c r="O3" i="31" s="1"/>
  <c r="O51" i="31" s="1"/>
  <c r="P3" i="31" s="1"/>
  <c r="P51" i="31" s="1"/>
  <c r="Q3" i="31" s="1"/>
  <c r="Q51" i="31" s="1"/>
  <c r="R3" i="31" s="1"/>
  <c r="R51" i="31" s="1"/>
  <c r="S3" i="31" s="1"/>
  <c r="S51" i="31" s="1"/>
  <c r="T3" i="31" s="1"/>
  <c r="T51" i="31" s="1"/>
  <c r="U3" i="31" s="1"/>
  <c r="U51" i="31" s="1"/>
  <c r="V3" i="31" s="1"/>
  <c r="V51" i="31" s="1"/>
  <c r="W3" i="31" s="1"/>
  <c r="W51" i="31" s="1"/>
  <c r="X3" i="31" s="1"/>
  <c r="X51" i="31" s="1"/>
  <c r="Y3" i="31" s="1"/>
  <c r="Y51" i="31" s="1"/>
  <c r="Z3" i="31" s="1"/>
  <c r="Z51" i="31" s="1"/>
  <c r="AA3" i="31" s="1"/>
  <c r="AA51" i="31" s="1"/>
  <c r="AB3" i="31" s="1"/>
  <c r="AB51" i="31" s="1"/>
  <c r="AC3" i="31" s="1"/>
  <c r="AC51" i="31" s="1"/>
  <c r="AD3" i="31" s="1"/>
  <c r="AD51" i="31" s="1"/>
  <c r="AE3" i="31" s="1"/>
  <c r="AE51" i="31" s="1"/>
  <c r="AF3" i="31" s="1"/>
  <c r="AF51" i="31" s="1"/>
  <c r="AG3" i="31" s="1"/>
  <c r="AG51" i="31" s="1"/>
  <c r="AH3" i="31" s="1"/>
  <c r="AH51" i="31" s="1"/>
  <c r="AI3" i="31" s="1"/>
  <c r="AI51" i="31" s="1"/>
  <c r="AJ3" i="31" s="1"/>
  <c r="AJ51" i="31" s="1"/>
  <c r="F3" i="32" s="1"/>
  <c r="F49" i="32" s="1"/>
  <c r="G3" i="32" s="1"/>
  <c r="G49" i="32" s="1"/>
  <c r="H3" i="32" s="1"/>
  <c r="H49" i="32" s="1"/>
  <c r="I3" i="32" s="1"/>
  <c r="I49" i="32" s="1"/>
  <c r="J3" i="32" s="1"/>
  <c r="J49" i="32" s="1"/>
  <c r="K3" i="32" s="1"/>
  <c r="K49" i="32" s="1"/>
  <c r="L3" i="32" s="1"/>
  <c r="L49" i="32" s="1"/>
  <c r="M3" i="32" s="1"/>
  <c r="M49" i="32" s="1"/>
  <c r="N3" i="32" s="1"/>
  <c r="N49" i="32" s="1"/>
  <c r="O3" i="32" s="1"/>
  <c r="O49" i="32" s="1"/>
  <c r="P3" i="32" s="1"/>
  <c r="P49" i="32" s="1"/>
  <c r="Q3" i="32" s="1"/>
  <c r="Q49" i="32" s="1"/>
  <c r="R3" i="32" s="1"/>
  <c r="R49" i="32" s="1"/>
  <c r="S3" i="32" s="1"/>
  <c r="S49" i="32" s="1"/>
  <c r="T3" i="32" s="1"/>
  <c r="T49" i="32" s="1"/>
  <c r="U3" i="32" s="1"/>
  <c r="U49" i="32" s="1"/>
  <c r="V3" i="32" s="1"/>
  <c r="V49" i="32" s="1"/>
  <c r="W3" i="32" s="1"/>
  <c r="W49" i="32" s="1"/>
  <c r="X3" i="32" s="1"/>
  <c r="X49" i="32" s="1"/>
  <c r="Y3" i="32" s="1"/>
  <c r="Y49" i="32" s="1"/>
  <c r="Z3" i="32" s="1"/>
  <c r="Z49" i="32" s="1"/>
  <c r="AA3" i="32" s="1"/>
  <c r="AA49" i="32" s="1"/>
  <c r="AB3" i="32" s="1"/>
  <c r="AB49" i="32" s="1"/>
  <c r="AC3" i="32" s="1"/>
  <c r="AC49" i="32" s="1"/>
  <c r="AD3" i="32" s="1"/>
  <c r="AD49" i="32" s="1"/>
  <c r="AE3" i="32" s="1"/>
  <c r="AE49" i="32" s="1"/>
  <c r="AF3" i="32" s="1"/>
  <c r="AF49" i="32" s="1"/>
  <c r="AG3" i="32" s="1"/>
  <c r="AG49" i="32" s="1"/>
  <c r="AH3" i="32" s="1"/>
  <c r="AH49" i="32" s="1"/>
  <c r="AI3" i="32" s="1"/>
  <c r="AI49" i="32" s="1"/>
  <c r="F3" i="34" s="1"/>
  <c r="F66" i="34" s="1"/>
  <c r="G3" i="34" s="1"/>
  <c r="G66" i="34" s="1"/>
  <c r="H3" i="34" s="1"/>
  <c r="H66" i="34" s="1"/>
  <c r="I3" i="34" s="1"/>
  <c r="I66" i="34" s="1"/>
  <c r="J3" i="34" s="1"/>
  <c r="J66" i="34" s="1"/>
  <c r="K3" i="34" s="1"/>
  <c r="K66" i="34" s="1"/>
  <c r="L3" i="34" s="1"/>
  <c r="L66" i="34" s="1"/>
  <c r="M3" i="34" s="1"/>
  <c r="M66" i="34" s="1"/>
  <c r="N3" i="34" s="1"/>
  <c r="N66" i="34" s="1"/>
  <c r="O3" i="34" s="1"/>
  <c r="O66" i="34" s="1"/>
  <c r="P3" i="34" s="1"/>
  <c r="P66" i="34" s="1"/>
  <c r="Q3" i="34" s="1"/>
  <c r="Q66" i="34" s="1"/>
  <c r="R3" i="34" s="1"/>
  <c r="R66" i="34" s="1"/>
  <c r="S3" i="34" s="1"/>
  <c r="S66" i="34" s="1"/>
  <c r="T3" i="34" s="1"/>
  <c r="T66" i="34" s="1"/>
  <c r="U3" i="34" s="1"/>
  <c r="U66" i="34" s="1"/>
  <c r="V3" i="34" s="1"/>
  <c r="V66" i="34" s="1"/>
  <c r="W3" i="34" s="1"/>
  <c r="W66" i="34" s="1"/>
  <c r="X3" i="34" s="1"/>
  <c r="X66" i="34" s="1"/>
  <c r="Y3" i="34" s="1"/>
  <c r="Y66" i="34" s="1"/>
  <c r="Z3" i="34" s="1"/>
  <c r="Z66" i="34" s="1"/>
  <c r="AA3" i="34" s="1"/>
  <c r="AA66" i="34" s="1"/>
  <c r="AB3" i="34" s="1"/>
  <c r="AB66" i="34" s="1"/>
  <c r="AC3" i="34" s="1"/>
  <c r="AC66" i="34" s="1"/>
  <c r="AD3" i="34" s="1"/>
  <c r="AD66" i="34" s="1"/>
  <c r="AE3" i="34" s="1"/>
  <c r="AE66" i="34" s="1"/>
  <c r="AF3" i="34" s="1"/>
  <c r="AF66" i="34" s="1"/>
  <c r="AG3" i="34" s="1"/>
  <c r="AG66" i="34" s="1"/>
  <c r="AH3" i="34" s="1"/>
  <c r="AH66" i="34" s="1"/>
  <c r="AI3" i="34" s="1"/>
  <c r="AI66" i="34" s="1"/>
  <c r="AJ3" i="34" s="1"/>
  <c r="AJ66" i="34" s="1"/>
  <c r="F3" i="35" s="1"/>
  <c r="F56" i="35" s="1"/>
  <c r="G3" i="35" s="1"/>
  <c r="G56" i="35" s="1"/>
  <c r="H3" i="35" s="1"/>
  <c r="H56" i="35" s="1"/>
  <c r="I3" i="35" s="1"/>
  <c r="I56" i="35" s="1"/>
  <c r="J3" i="35" s="1"/>
  <c r="J56" i="35" s="1"/>
  <c r="K3" i="35" s="1"/>
  <c r="K56" i="35" s="1"/>
  <c r="L3" i="35" s="1"/>
  <c r="L56" i="35" s="1"/>
  <c r="M3" i="35" s="1"/>
  <c r="M56" i="35" s="1"/>
  <c r="N3" i="35" s="1"/>
  <c r="N56" i="35" s="1"/>
  <c r="O3" i="35" s="1"/>
  <c r="O56" i="35" s="1"/>
  <c r="P3" i="35" s="1"/>
  <c r="P56" i="35" s="1"/>
  <c r="Q3" i="35" s="1"/>
  <c r="Q56" i="35" s="1"/>
  <c r="R3" i="35" s="1"/>
  <c r="R56" i="35" s="1"/>
  <c r="S3" i="35" s="1"/>
  <c r="S56" i="35" s="1"/>
  <c r="T3" i="35" s="1"/>
  <c r="T56" i="35" s="1"/>
  <c r="U3" i="35" s="1"/>
  <c r="U56" i="35" s="1"/>
  <c r="V3" i="35" s="1"/>
  <c r="V56" i="35" s="1"/>
  <c r="W3" i="35" s="1"/>
  <c r="W56" i="35" s="1"/>
  <c r="X3" i="35" s="1"/>
  <c r="X56" i="35" s="1"/>
  <c r="Y3" i="35" s="1"/>
  <c r="Y56" i="35" s="1"/>
  <c r="Z3" i="35" s="1"/>
  <c r="Z56" i="35" s="1"/>
  <c r="AA3" i="35" s="1"/>
  <c r="AA56" i="35" s="1"/>
  <c r="AB3" i="35" s="1"/>
  <c r="AB56" i="35" s="1"/>
  <c r="AC3" i="35" s="1"/>
  <c r="AC56" i="35" s="1"/>
  <c r="AD3" i="35" s="1"/>
  <c r="AD56" i="35" s="1"/>
  <c r="AE3" i="35" s="1"/>
  <c r="AE56" i="35" s="1"/>
  <c r="AF3" i="35" s="1"/>
  <c r="AF56" i="35" s="1"/>
  <c r="AG3" i="35" s="1"/>
  <c r="AG56" i="35" s="1"/>
  <c r="AH3" i="35" s="1"/>
  <c r="AH56" i="35" s="1"/>
  <c r="AI3" i="35" s="1"/>
  <c r="AI56" i="35" s="1"/>
  <c r="AJ3" i="35" s="1"/>
  <c r="AJ56" i="35" s="1"/>
  <c r="F3" i="36" s="1"/>
  <c r="F42" i="36" s="1"/>
  <c r="G3" i="36" s="1"/>
  <c r="G42" i="36" s="1"/>
  <c r="H3" i="36" s="1"/>
  <c r="H42" i="36" s="1"/>
  <c r="I3" i="36" s="1"/>
  <c r="I42" i="36" s="1"/>
  <c r="J3" i="36" s="1"/>
  <c r="J42" i="36" s="1"/>
  <c r="K3" i="36" s="1"/>
  <c r="K42" i="36" s="1"/>
  <c r="L3" i="36" s="1"/>
  <c r="L42" i="36" s="1"/>
  <c r="M3" i="36" s="1"/>
  <c r="M42" i="36" s="1"/>
  <c r="N3" i="36" s="1"/>
  <c r="N42" i="36" s="1"/>
  <c r="O3" i="36" s="1"/>
  <c r="O42" i="36" s="1"/>
  <c r="P3" i="36" s="1"/>
  <c r="P42" i="36" s="1"/>
  <c r="Q3" i="36" s="1"/>
  <c r="Q42" i="36" s="1"/>
  <c r="R3" i="36" s="1"/>
  <c r="R42" i="36" s="1"/>
  <c r="S3" i="36" s="1"/>
  <c r="S42" i="36" s="1"/>
  <c r="T3" i="36" s="1"/>
  <c r="T42" i="36" s="1"/>
  <c r="U3" i="36" s="1"/>
  <c r="U42" i="36" s="1"/>
  <c r="V3" i="36" s="1"/>
  <c r="V42" i="36" s="1"/>
  <c r="W3" i="36" s="1"/>
  <c r="W42" i="36" s="1"/>
  <c r="X3" i="36" s="1"/>
  <c r="X42" i="36" s="1"/>
  <c r="Y3" i="36" s="1"/>
  <c r="Y42" i="36" s="1"/>
  <c r="Z3" i="36" s="1"/>
  <c r="Z42" i="36" s="1"/>
  <c r="AA3" i="36" s="1"/>
  <c r="AA42" i="36" s="1"/>
  <c r="AB3" i="36" s="1"/>
  <c r="AB42" i="36" s="1"/>
  <c r="AC3" i="36" s="1"/>
  <c r="AC42" i="36" s="1"/>
  <c r="AD3" i="36" s="1"/>
  <c r="AD42" i="36" s="1"/>
  <c r="AE3" i="36" s="1"/>
  <c r="AE42" i="36" s="1"/>
  <c r="AF3" i="36" s="1"/>
  <c r="AF42" i="36" s="1"/>
  <c r="AG3" i="36" s="1"/>
  <c r="AG42" i="36" s="1"/>
  <c r="AH3" i="36" s="1"/>
  <c r="AH42" i="36" s="1"/>
  <c r="AI3" i="36" s="1"/>
  <c r="AI42" i="36" s="1"/>
  <c r="F3" i="37" s="1"/>
  <c r="P64" i="25"/>
  <c r="AR73" i="57"/>
  <c r="AT93" i="56"/>
  <c r="AR73" i="58"/>
  <c r="AT79" i="57"/>
  <c r="H108" i="8"/>
  <c r="L108" i="8" s="1"/>
  <c r="L104" i="8"/>
  <c r="H103" i="8"/>
  <c r="L102" i="8"/>
  <c r="H105" i="8"/>
  <c r="L105" i="8" s="1"/>
  <c r="AP58" i="76" l="1"/>
  <c r="AP67" i="77"/>
  <c r="AP59" i="76"/>
  <c r="AP68" i="77"/>
  <c r="AP54" i="74"/>
  <c r="AP55" i="75"/>
  <c r="AP55" i="74"/>
  <c r="AP56" i="75"/>
  <c r="AP53" i="72"/>
  <c r="AP52" i="73"/>
  <c r="AP54" i="72"/>
  <c r="AP53" i="73"/>
  <c r="AP51" i="70"/>
  <c r="AP49" i="71"/>
  <c r="AP52" i="70"/>
  <c r="AP50" i="71"/>
  <c r="AP53" i="68"/>
  <c r="AP48" i="69"/>
  <c r="AP54" i="68"/>
  <c r="AP49" i="69"/>
  <c r="AP76" i="63"/>
  <c r="AP62" i="65"/>
  <c r="AP67" i="64"/>
  <c r="AP76" i="61"/>
  <c r="AP50" i="66"/>
  <c r="AP75" i="63"/>
  <c r="AP61" i="65"/>
  <c r="AP49" i="66"/>
  <c r="AP76" i="58"/>
  <c r="AP87" i="59" s="1"/>
  <c r="AP89" i="60" s="1"/>
  <c r="AP75" i="61"/>
  <c r="AP66" i="64"/>
  <c r="AP51" i="67"/>
  <c r="AP52" i="67"/>
  <c r="AP77" i="58"/>
  <c r="AP88" i="59" s="1"/>
  <c r="AP90" i="60" s="1"/>
  <c r="H107" i="8"/>
  <c r="L107" i="8" s="1"/>
  <c r="H106" i="8"/>
  <c r="L106" i="8" s="1"/>
  <c r="L103" i="8"/>
  <c r="AR84" i="59"/>
  <c r="AT73" i="58"/>
  <c r="AT73" i="57"/>
  <c r="AR67" i="58"/>
  <c r="F44" i="37"/>
  <c r="G3" i="37" s="1"/>
  <c r="G44" i="37" s="1"/>
  <c r="H3" i="37" s="1"/>
  <c r="H44" i="37" s="1"/>
  <c r="I3" i="37" s="1"/>
  <c r="I44" i="37" s="1"/>
  <c r="J3" i="37" s="1"/>
  <c r="J44" i="37" s="1"/>
  <c r="K3" i="37" s="1"/>
  <c r="K44" i="37" s="1"/>
  <c r="L3" i="37" s="1"/>
  <c r="L44" i="37" s="1"/>
  <c r="M3" i="37" s="1"/>
  <c r="M44" i="37" s="1"/>
  <c r="N3" i="37" s="1"/>
  <c r="N44" i="37" s="1"/>
  <c r="O3" i="37" s="1"/>
  <c r="O44" i="37" s="1"/>
  <c r="P3" i="37" s="1"/>
  <c r="P44" i="37" s="1"/>
  <c r="Q3" i="37" s="1"/>
  <c r="Q44" i="37" s="1"/>
  <c r="R3" i="37" s="1"/>
  <c r="R44" i="37" s="1"/>
  <c r="S3" i="37" s="1"/>
  <c r="S44" i="37" s="1"/>
  <c r="T3" i="37" s="1"/>
  <c r="T44" i="37" s="1"/>
  <c r="U3" i="37" s="1"/>
  <c r="U44" i="37" s="1"/>
  <c r="V3" i="37" s="1"/>
  <c r="V44" i="37" s="1"/>
  <c r="W3" i="37" s="1"/>
  <c r="W44" i="37" s="1"/>
  <c r="X3" i="37" s="1"/>
  <c r="X44" i="37" s="1"/>
  <c r="Y3" i="37" s="1"/>
  <c r="Y44" i="37" s="1"/>
  <c r="Z3" i="37" s="1"/>
  <c r="Z44" i="37" s="1"/>
  <c r="AA3" i="37" s="1"/>
  <c r="AA44" i="37" s="1"/>
  <c r="AB3" i="37" s="1"/>
  <c r="AB44" i="37" s="1"/>
  <c r="AC3" i="37" s="1"/>
  <c r="AC44" i="37" s="1"/>
  <c r="AD3" i="37" s="1"/>
  <c r="AD44" i="37" s="1"/>
  <c r="AE3" i="37" s="1"/>
  <c r="AE44" i="37" s="1"/>
  <c r="AF3" i="37" s="1"/>
  <c r="AF44" i="37" s="1"/>
  <c r="AG3" i="37" s="1"/>
  <c r="AG44" i="37" s="1"/>
  <c r="AH3" i="37" s="1"/>
  <c r="AH44" i="37" s="1"/>
  <c r="AI3" i="37" s="1"/>
  <c r="AI44" i="37" s="1"/>
  <c r="AJ3" i="37" s="1"/>
  <c r="AJ44" i="37" s="1"/>
  <c r="F3" i="38" s="1"/>
  <c r="AL42" i="37"/>
  <c r="D40" i="62"/>
  <c r="AL39" i="62" s="1"/>
  <c r="D39" i="62"/>
  <c r="AP59" i="62" s="1"/>
  <c r="AP61" i="62" s="1"/>
  <c r="AP64" i="62" s="1"/>
  <c r="AP67" i="62" s="1"/>
  <c r="AL36" i="38" l="1"/>
  <c r="F40" i="38"/>
  <c r="G3" i="38" s="1"/>
  <c r="G40" i="38" s="1"/>
  <c r="H3" i="38" s="1"/>
  <c r="H40" i="38" s="1"/>
  <c r="I3" i="38" s="1"/>
  <c r="I40" i="38" s="1"/>
  <c r="J3" i="38" s="1"/>
  <c r="J40" i="38" s="1"/>
  <c r="K3" i="38" s="1"/>
  <c r="K40" i="38" s="1"/>
  <c r="L3" i="38" s="1"/>
  <c r="L40" i="38" s="1"/>
  <c r="M3" i="38" s="1"/>
  <c r="M40" i="38" s="1"/>
  <c r="N3" i="38" s="1"/>
  <c r="N40" i="38" s="1"/>
  <c r="O3" i="38" s="1"/>
  <c r="O40" i="38" s="1"/>
  <c r="P3" i="38" s="1"/>
  <c r="P40" i="38" s="1"/>
  <c r="Q3" i="38" s="1"/>
  <c r="Q40" i="38" s="1"/>
  <c r="R3" i="38" s="1"/>
  <c r="R40" i="38" s="1"/>
  <c r="S3" i="38" s="1"/>
  <c r="S40" i="38" s="1"/>
  <c r="T3" i="38" s="1"/>
  <c r="T40" i="38" s="1"/>
  <c r="U3" i="38" s="1"/>
  <c r="U40" i="38" s="1"/>
  <c r="V3" i="38" s="1"/>
  <c r="V40" i="38" s="1"/>
  <c r="W3" i="38" s="1"/>
  <c r="W40" i="38" s="1"/>
  <c r="X3" i="38" s="1"/>
  <c r="X40" i="38" s="1"/>
  <c r="Y3" i="38" s="1"/>
  <c r="Y40" i="38" s="1"/>
  <c r="Z3" i="38" s="1"/>
  <c r="Z40" i="38" s="1"/>
  <c r="AA3" i="38" s="1"/>
  <c r="AA40" i="38" s="1"/>
  <c r="AB3" i="38" s="1"/>
  <c r="AB40" i="38" s="1"/>
  <c r="AC3" i="38" s="1"/>
  <c r="AC40" i="38" s="1"/>
  <c r="AD3" i="38" s="1"/>
  <c r="AD40" i="38" s="1"/>
  <c r="AE3" i="38" s="1"/>
  <c r="AE40" i="38" s="1"/>
  <c r="AF3" i="38" s="1"/>
  <c r="AF40" i="38" s="1"/>
  <c r="AG3" i="38" s="1"/>
  <c r="AG40" i="38" s="1"/>
  <c r="AH3" i="38" s="1"/>
  <c r="AH40" i="38" s="1"/>
  <c r="AI3" i="38" s="1"/>
  <c r="AI40" i="38" s="1"/>
  <c r="F3" i="39" s="1"/>
  <c r="AT84" i="59"/>
  <c r="AR86" i="60"/>
  <c r="AT86" i="60" s="1"/>
  <c r="AT67" i="58"/>
  <c r="AR78" i="59"/>
  <c r="AP68" i="62"/>
  <c r="AP69" i="62"/>
  <c r="AP62" i="62"/>
  <c r="F38" i="39" l="1"/>
  <c r="G3" i="39" s="1"/>
  <c r="G38" i="39" s="1"/>
  <c r="H3" i="39" s="1"/>
  <c r="H38" i="39" s="1"/>
  <c r="I3" i="39" s="1"/>
  <c r="I38" i="39" s="1"/>
  <c r="J3" i="39" s="1"/>
  <c r="J38" i="39" s="1"/>
  <c r="K3" i="39" s="1"/>
  <c r="K38" i="39" s="1"/>
  <c r="L3" i="39" s="1"/>
  <c r="L38" i="39" s="1"/>
  <c r="M3" i="39" s="1"/>
  <c r="M38" i="39" s="1"/>
  <c r="N3" i="39" s="1"/>
  <c r="N38" i="39" s="1"/>
  <c r="O3" i="39" s="1"/>
  <c r="O38" i="39" s="1"/>
  <c r="P3" i="39" s="1"/>
  <c r="P38" i="39" s="1"/>
  <c r="Q3" i="39" s="1"/>
  <c r="Q38" i="39" s="1"/>
  <c r="R3" i="39" s="1"/>
  <c r="R38" i="39" s="1"/>
  <c r="S3" i="39" s="1"/>
  <c r="S38" i="39" s="1"/>
  <c r="T3" i="39" s="1"/>
  <c r="T38" i="39" s="1"/>
  <c r="U3" i="39" s="1"/>
  <c r="U38" i="39" s="1"/>
  <c r="V3" i="39" s="1"/>
  <c r="V38" i="39" s="1"/>
  <c r="W3" i="39" s="1"/>
  <c r="W38" i="39" s="1"/>
  <c r="X3" i="39" s="1"/>
  <c r="X38" i="39" s="1"/>
  <c r="Y3" i="39" s="1"/>
  <c r="Y38" i="39" s="1"/>
  <c r="Z3" i="39" s="1"/>
  <c r="Z38" i="39" s="1"/>
  <c r="AA3" i="39" s="1"/>
  <c r="AA38" i="39" s="1"/>
  <c r="AB3" i="39" s="1"/>
  <c r="AB38" i="39" s="1"/>
  <c r="AC3" i="39" s="1"/>
  <c r="AC38" i="39" s="1"/>
  <c r="AD3" i="39" s="1"/>
  <c r="AD38" i="39" s="1"/>
  <c r="AE3" i="39" s="1"/>
  <c r="AE38" i="39" s="1"/>
  <c r="AF3" i="39" s="1"/>
  <c r="AF38" i="39" s="1"/>
  <c r="AG3" i="39" s="1"/>
  <c r="AG38" i="39" s="1"/>
  <c r="AH3" i="39" s="1"/>
  <c r="AH38" i="39" s="1"/>
  <c r="AI3" i="39" s="1"/>
  <c r="AI38" i="39" s="1"/>
  <c r="AJ3" i="39" s="1"/>
  <c r="AJ38" i="39" s="1"/>
  <c r="F3" i="40" s="1"/>
  <c r="F40" i="40" s="1"/>
  <c r="G3" i="40" s="1"/>
  <c r="G40" i="40" s="1"/>
  <c r="H3" i="40" s="1"/>
  <c r="H40" i="40" s="1"/>
  <c r="I3" i="40" s="1"/>
  <c r="I40" i="40" s="1"/>
  <c r="J3" i="40" s="1"/>
  <c r="J40" i="40" s="1"/>
  <c r="K3" i="40" s="1"/>
  <c r="K40" i="40" s="1"/>
  <c r="L3" i="40" s="1"/>
  <c r="L40" i="40" s="1"/>
  <c r="M3" i="40" s="1"/>
  <c r="M40" i="40" s="1"/>
  <c r="N3" i="40" s="1"/>
  <c r="N40" i="40" s="1"/>
  <c r="O3" i="40" s="1"/>
  <c r="O40" i="40" s="1"/>
  <c r="P3" i="40" s="1"/>
  <c r="P40" i="40" s="1"/>
  <c r="Q3" i="40" s="1"/>
  <c r="Q40" i="40" s="1"/>
  <c r="R3" i="40" s="1"/>
  <c r="R40" i="40" s="1"/>
  <c r="S3" i="40" s="1"/>
  <c r="S40" i="40" s="1"/>
  <c r="T3" i="40" s="1"/>
  <c r="T40" i="40" s="1"/>
  <c r="U3" i="40" s="1"/>
  <c r="U40" i="40" s="1"/>
  <c r="V3" i="40" s="1"/>
  <c r="V40" i="40" s="1"/>
  <c r="W3" i="40" s="1"/>
  <c r="W40" i="40" s="1"/>
  <c r="X3" i="40" s="1"/>
  <c r="X40" i="40" s="1"/>
  <c r="Y3" i="40" s="1"/>
  <c r="Y40" i="40" s="1"/>
  <c r="Z3" i="40" s="1"/>
  <c r="Z40" i="40" s="1"/>
  <c r="AA3" i="40" s="1"/>
  <c r="AA40" i="40" s="1"/>
  <c r="AB3" i="40" s="1"/>
  <c r="AB40" i="40" s="1"/>
  <c r="AC3" i="40" s="1"/>
  <c r="AC40" i="40" s="1"/>
  <c r="AD3" i="40" s="1"/>
  <c r="AD40" i="40" s="1"/>
  <c r="AE3" i="40" s="1"/>
  <c r="AE40" i="40" s="1"/>
  <c r="AF3" i="40" s="1"/>
  <c r="AF40" i="40" s="1"/>
  <c r="AG3" i="40" s="1"/>
  <c r="AG40" i="40" s="1"/>
  <c r="AH3" i="40" s="1"/>
  <c r="AH40" i="40" s="1"/>
  <c r="AI3" i="40" s="1"/>
  <c r="AI40" i="40" s="1"/>
  <c r="AJ3" i="40" s="1"/>
  <c r="AJ40" i="40" s="1"/>
  <c r="F3" i="41" s="1"/>
  <c r="F61" i="41" s="1"/>
  <c r="G3" i="41" s="1"/>
  <c r="G61" i="41" s="1"/>
  <c r="H3" i="41" s="1"/>
  <c r="H61" i="41" s="1"/>
  <c r="I3" i="41" s="1"/>
  <c r="I61" i="41" s="1"/>
  <c r="J3" i="41" s="1"/>
  <c r="J61" i="41" s="1"/>
  <c r="K3" i="41" s="1"/>
  <c r="K61" i="41" s="1"/>
  <c r="L3" i="41" s="1"/>
  <c r="L61" i="41" s="1"/>
  <c r="M3" i="41" s="1"/>
  <c r="M61" i="41" s="1"/>
  <c r="N3" i="41" s="1"/>
  <c r="N61" i="41" s="1"/>
  <c r="O3" i="41" s="1"/>
  <c r="O61" i="41" s="1"/>
  <c r="P3" i="41" s="1"/>
  <c r="P61" i="41" s="1"/>
  <c r="Q3" i="41" s="1"/>
  <c r="Q61" i="41" s="1"/>
  <c r="R3" i="41" s="1"/>
  <c r="R61" i="41" s="1"/>
  <c r="S3" i="41" s="1"/>
  <c r="S61" i="41" s="1"/>
  <c r="T3" i="41" s="1"/>
  <c r="T61" i="41" s="1"/>
  <c r="U3" i="41" s="1"/>
  <c r="U61" i="41" s="1"/>
  <c r="V3" i="41" s="1"/>
  <c r="V61" i="41" s="1"/>
  <c r="W3" i="41" s="1"/>
  <c r="W61" i="41" s="1"/>
  <c r="X3" i="41" s="1"/>
  <c r="X61" i="41" s="1"/>
  <c r="Y3" i="41" s="1"/>
  <c r="Y61" i="41" s="1"/>
  <c r="Z3" i="41" s="1"/>
  <c r="Z61" i="41" s="1"/>
  <c r="AA3" i="41" s="1"/>
  <c r="AA61" i="41" s="1"/>
  <c r="AB3" i="41" s="1"/>
  <c r="AB61" i="41" s="1"/>
  <c r="AC3" i="41" s="1"/>
  <c r="AC61" i="41" s="1"/>
  <c r="AD3" i="41" s="1"/>
  <c r="AD61" i="41" s="1"/>
  <c r="AE3" i="41" s="1"/>
  <c r="AE61" i="41" s="1"/>
  <c r="AF3" i="41" s="1"/>
  <c r="AF61" i="41" s="1"/>
  <c r="AG3" i="41" s="1"/>
  <c r="AG61" i="41" s="1"/>
  <c r="F3" i="42" s="1"/>
  <c r="F87" i="42" s="1"/>
  <c r="G3" i="42" s="1"/>
  <c r="G87" i="42" s="1"/>
  <c r="H3" i="42" s="1"/>
  <c r="H87" i="42" s="1"/>
  <c r="I3" i="42" s="1"/>
  <c r="I87" i="42" s="1"/>
  <c r="J3" i="42" s="1"/>
  <c r="J87" i="42" s="1"/>
  <c r="K3" i="42" s="1"/>
  <c r="K87" i="42" s="1"/>
  <c r="L3" i="42" s="1"/>
  <c r="L87" i="42" s="1"/>
  <c r="M3" i="42" s="1"/>
  <c r="M87" i="42" s="1"/>
  <c r="N3" i="42" s="1"/>
  <c r="N87" i="42" s="1"/>
  <c r="O3" i="42" s="1"/>
  <c r="O87" i="42" s="1"/>
  <c r="P3" i="42" s="1"/>
  <c r="P87" i="42" s="1"/>
  <c r="Q3" i="42" s="1"/>
  <c r="Q87" i="42" s="1"/>
  <c r="R3" i="42" s="1"/>
  <c r="R87" i="42" s="1"/>
  <c r="S3" i="42" s="1"/>
  <c r="S87" i="42" s="1"/>
  <c r="T3" i="42" s="1"/>
  <c r="T87" i="42" s="1"/>
  <c r="U3" i="42" s="1"/>
  <c r="U87" i="42" s="1"/>
  <c r="V3" i="42" s="1"/>
  <c r="V87" i="42" s="1"/>
  <c r="W3" i="42" s="1"/>
  <c r="W87" i="42" s="1"/>
  <c r="X3" i="42" s="1"/>
  <c r="X87" i="42" s="1"/>
  <c r="Y3" i="42" s="1"/>
  <c r="Y87" i="42" s="1"/>
  <c r="Z3" i="42" s="1"/>
  <c r="Z87" i="42" s="1"/>
  <c r="AA3" i="42" s="1"/>
  <c r="AA87" i="42" s="1"/>
  <c r="AB3" i="42" s="1"/>
  <c r="AB87" i="42" s="1"/>
  <c r="AC3" i="42" s="1"/>
  <c r="AC87" i="42" s="1"/>
  <c r="AD3" i="42" s="1"/>
  <c r="AD87" i="42" s="1"/>
  <c r="AE3" i="42" s="1"/>
  <c r="AE87" i="42" s="1"/>
  <c r="AF3" i="42" s="1"/>
  <c r="AF87" i="42" s="1"/>
  <c r="AG3" i="42" s="1"/>
  <c r="AG87" i="42" s="1"/>
  <c r="AH3" i="42" s="1"/>
  <c r="AH87" i="42" s="1"/>
  <c r="AI3" i="42" s="1"/>
  <c r="AI87" i="42" s="1"/>
  <c r="AJ3" i="42" s="1"/>
  <c r="AJ87" i="42" s="1"/>
  <c r="F3" i="43" s="1"/>
  <c r="F72" i="43" s="1"/>
  <c r="G3" i="43" s="1"/>
  <c r="G72" i="43" s="1"/>
  <c r="H3" i="43" s="1"/>
  <c r="H72" i="43" s="1"/>
  <c r="I3" i="43" s="1"/>
  <c r="I72" i="43" s="1"/>
  <c r="J3" i="43" s="1"/>
  <c r="J72" i="43" s="1"/>
  <c r="K3" i="43" s="1"/>
  <c r="K72" i="43" s="1"/>
  <c r="L3" i="43" s="1"/>
  <c r="L72" i="43" s="1"/>
  <c r="M3" i="43" s="1"/>
  <c r="M72" i="43" s="1"/>
  <c r="N3" i="43" s="1"/>
  <c r="N72" i="43" s="1"/>
  <c r="O3" i="43" s="1"/>
  <c r="O72" i="43" s="1"/>
  <c r="P3" i="43" s="1"/>
  <c r="P72" i="43" s="1"/>
  <c r="Q3" i="43" s="1"/>
  <c r="Q72" i="43" s="1"/>
  <c r="R3" i="43" s="1"/>
  <c r="R72" i="43" s="1"/>
  <c r="S3" i="43" s="1"/>
  <c r="S72" i="43" s="1"/>
  <c r="T3" i="43" s="1"/>
  <c r="T72" i="43" s="1"/>
  <c r="U3" i="43" s="1"/>
  <c r="U72" i="43" s="1"/>
  <c r="V3" i="43" s="1"/>
  <c r="V72" i="43" s="1"/>
  <c r="W3" i="43" s="1"/>
  <c r="W72" i="43" s="1"/>
  <c r="X3" i="43" s="1"/>
  <c r="X72" i="43" s="1"/>
  <c r="Y3" i="43" s="1"/>
  <c r="Y72" i="43" s="1"/>
  <c r="Z3" i="43" s="1"/>
  <c r="Z72" i="43" s="1"/>
  <c r="AA3" i="43" s="1"/>
  <c r="AA72" i="43" s="1"/>
  <c r="AB3" i="43" s="1"/>
  <c r="AB72" i="43" s="1"/>
  <c r="AC3" i="43" s="1"/>
  <c r="AC72" i="43" s="1"/>
  <c r="AD3" i="43" s="1"/>
  <c r="AD72" i="43" s="1"/>
  <c r="AE3" i="43" s="1"/>
  <c r="AE72" i="43" s="1"/>
  <c r="AF3" i="43" s="1"/>
  <c r="AF72" i="43" s="1"/>
  <c r="AG3" i="43" s="1"/>
  <c r="AG72" i="43" s="1"/>
  <c r="AH3" i="43" s="1"/>
  <c r="AH72" i="43" s="1"/>
  <c r="AI3" i="43" s="1"/>
  <c r="AI72" i="43" s="1"/>
  <c r="AL31" i="39"/>
  <c r="AT78" i="59"/>
  <c r="AR80" i="60"/>
  <c r="AT80" i="60" s="1"/>
  <c r="AQ72" i="57"/>
  <c r="AP72" i="57"/>
  <c r="AQ79" i="60"/>
  <c r="AQ65" i="61"/>
  <c r="AQ66" i="58"/>
  <c r="AP66" i="58"/>
  <c r="AP64" i="58" s="1"/>
  <c r="AQ77" i="59"/>
  <c r="AP77" i="59"/>
  <c r="AP107" i="53"/>
  <c r="AQ107" i="53"/>
  <c r="AQ65" i="63"/>
  <c r="AQ58" i="62"/>
  <c r="AP56" i="64"/>
  <c r="AP65" i="63"/>
  <c r="AP58" i="62"/>
  <c r="AQ56" i="64"/>
  <c r="F3" i="44" l="1"/>
  <c r="F75" i="44" s="1"/>
  <c r="G3" i="44" s="1"/>
  <c r="G75" i="44" s="1"/>
  <c r="H3" i="44" s="1"/>
  <c r="H75" i="44" s="1"/>
  <c r="I3" i="44" s="1"/>
  <c r="I75" i="44" s="1"/>
  <c r="J3" i="44" s="1"/>
  <c r="J75" i="44" s="1"/>
  <c r="K3" i="44" s="1"/>
  <c r="K75" i="44" s="1"/>
  <c r="L3" i="44" s="1"/>
  <c r="L75" i="44" s="1"/>
  <c r="M3" i="44" s="1"/>
  <c r="M75" i="44" s="1"/>
  <c r="N3" i="44" s="1"/>
  <c r="N75" i="44" s="1"/>
  <c r="O3" i="44" s="1"/>
  <c r="O75" i="44" s="1"/>
  <c r="P3" i="44" s="1"/>
  <c r="P75" i="44" s="1"/>
  <c r="Q3" i="44" s="1"/>
  <c r="Q75" i="44" s="1"/>
  <c r="R3" i="44" s="1"/>
  <c r="R75" i="44" s="1"/>
  <c r="S3" i="44" s="1"/>
  <c r="S75" i="44" s="1"/>
  <c r="T3" i="44" s="1"/>
  <c r="T75" i="44" s="1"/>
  <c r="U3" i="44" s="1"/>
  <c r="U75" i="44" s="1"/>
  <c r="V3" i="44" s="1"/>
  <c r="V75" i="44" s="1"/>
  <c r="W3" i="44" s="1"/>
  <c r="W75" i="44" s="1"/>
  <c r="X3" i="44" s="1"/>
  <c r="X75" i="44" s="1"/>
  <c r="Y3" i="44" s="1"/>
  <c r="Y75" i="44" s="1"/>
  <c r="Z3" i="44" s="1"/>
  <c r="Z75" i="44" s="1"/>
  <c r="AA3" i="44" s="1"/>
  <c r="AA75" i="44" s="1"/>
  <c r="AB3" i="44" s="1"/>
  <c r="AB75" i="44" s="1"/>
  <c r="AC3" i="44" s="1"/>
  <c r="AC75" i="44" s="1"/>
  <c r="AD3" i="44" s="1"/>
  <c r="AD75" i="44" s="1"/>
  <c r="AE3" i="44" s="1"/>
  <c r="AE75" i="44" s="1"/>
  <c r="AF3" i="44" s="1"/>
  <c r="AF75" i="44" s="1"/>
  <c r="AG3" i="44" s="1"/>
  <c r="AG75" i="44" s="1"/>
  <c r="AH3" i="44" s="1"/>
  <c r="AH75" i="44" s="1"/>
  <c r="AI3" i="44" s="1"/>
  <c r="AI75" i="44" s="1"/>
  <c r="AJ3" i="44" s="1"/>
  <c r="AJ75" i="44" s="1"/>
  <c r="AJ3" i="43"/>
  <c r="AJ72" i="43" s="1"/>
  <c r="AQ58" i="64"/>
  <c r="AQ59" i="64" s="1"/>
  <c r="AQ61" i="64"/>
  <c r="AQ63" i="62"/>
  <c r="AQ60" i="62"/>
  <c r="AQ61" i="62" s="1"/>
  <c r="AP92" i="56"/>
  <c r="AQ92" i="56"/>
  <c r="AQ109" i="53"/>
  <c r="AQ112" i="53"/>
  <c r="AQ64" i="58"/>
  <c r="AQ71" i="58"/>
  <c r="AQ68" i="58"/>
  <c r="AQ69" i="58" s="1"/>
  <c r="AQ70" i="63"/>
  <c r="AQ67" i="63"/>
  <c r="AQ68" i="63" s="1"/>
  <c r="AQ82" i="59"/>
  <c r="AQ79" i="59"/>
  <c r="AQ74" i="57"/>
  <c r="AQ75" i="57" s="1"/>
  <c r="AQ77" i="57"/>
  <c r="AL75" i="44" l="1"/>
  <c r="F3" i="45"/>
  <c r="F75" i="45" s="1"/>
  <c r="G3" i="45" s="1"/>
  <c r="G75" i="45" s="1"/>
  <c r="H3" i="45" s="1"/>
  <c r="H75" i="45" s="1"/>
  <c r="I3" i="45" s="1"/>
  <c r="I75" i="45" s="1"/>
  <c r="J3" i="45" s="1"/>
  <c r="J75" i="45" s="1"/>
  <c r="K3" i="45" s="1"/>
  <c r="K75" i="45" s="1"/>
  <c r="L3" i="45" s="1"/>
  <c r="L75" i="45" s="1"/>
  <c r="M3" i="45" s="1"/>
  <c r="M75" i="45" s="1"/>
  <c r="N3" i="45" s="1"/>
  <c r="N75" i="45" s="1"/>
  <c r="O3" i="45" s="1"/>
  <c r="O75" i="45" s="1"/>
  <c r="P3" i="45" s="1"/>
  <c r="P75" i="45" s="1"/>
  <c r="Q3" i="45" s="1"/>
  <c r="Q75" i="45" s="1"/>
  <c r="R3" i="45" s="1"/>
  <c r="R75" i="45" s="1"/>
  <c r="S3" i="45" s="1"/>
  <c r="S75" i="45" s="1"/>
  <c r="T3" i="45" s="1"/>
  <c r="T75" i="45" s="1"/>
  <c r="U3" i="45" s="1"/>
  <c r="U75" i="45" s="1"/>
  <c r="V3" i="45" s="1"/>
  <c r="V75" i="45" s="1"/>
  <c r="W3" i="45" s="1"/>
  <c r="W75" i="45" s="1"/>
  <c r="X3" i="45" s="1"/>
  <c r="X75" i="45" s="1"/>
  <c r="Y3" i="45" s="1"/>
  <c r="Y75" i="45" s="1"/>
  <c r="Z3" i="45" s="1"/>
  <c r="Z75" i="45" s="1"/>
  <c r="AA3" i="45" s="1"/>
  <c r="AA75" i="45" s="1"/>
  <c r="AB3" i="45" s="1"/>
  <c r="AB75" i="45" s="1"/>
  <c r="AC3" i="45" s="1"/>
  <c r="AC75" i="45" s="1"/>
  <c r="AD3" i="45" s="1"/>
  <c r="AD75" i="45" s="1"/>
  <c r="AE3" i="45" s="1"/>
  <c r="AE75" i="45" s="1"/>
  <c r="AF3" i="45" s="1"/>
  <c r="AF75" i="45" s="1"/>
  <c r="AG3" i="45" s="1"/>
  <c r="AG75" i="45" s="1"/>
  <c r="AH3" i="45" s="1"/>
  <c r="AH75" i="45" s="1"/>
  <c r="AI3" i="45" s="1"/>
  <c r="AI75" i="45" s="1"/>
  <c r="F3" i="46" s="1"/>
  <c r="F73" i="46" s="1"/>
  <c r="G3" i="46" s="1"/>
  <c r="G73" i="46" s="1"/>
  <c r="H3" i="46" s="1"/>
  <c r="H73" i="46" s="1"/>
  <c r="I3" i="46" s="1"/>
  <c r="I73" i="46" s="1"/>
  <c r="J3" i="46" s="1"/>
  <c r="J73" i="46" s="1"/>
  <c r="K3" i="46" s="1"/>
  <c r="K73" i="46" s="1"/>
  <c r="L3" i="46" s="1"/>
  <c r="L73" i="46" s="1"/>
  <c r="M3" i="46" s="1"/>
  <c r="M73" i="46" s="1"/>
  <c r="N3" i="46" s="1"/>
  <c r="N73" i="46" s="1"/>
  <c r="O3" i="46" s="1"/>
  <c r="O73" i="46" s="1"/>
  <c r="P3" i="46" s="1"/>
  <c r="P73" i="46" s="1"/>
  <c r="Q3" i="46" s="1"/>
  <c r="Q73" i="46" s="1"/>
  <c r="R3" i="46" s="1"/>
  <c r="R73" i="46" s="1"/>
  <c r="S3" i="46" s="1"/>
  <c r="S73" i="46" s="1"/>
  <c r="T3" i="46" s="1"/>
  <c r="T73" i="46" s="1"/>
  <c r="U3" i="46" s="1"/>
  <c r="U73" i="46" s="1"/>
  <c r="V3" i="46" s="1"/>
  <c r="V73" i="46" s="1"/>
  <c r="W3" i="46" s="1"/>
  <c r="W73" i="46" s="1"/>
  <c r="X3" i="46" s="1"/>
  <c r="X73" i="46" s="1"/>
  <c r="Y3" i="46" s="1"/>
  <c r="Y73" i="46" s="1"/>
  <c r="Z3" i="46" s="1"/>
  <c r="Z73" i="46" s="1"/>
  <c r="AA3" i="46" s="1"/>
  <c r="AA73" i="46" s="1"/>
  <c r="AB3" i="46" s="1"/>
  <c r="AB73" i="46" s="1"/>
  <c r="AC3" i="46" s="1"/>
  <c r="AC73" i="46" s="1"/>
  <c r="AD3" i="46" s="1"/>
  <c r="AD73" i="46" s="1"/>
  <c r="AE3" i="46" s="1"/>
  <c r="AE73" i="46" s="1"/>
  <c r="AF3" i="46" s="1"/>
  <c r="AF73" i="46" s="1"/>
  <c r="AG3" i="46" s="1"/>
  <c r="AG73" i="46" s="1"/>
  <c r="AH3" i="46" s="1"/>
  <c r="AH73" i="46" s="1"/>
  <c r="AI3" i="46" s="1"/>
  <c r="AI73" i="46" s="1"/>
  <c r="AJ3" i="46" s="1"/>
  <c r="AJ73" i="46" s="1"/>
  <c r="F3" i="47" s="1"/>
  <c r="F82" i="47" s="1"/>
  <c r="G3" i="47" s="1"/>
  <c r="G82" i="47" s="1"/>
  <c r="H3" i="47" s="1"/>
  <c r="H82" i="47" s="1"/>
  <c r="I3" i="47" s="1"/>
  <c r="I82" i="47" s="1"/>
  <c r="J3" i="47" s="1"/>
  <c r="J82" i="47" s="1"/>
  <c r="K3" i="47" s="1"/>
  <c r="K82" i="47" s="1"/>
  <c r="L3" i="47" s="1"/>
  <c r="L82" i="47" s="1"/>
  <c r="M3" i="47" s="1"/>
  <c r="M82" i="47" s="1"/>
  <c r="N3" i="47" s="1"/>
  <c r="N82" i="47" s="1"/>
  <c r="O3" i="47" s="1"/>
  <c r="O82" i="47" s="1"/>
  <c r="P3" i="47" s="1"/>
  <c r="P82" i="47" s="1"/>
  <c r="Q3" i="47" s="1"/>
  <c r="Q82" i="47" s="1"/>
  <c r="R3" i="47" s="1"/>
  <c r="R82" i="47" s="1"/>
  <c r="S3" i="47" s="1"/>
  <c r="S82" i="47" s="1"/>
  <c r="T3" i="47" s="1"/>
  <c r="T82" i="47" s="1"/>
  <c r="U3" i="47" s="1"/>
  <c r="U82" i="47" s="1"/>
  <c r="V3" i="47" s="1"/>
  <c r="V82" i="47" s="1"/>
  <c r="W3" i="47" s="1"/>
  <c r="W82" i="47" s="1"/>
  <c r="X3" i="47" s="1"/>
  <c r="X82" i="47" s="1"/>
  <c r="Y3" i="47" s="1"/>
  <c r="Y82" i="47" s="1"/>
  <c r="Z3" i="47" s="1"/>
  <c r="Z82" i="47" s="1"/>
  <c r="AA3" i="47" s="1"/>
  <c r="AA82" i="47" s="1"/>
  <c r="AB3" i="47" s="1"/>
  <c r="AB82" i="47" s="1"/>
  <c r="AC3" i="47" s="1"/>
  <c r="AC82" i="47" s="1"/>
  <c r="AD3" i="47" s="1"/>
  <c r="AD82" i="47" s="1"/>
  <c r="AE3" i="47" s="1"/>
  <c r="AE82" i="47" s="1"/>
  <c r="AF3" i="47" s="1"/>
  <c r="AF82" i="47" s="1"/>
  <c r="AG3" i="47" s="1"/>
  <c r="AG82" i="47" s="1"/>
  <c r="AH3" i="47" s="1"/>
  <c r="AH82" i="47" s="1"/>
  <c r="AI3" i="47" s="1"/>
  <c r="AI82" i="47" s="1"/>
  <c r="AJ3" i="47" s="1"/>
  <c r="AJ82" i="47" s="1"/>
  <c r="F3" i="48" s="1"/>
  <c r="F83" i="48" s="1"/>
  <c r="G3" i="48" s="1"/>
  <c r="G83" i="48" s="1"/>
  <c r="H3" i="48" s="1"/>
  <c r="H83" i="48" s="1"/>
  <c r="I3" i="48" s="1"/>
  <c r="I83" i="48" s="1"/>
  <c r="J3" i="48" s="1"/>
  <c r="J83" i="48" s="1"/>
  <c r="K3" i="48" s="1"/>
  <c r="K83" i="48" s="1"/>
  <c r="L3" i="48" s="1"/>
  <c r="L83" i="48" s="1"/>
  <c r="M3" i="48" s="1"/>
  <c r="M83" i="48" s="1"/>
  <c r="N3" i="48" s="1"/>
  <c r="N83" i="48" s="1"/>
  <c r="O3" i="48" s="1"/>
  <c r="O83" i="48" s="1"/>
  <c r="P3" i="48" s="1"/>
  <c r="P83" i="48" s="1"/>
  <c r="Q3" i="48" s="1"/>
  <c r="Q83" i="48" s="1"/>
  <c r="R3" i="48" s="1"/>
  <c r="R83" i="48" s="1"/>
  <c r="S3" i="48" s="1"/>
  <c r="S83" i="48" s="1"/>
  <c r="T3" i="48" s="1"/>
  <c r="T83" i="48" s="1"/>
  <c r="U3" i="48" s="1"/>
  <c r="U83" i="48" s="1"/>
  <c r="V3" i="48" s="1"/>
  <c r="V83" i="48" s="1"/>
  <c r="W3" i="48" s="1"/>
  <c r="W83" i="48" s="1"/>
  <c r="X3" i="48" s="1"/>
  <c r="X83" i="48" s="1"/>
  <c r="Y3" i="48" s="1"/>
  <c r="Y83" i="48" s="1"/>
  <c r="Z3" i="48" s="1"/>
  <c r="Z83" i="48" s="1"/>
  <c r="AA3" i="48" s="1"/>
  <c r="AA83" i="48" s="1"/>
  <c r="AB3" i="48" s="1"/>
  <c r="AB83" i="48" s="1"/>
  <c r="AC3" i="48" s="1"/>
  <c r="AC83" i="48" s="1"/>
  <c r="AD3" i="48" s="1"/>
  <c r="AD83" i="48" s="1"/>
  <c r="AE3" i="48" s="1"/>
  <c r="AE83" i="48" s="1"/>
  <c r="AF3" i="48" s="1"/>
  <c r="AF83" i="48" s="1"/>
  <c r="AG3" i="48" s="1"/>
  <c r="AG83" i="48" s="1"/>
  <c r="AH3" i="48" s="1"/>
  <c r="AH83" i="48" s="1"/>
  <c r="AI3" i="48" s="1"/>
  <c r="AI83" i="48" s="1"/>
  <c r="AQ69" i="63"/>
  <c r="AQ71" i="63"/>
  <c r="AQ74" i="63" s="1"/>
  <c r="AQ80" i="59"/>
  <c r="AQ62" i="62"/>
  <c r="AQ64" i="62"/>
  <c r="AQ67" i="62" s="1"/>
  <c r="AQ70" i="58"/>
  <c r="AQ72" i="58"/>
  <c r="AQ110" i="53"/>
  <c r="AQ76" i="57"/>
  <c r="AQ78" i="57"/>
  <c r="AQ97" i="56"/>
  <c r="AQ94" i="56"/>
  <c r="AQ95" i="56" s="1"/>
  <c r="AQ60" i="64"/>
  <c r="AQ62" i="64"/>
  <c r="AQ65" i="64" s="1"/>
  <c r="F3" i="50" l="1"/>
  <c r="F111" i="50" s="1"/>
  <c r="G3" i="50" s="1"/>
  <c r="G111" i="50" s="1"/>
  <c r="H3" i="50" s="1"/>
  <c r="H111" i="50" s="1"/>
  <c r="I3" i="50" s="1"/>
  <c r="I111" i="50" s="1"/>
  <c r="J3" i="50" s="1"/>
  <c r="J111" i="50" s="1"/>
  <c r="K3" i="50" s="1"/>
  <c r="K111" i="50" s="1"/>
  <c r="L3" i="50" s="1"/>
  <c r="L111" i="50" s="1"/>
  <c r="M3" i="50" s="1"/>
  <c r="M111" i="50" s="1"/>
  <c r="N3" i="50" s="1"/>
  <c r="N111" i="50" s="1"/>
  <c r="O3" i="50" s="1"/>
  <c r="O111" i="50" s="1"/>
  <c r="P3" i="50" s="1"/>
  <c r="P111" i="50" s="1"/>
  <c r="Q3" i="50" s="1"/>
  <c r="Q111" i="50" s="1"/>
  <c r="R3" i="50" s="1"/>
  <c r="R111" i="50" s="1"/>
  <c r="S3" i="50" s="1"/>
  <c r="S111" i="50" s="1"/>
  <c r="T3" i="50" s="1"/>
  <c r="T111" i="50" s="1"/>
  <c r="U3" i="50" s="1"/>
  <c r="U111" i="50" s="1"/>
  <c r="V3" i="50" s="1"/>
  <c r="V111" i="50" s="1"/>
  <c r="W3" i="50" s="1"/>
  <c r="W111" i="50" s="1"/>
  <c r="X3" i="50" s="1"/>
  <c r="X111" i="50" s="1"/>
  <c r="Y3" i="50" s="1"/>
  <c r="Y111" i="50" s="1"/>
  <c r="Z3" i="50" s="1"/>
  <c r="Z111" i="50" s="1"/>
  <c r="AA3" i="50" s="1"/>
  <c r="AA111" i="50" s="1"/>
  <c r="AB3" i="50" s="1"/>
  <c r="AB111" i="50" s="1"/>
  <c r="AC3" i="50" s="1"/>
  <c r="AC111" i="50" s="1"/>
  <c r="AD3" i="50" s="1"/>
  <c r="AD111" i="50" s="1"/>
  <c r="AE3" i="50" s="1"/>
  <c r="AE111" i="50" s="1"/>
  <c r="AF3" i="50" s="1"/>
  <c r="AF111" i="50" s="1"/>
  <c r="AG3" i="50" s="1"/>
  <c r="AG111" i="50" s="1"/>
  <c r="AH3" i="50" s="1"/>
  <c r="AH111" i="50" s="1"/>
  <c r="AI3" i="50" s="1"/>
  <c r="AI111" i="50" s="1"/>
  <c r="AJ3" i="50" s="1"/>
  <c r="AJ111" i="50" s="1"/>
  <c r="F3" i="51" s="1"/>
  <c r="F114" i="51" s="1"/>
  <c r="G3" i="51" s="1"/>
  <c r="G114" i="51" s="1"/>
  <c r="H3" i="51" s="1"/>
  <c r="H114" i="51" s="1"/>
  <c r="I3" i="51" s="1"/>
  <c r="I114" i="51" s="1"/>
  <c r="J3" i="51" s="1"/>
  <c r="J114" i="51" s="1"/>
  <c r="K3" i="51" s="1"/>
  <c r="K114" i="51" s="1"/>
  <c r="L3" i="51" s="1"/>
  <c r="L114" i="51" s="1"/>
  <c r="M3" i="51" s="1"/>
  <c r="M114" i="51" s="1"/>
  <c r="N3" i="51" s="1"/>
  <c r="N114" i="51" s="1"/>
  <c r="O3" i="51" s="1"/>
  <c r="O114" i="51" s="1"/>
  <c r="P3" i="51" s="1"/>
  <c r="P114" i="51" s="1"/>
  <c r="Q3" i="51" s="1"/>
  <c r="Q114" i="51" s="1"/>
  <c r="R3" i="51" s="1"/>
  <c r="R114" i="51" s="1"/>
  <c r="S3" i="51" s="1"/>
  <c r="S114" i="51" s="1"/>
  <c r="T3" i="51" s="1"/>
  <c r="T114" i="51" s="1"/>
  <c r="U3" i="51" s="1"/>
  <c r="U114" i="51" s="1"/>
  <c r="V3" i="51" s="1"/>
  <c r="V114" i="51" s="1"/>
  <c r="W3" i="51" s="1"/>
  <c r="W114" i="51" s="1"/>
  <c r="X3" i="51" s="1"/>
  <c r="X114" i="51" s="1"/>
  <c r="Y3" i="51" s="1"/>
  <c r="Y114" i="51" s="1"/>
  <c r="Z3" i="51" s="1"/>
  <c r="Z114" i="51" s="1"/>
  <c r="AA3" i="51" s="1"/>
  <c r="AA114" i="51" s="1"/>
  <c r="AB3" i="51" s="1"/>
  <c r="AB114" i="51" s="1"/>
  <c r="AC3" i="51" s="1"/>
  <c r="AC114" i="51" s="1"/>
  <c r="AD3" i="51" s="1"/>
  <c r="AD114" i="51" s="1"/>
  <c r="AE3" i="51" s="1"/>
  <c r="AE114" i="51" s="1"/>
  <c r="AF3" i="51" s="1"/>
  <c r="AF114" i="51" s="1"/>
  <c r="AG3" i="51" s="1"/>
  <c r="AG114" i="51" s="1"/>
  <c r="AH3" i="51" s="1"/>
  <c r="AH114" i="51" s="1"/>
  <c r="AI3" i="51" s="1"/>
  <c r="AI114" i="51" s="1"/>
  <c r="AJ3" i="48"/>
  <c r="AN77" i="44"/>
  <c r="AN71" i="44"/>
  <c r="AN72" i="44" s="1"/>
  <c r="AN76" i="44"/>
  <c r="AN74" i="44"/>
  <c r="AQ111" i="53"/>
  <c r="AQ113" i="53"/>
  <c r="AQ81" i="59"/>
  <c r="AQ83" i="59"/>
  <c r="AQ96" i="56"/>
  <c r="AQ98" i="56"/>
  <c r="AQ81" i="57"/>
  <c r="AU78" i="57"/>
  <c r="AU72" i="58"/>
  <c r="AQ75" i="58"/>
  <c r="AN73" i="44" l="1"/>
  <c r="AN75" i="44"/>
  <c r="AN78" i="44" s="1"/>
  <c r="AM113" i="51"/>
  <c r="F3" i="52"/>
  <c r="F140" i="52" s="1"/>
  <c r="G3" i="52" s="1"/>
  <c r="G140" i="52" s="1"/>
  <c r="H3" i="52" s="1"/>
  <c r="H140" i="52" s="1"/>
  <c r="I3" i="52" s="1"/>
  <c r="I140" i="52" s="1"/>
  <c r="J3" i="52" s="1"/>
  <c r="J140" i="52" s="1"/>
  <c r="K3" i="52" s="1"/>
  <c r="K140" i="52" s="1"/>
  <c r="L3" i="52" s="1"/>
  <c r="L140" i="52" s="1"/>
  <c r="M3" i="52" s="1"/>
  <c r="M140" i="52" s="1"/>
  <c r="N3" i="52" s="1"/>
  <c r="N140" i="52" s="1"/>
  <c r="O3" i="52" s="1"/>
  <c r="O140" i="52" s="1"/>
  <c r="P3" i="52" s="1"/>
  <c r="P140" i="52" s="1"/>
  <c r="Q3" i="52" s="1"/>
  <c r="Q140" i="52" s="1"/>
  <c r="R3" i="52" s="1"/>
  <c r="R140" i="52" s="1"/>
  <c r="S3" i="52" s="1"/>
  <c r="S140" i="52" s="1"/>
  <c r="T3" i="52" s="1"/>
  <c r="T140" i="52" s="1"/>
  <c r="U3" i="52" s="1"/>
  <c r="U140" i="52" s="1"/>
  <c r="V3" i="52" s="1"/>
  <c r="V140" i="52" s="1"/>
  <c r="W3" i="52" s="1"/>
  <c r="W140" i="52" s="1"/>
  <c r="X3" i="52" s="1"/>
  <c r="X140" i="52" s="1"/>
  <c r="Y3" i="52" s="1"/>
  <c r="Y140" i="52" s="1"/>
  <c r="Z3" i="52" s="1"/>
  <c r="Z140" i="52" s="1"/>
  <c r="AU83" i="59"/>
  <c r="AQ86" i="59"/>
  <c r="AQ116" i="53"/>
  <c r="AQ117" i="53" s="1"/>
  <c r="AR113" i="53"/>
  <c r="AT113" i="53"/>
  <c r="AQ101" i="56"/>
  <c r="AU98" i="56"/>
  <c r="AP96" i="55"/>
  <c r="AQ96" i="55"/>
  <c r="AA3" i="52" l="1"/>
  <c r="AA140" i="52" s="1"/>
  <c r="AB3" i="52" s="1"/>
  <c r="AB140" i="52" s="1"/>
  <c r="AC3" i="52" s="1"/>
  <c r="AC140" i="52" s="1"/>
  <c r="AD3" i="52" s="1"/>
  <c r="AD140" i="52" s="1"/>
  <c r="AE3" i="52" s="1"/>
  <c r="AE140" i="52" s="1"/>
  <c r="AF3" i="52" s="1"/>
  <c r="AF140" i="52" s="1"/>
  <c r="AG3" i="52" s="1"/>
  <c r="AG140" i="52" s="1"/>
  <c r="AH3" i="52" s="1"/>
  <c r="AH140" i="52" s="1"/>
  <c r="AI3" i="52" s="1"/>
  <c r="AI140" i="52" s="1"/>
  <c r="Z141" i="52"/>
  <c r="AQ101" i="55"/>
  <c r="AQ104" i="55"/>
  <c r="AQ98" i="55"/>
  <c r="AQ99" i="55" s="1"/>
  <c r="AM139" i="52" l="1"/>
  <c r="AJ3" i="52"/>
  <c r="AJ140" i="52" s="1"/>
  <c r="F3" i="53" s="1"/>
  <c r="F117" i="53" s="1"/>
  <c r="G3" i="53" s="1"/>
  <c r="G117" i="53" s="1"/>
  <c r="H3" i="53" s="1"/>
  <c r="H117" i="53" s="1"/>
  <c r="I3" i="53" s="1"/>
  <c r="I117" i="53" s="1"/>
  <c r="J3" i="53" s="1"/>
  <c r="J117" i="53" s="1"/>
  <c r="K3" i="53" s="1"/>
  <c r="K117" i="53" s="1"/>
  <c r="L3" i="53" s="1"/>
  <c r="L117" i="53" s="1"/>
  <c r="M3" i="53" s="1"/>
  <c r="M117" i="53" s="1"/>
  <c r="N3" i="53" s="1"/>
  <c r="N117" i="53" s="1"/>
  <c r="O3" i="53" s="1"/>
  <c r="O117" i="53" s="1"/>
  <c r="P3" i="53" s="1"/>
  <c r="P117" i="53" s="1"/>
  <c r="Q3" i="53" s="1"/>
  <c r="Q117" i="53" s="1"/>
  <c r="R3" i="53" s="1"/>
  <c r="R117" i="53" s="1"/>
  <c r="S3" i="53" s="1"/>
  <c r="S117" i="53" s="1"/>
  <c r="T3" i="53" s="1"/>
  <c r="T117" i="53" s="1"/>
  <c r="U3" i="53" s="1"/>
  <c r="U117" i="53" s="1"/>
  <c r="V3" i="53" s="1"/>
  <c r="V117" i="53" s="1"/>
  <c r="W3" i="53" s="1"/>
  <c r="W117" i="53" s="1"/>
  <c r="X3" i="53" s="1"/>
  <c r="X117" i="53" s="1"/>
  <c r="Y3" i="53" s="1"/>
  <c r="Y117" i="53" s="1"/>
  <c r="Z3" i="53" s="1"/>
  <c r="Z117" i="53" s="1"/>
  <c r="AA3" i="53" s="1"/>
  <c r="AA117" i="53" s="1"/>
  <c r="AB3" i="53" s="1"/>
  <c r="AB117" i="53" s="1"/>
  <c r="AC3" i="53" s="1"/>
  <c r="AC117" i="53" s="1"/>
  <c r="AD3" i="53" s="1"/>
  <c r="AD117" i="53" s="1"/>
  <c r="AE3" i="53" s="1"/>
  <c r="AE117" i="53" s="1"/>
  <c r="AF3" i="53" s="1"/>
  <c r="AF117" i="53" s="1"/>
  <c r="AG3" i="53" s="1"/>
  <c r="AG117" i="53" s="1"/>
  <c r="AH3" i="53" s="1"/>
  <c r="AH117" i="53" s="1"/>
  <c r="AI3" i="53" s="1"/>
  <c r="AI117" i="53" s="1"/>
  <c r="AJ3" i="53" s="1"/>
  <c r="AJ117" i="53" s="1"/>
  <c r="F3" i="54" s="1"/>
  <c r="F120" i="54" s="1"/>
  <c r="G3" i="54" s="1"/>
  <c r="G120" i="54" s="1"/>
  <c r="H3" i="54" s="1"/>
  <c r="H120" i="54" s="1"/>
  <c r="I3" i="54" s="1"/>
  <c r="I120" i="54" s="1"/>
  <c r="J3" i="54" s="1"/>
  <c r="J120" i="54" s="1"/>
  <c r="K3" i="54" s="1"/>
  <c r="K120" i="54" s="1"/>
  <c r="L3" i="54" s="1"/>
  <c r="L120" i="54" s="1"/>
  <c r="M3" i="54" s="1"/>
  <c r="M120" i="54" s="1"/>
  <c r="N3" i="54" s="1"/>
  <c r="N120" i="54" s="1"/>
  <c r="O3" i="54" s="1"/>
  <c r="O120" i="54" s="1"/>
  <c r="P3" i="54" s="1"/>
  <c r="P120" i="54" s="1"/>
  <c r="Q3" i="54" s="1"/>
  <c r="Q120" i="54" s="1"/>
  <c r="R3" i="54" s="1"/>
  <c r="R120" i="54" s="1"/>
  <c r="S3" i="54" s="1"/>
  <c r="S120" i="54" s="1"/>
  <c r="T3" i="54" s="1"/>
  <c r="T120" i="54" s="1"/>
  <c r="U3" i="54" s="1"/>
  <c r="U120" i="54" s="1"/>
  <c r="V3" i="54" s="1"/>
  <c r="V120" i="54" s="1"/>
  <c r="W3" i="54" s="1"/>
  <c r="W120" i="54" s="1"/>
  <c r="X3" i="54" s="1"/>
  <c r="X120" i="54" s="1"/>
  <c r="Y3" i="54" s="1"/>
  <c r="Y120" i="54" s="1"/>
  <c r="Z3" i="54" s="1"/>
  <c r="Z120" i="54" s="1"/>
  <c r="AA3" i="54" s="1"/>
  <c r="AA120" i="54" s="1"/>
  <c r="AB3" i="54" s="1"/>
  <c r="AB120" i="54" s="1"/>
  <c r="AC3" i="54" s="1"/>
  <c r="AC120" i="54" s="1"/>
  <c r="AD3" i="54" s="1"/>
  <c r="AD120" i="54" s="1"/>
  <c r="AE3" i="54" s="1"/>
  <c r="AE120" i="54" s="1"/>
  <c r="AF3" i="54" s="1"/>
  <c r="AF120" i="54" s="1"/>
  <c r="AG3" i="54" s="1"/>
  <c r="AG120" i="54" s="1"/>
  <c r="F3" i="55" s="1"/>
  <c r="F102" i="55" s="1"/>
  <c r="G3" i="55" s="1"/>
  <c r="G102" i="55" s="1"/>
  <c r="H3" i="55" s="1"/>
  <c r="H102" i="55" s="1"/>
  <c r="I3" i="55" s="1"/>
  <c r="I102" i="55" s="1"/>
  <c r="J3" i="55" s="1"/>
  <c r="J102" i="55" s="1"/>
  <c r="K3" i="55" s="1"/>
  <c r="K102" i="55" s="1"/>
  <c r="L3" i="55" s="1"/>
  <c r="L102" i="55" s="1"/>
  <c r="M3" i="55" s="1"/>
  <c r="M102" i="55" s="1"/>
  <c r="N3" i="55" s="1"/>
  <c r="N102" i="55" s="1"/>
  <c r="O3" i="55" s="1"/>
  <c r="O102" i="55" s="1"/>
  <c r="P3" i="55" s="1"/>
  <c r="P102" i="55" s="1"/>
  <c r="Q3" i="55" s="1"/>
  <c r="Q102" i="55" s="1"/>
  <c r="R3" i="55" s="1"/>
  <c r="R102" i="55" s="1"/>
  <c r="S3" i="55" s="1"/>
  <c r="S102" i="55" s="1"/>
  <c r="T3" i="55" s="1"/>
  <c r="T102" i="55" s="1"/>
  <c r="U3" i="55" s="1"/>
  <c r="U102" i="55" s="1"/>
  <c r="V3" i="55" s="1"/>
  <c r="V102" i="55" s="1"/>
  <c r="W3" i="55" s="1"/>
  <c r="W102" i="55" s="1"/>
  <c r="X3" i="55" s="1"/>
  <c r="X102" i="55" s="1"/>
  <c r="Y3" i="55" s="1"/>
  <c r="Y102" i="55" s="1"/>
  <c r="Z3" i="55" s="1"/>
  <c r="Z102" i="55" s="1"/>
  <c r="AA3" i="55" s="1"/>
  <c r="AA102" i="55" s="1"/>
  <c r="AB3" i="55" s="1"/>
  <c r="AB102" i="55" s="1"/>
  <c r="AC3" i="55" s="1"/>
  <c r="AC102" i="55" s="1"/>
  <c r="AD3" i="55" s="1"/>
  <c r="AD102" i="55" s="1"/>
  <c r="AE3" i="55" s="1"/>
  <c r="AE102" i="55" s="1"/>
  <c r="AF3" i="55" s="1"/>
  <c r="AF102" i="55" s="1"/>
  <c r="AG3" i="55" s="1"/>
  <c r="AG102" i="55" s="1"/>
  <c r="AH3" i="55" s="1"/>
  <c r="AH102" i="55" s="1"/>
  <c r="AI3" i="55" s="1"/>
  <c r="AI102" i="55" s="1"/>
  <c r="AJ3" i="55" s="1"/>
  <c r="AJ102" i="55" s="1"/>
  <c r="AQ100" i="55"/>
  <c r="AQ102" i="55"/>
  <c r="F3" i="56" l="1"/>
  <c r="F99" i="56" s="1"/>
  <c r="G3" i="56" s="1"/>
  <c r="G99" i="56" s="1"/>
  <c r="H3" i="56" s="1"/>
  <c r="H99" i="56" s="1"/>
  <c r="I3" i="56" s="1"/>
  <c r="I99" i="56" s="1"/>
  <c r="J3" i="56" s="1"/>
  <c r="J99" i="56" s="1"/>
  <c r="K3" i="56" s="1"/>
  <c r="K99" i="56" s="1"/>
  <c r="L3" i="56" s="1"/>
  <c r="L99" i="56" s="1"/>
  <c r="M3" i="56" s="1"/>
  <c r="M99" i="56" s="1"/>
  <c r="N3" i="56" s="1"/>
  <c r="N99" i="56" s="1"/>
  <c r="O3" i="56" s="1"/>
  <c r="O99" i="56" s="1"/>
  <c r="P3" i="56" s="1"/>
  <c r="P99" i="56" s="1"/>
  <c r="Q3" i="56" s="1"/>
  <c r="Q99" i="56" s="1"/>
  <c r="R3" i="56" s="1"/>
  <c r="R99" i="56" s="1"/>
  <c r="S3" i="56" s="1"/>
  <c r="S99" i="56" s="1"/>
  <c r="T3" i="56" s="1"/>
  <c r="T99" i="56" s="1"/>
  <c r="U3" i="56" s="1"/>
  <c r="U99" i="56" s="1"/>
  <c r="V3" i="56" s="1"/>
  <c r="V99" i="56" s="1"/>
  <c r="W3" i="56" s="1"/>
  <c r="W99" i="56" s="1"/>
  <c r="X3" i="56" s="1"/>
  <c r="X99" i="56" s="1"/>
  <c r="Y3" i="56" s="1"/>
  <c r="Y99" i="56" s="1"/>
  <c r="Z3" i="56" s="1"/>
  <c r="Z99" i="56" s="1"/>
  <c r="AA3" i="56" s="1"/>
  <c r="AA99" i="56" s="1"/>
  <c r="AB3" i="56" s="1"/>
  <c r="AB99" i="56" s="1"/>
  <c r="AC3" i="56" s="1"/>
  <c r="AC99" i="56" s="1"/>
  <c r="AD3" i="56" s="1"/>
  <c r="AD99" i="56" s="1"/>
  <c r="AE3" i="56" s="1"/>
  <c r="AE99" i="56" s="1"/>
  <c r="AF3" i="56" s="1"/>
  <c r="AF99" i="56" s="1"/>
  <c r="AG3" i="56" s="1"/>
  <c r="AG99" i="56" s="1"/>
  <c r="AH3" i="56" s="1"/>
  <c r="AH99" i="56" s="1"/>
  <c r="AI3" i="56" s="1"/>
  <c r="AI99" i="56" s="1"/>
  <c r="AJ3" i="56" s="1"/>
  <c r="AJ99" i="56" s="1"/>
  <c r="AM101" i="55"/>
  <c r="AU102" i="55"/>
  <c r="AQ105" i="55"/>
  <c r="F3" i="57" l="1"/>
  <c r="F79" i="57" s="1"/>
  <c r="G3" i="57" s="1"/>
  <c r="G79" i="57" s="1"/>
  <c r="H3" i="57" s="1"/>
  <c r="H79" i="57" s="1"/>
  <c r="I3" i="57" s="1"/>
  <c r="I79" i="57" s="1"/>
  <c r="J3" i="57" s="1"/>
  <c r="J79" i="57" s="1"/>
  <c r="K3" i="57" s="1"/>
  <c r="K79" i="57" s="1"/>
  <c r="L3" i="57" s="1"/>
  <c r="L79" i="57" s="1"/>
  <c r="M3" i="57" s="1"/>
  <c r="M79" i="57" s="1"/>
  <c r="N3" i="57" s="1"/>
  <c r="N79" i="57" s="1"/>
  <c r="O3" i="57" s="1"/>
  <c r="O79" i="57" s="1"/>
  <c r="P3" i="57" s="1"/>
  <c r="P79" i="57" s="1"/>
  <c r="Q3" i="57" s="1"/>
  <c r="Q79" i="57" s="1"/>
  <c r="R3" i="57" s="1"/>
  <c r="R79" i="57" s="1"/>
  <c r="S3" i="57" s="1"/>
  <c r="S79" i="57" s="1"/>
  <c r="T3" i="57" s="1"/>
  <c r="T79" i="57" s="1"/>
  <c r="U3" i="57" s="1"/>
  <c r="U79" i="57" s="1"/>
  <c r="V3" i="57" s="1"/>
  <c r="V79" i="57" s="1"/>
  <c r="W3" i="57" s="1"/>
  <c r="W79" i="57" s="1"/>
  <c r="X3" i="57" s="1"/>
  <c r="X79" i="57" s="1"/>
  <c r="Y3" i="57" s="1"/>
  <c r="Y79" i="57" s="1"/>
  <c r="Z3" i="57" s="1"/>
  <c r="Z79" i="57" s="1"/>
  <c r="AA3" i="57" s="1"/>
  <c r="AA79" i="57" s="1"/>
  <c r="AB3" i="57" s="1"/>
  <c r="AB79" i="57" s="1"/>
  <c r="AC3" i="57" s="1"/>
  <c r="AC79" i="57" s="1"/>
  <c r="AD3" i="57" s="1"/>
  <c r="AD79" i="57" s="1"/>
  <c r="AE3" i="57" s="1"/>
  <c r="AE79" i="57" s="1"/>
  <c r="AF3" i="57" s="1"/>
  <c r="AF79" i="57" s="1"/>
  <c r="AG3" i="57" s="1"/>
  <c r="AG79" i="57" s="1"/>
  <c r="AH3" i="57" s="1"/>
  <c r="AH79" i="57" s="1"/>
  <c r="AI3" i="57" s="1"/>
  <c r="AI79" i="57" s="1"/>
  <c r="AJ3" i="57" s="1"/>
  <c r="AJ79" i="57" s="1"/>
  <c r="AM98" i="56"/>
  <c r="AN121" i="52"/>
  <c r="AO121" i="52"/>
  <c r="AM78" i="57" l="1"/>
  <c r="F3" i="58"/>
  <c r="F73" i="58" s="1"/>
  <c r="G3" i="58" s="1"/>
  <c r="G73" i="58" s="1"/>
  <c r="H3" i="58" s="1"/>
  <c r="H73" i="58" s="1"/>
  <c r="I3" i="58" s="1"/>
  <c r="I73" i="58" s="1"/>
  <c r="J3" i="58" s="1"/>
  <c r="J73" i="58" s="1"/>
  <c r="K3" i="58" s="1"/>
  <c r="K73" i="58" s="1"/>
  <c r="L3" i="58" s="1"/>
  <c r="L73" i="58" s="1"/>
  <c r="M3" i="58" s="1"/>
  <c r="M73" i="58" s="1"/>
  <c r="N3" i="58" s="1"/>
  <c r="N73" i="58" s="1"/>
  <c r="O3" i="58" s="1"/>
  <c r="O73" i="58" s="1"/>
  <c r="P3" i="58" s="1"/>
  <c r="P73" i="58" s="1"/>
  <c r="Q3" i="58" s="1"/>
  <c r="Q73" i="58" s="1"/>
  <c r="R3" i="58" s="1"/>
  <c r="R73" i="58" s="1"/>
  <c r="S3" i="58" s="1"/>
  <c r="S73" i="58" s="1"/>
  <c r="T3" i="58" s="1"/>
  <c r="T73" i="58" s="1"/>
  <c r="U3" i="58" s="1"/>
  <c r="U73" i="58" s="1"/>
  <c r="V3" i="58" s="1"/>
  <c r="V73" i="58" s="1"/>
  <c r="W3" i="58" s="1"/>
  <c r="W73" i="58" s="1"/>
  <c r="X3" i="58" s="1"/>
  <c r="X73" i="58" s="1"/>
  <c r="Y3" i="58" s="1"/>
  <c r="Y73" i="58" s="1"/>
  <c r="Z3" i="58" s="1"/>
  <c r="Z73" i="58" s="1"/>
  <c r="AA3" i="58" s="1"/>
  <c r="AA73" i="58" s="1"/>
  <c r="AB3" i="58" s="1"/>
  <c r="AB73" i="58" s="1"/>
  <c r="AC3" i="58" s="1"/>
  <c r="AC73" i="58" s="1"/>
  <c r="AD3" i="58" s="1"/>
  <c r="AD73" i="58" s="1"/>
  <c r="AE3" i="58" s="1"/>
  <c r="AE73" i="58" s="1"/>
  <c r="AF3" i="58" s="1"/>
  <c r="AF73" i="58" s="1"/>
  <c r="AG3" i="58" s="1"/>
  <c r="AG73" i="58" s="1"/>
  <c r="AH3" i="58" s="1"/>
  <c r="AH73" i="58" s="1"/>
  <c r="AI3" i="58" s="1"/>
  <c r="AI73" i="58" s="1"/>
  <c r="AP108" i="54"/>
  <c r="AQ108" i="54"/>
  <c r="AO123" i="52"/>
  <c r="AO124" i="52" s="1"/>
  <c r="AO126" i="52"/>
  <c r="AJ3" i="58" l="1"/>
  <c r="AJ73" i="58" s="1"/>
  <c r="AM72" i="58" s="1"/>
  <c r="F3" i="59"/>
  <c r="F84" i="59" s="1"/>
  <c r="G3" i="59" s="1"/>
  <c r="G84" i="59" s="1"/>
  <c r="H3" i="59" s="1"/>
  <c r="H84" i="59" s="1"/>
  <c r="I3" i="59" s="1"/>
  <c r="I84" i="59" s="1"/>
  <c r="J3" i="59" s="1"/>
  <c r="J84" i="59" s="1"/>
  <c r="K3" i="59" s="1"/>
  <c r="K84" i="59" s="1"/>
  <c r="L3" i="59" s="1"/>
  <c r="L84" i="59" s="1"/>
  <c r="M3" i="59" s="1"/>
  <c r="M84" i="59" s="1"/>
  <c r="N3" i="59" s="1"/>
  <c r="N84" i="59" s="1"/>
  <c r="O3" i="59" s="1"/>
  <c r="O84" i="59" s="1"/>
  <c r="P3" i="59" s="1"/>
  <c r="P84" i="59" s="1"/>
  <c r="Q3" i="59" s="1"/>
  <c r="Q84" i="59" s="1"/>
  <c r="R3" i="59" s="1"/>
  <c r="R84" i="59" s="1"/>
  <c r="S3" i="59" s="1"/>
  <c r="S84" i="59" s="1"/>
  <c r="T3" i="59" s="1"/>
  <c r="T84" i="59" s="1"/>
  <c r="U3" i="59" s="1"/>
  <c r="U84" i="59" s="1"/>
  <c r="V3" i="59" s="1"/>
  <c r="V84" i="59" s="1"/>
  <c r="W3" i="59" s="1"/>
  <c r="W84" i="59" s="1"/>
  <c r="X3" i="59" s="1"/>
  <c r="X84" i="59" s="1"/>
  <c r="Y3" i="59" s="1"/>
  <c r="Y84" i="59" s="1"/>
  <c r="Z3" i="59" s="1"/>
  <c r="Z84" i="59" s="1"/>
  <c r="AA3" i="59" s="1"/>
  <c r="AA84" i="59" s="1"/>
  <c r="AB3" i="59" s="1"/>
  <c r="AB84" i="59" s="1"/>
  <c r="AC3" i="59" s="1"/>
  <c r="AC84" i="59" s="1"/>
  <c r="AD3" i="59" s="1"/>
  <c r="AD84" i="59" s="1"/>
  <c r="AE3" i="59" s="1"/>
  <c r="AE84" i="59" s="1"/>
  <c r="AF3" i="59" s="1"/>
  <c r="AF84" i="59" s="1"/>
  <c r="AG3" i="59" s="1"/>
  <c r="AG84" i="59" s="1"/>
  <c r="AH3" i="59" s="1"/>
  <c r="AH84" i="59" s="1"/>
  <c r="AI3" i="59" s="1"/>
  <c r="AI84" i="59" s="1"/>
  <c r="AJ3" i="59" s="1"/>
  <c r="AJ84" i="59" s="1"/>
  <c r="AO71" i="47"/>
  <c r="AN71" i="47"/>
  <c r="AO125" i="52"/>
  <c r="AO127" i="52"/>
  <c r="AQ116" i="54"/>
  <c r="AR116" i="54" s="1"/>
  <c r="AR104" i="55" s="1"/>
  <c r="AR100" i="56" s="1"/>
  <c r="AR80" i="57" s="1"/>
  <c r="AR74" i="58" s="1"/>
  <c r="AR85" i="59" s="1"/>
  <c r="AR87" i="60" s="1"/>
  <c r="AQ113" i="54"/>
  <c r="AR113" i="54" s="1"/>
  <c r="AR101" i="55" s="1"/>
  <c r="AR97" i="56" s="1"/>
  <c r="AR77" i="57" s="1"/>
  <c r="AR71" i="58" s="1"/>
  <c r="AR82" i="59" s="1"/>
  <c r="AQ110" i="54"/>
  <c r="AR108" i="54"/>
  <c r="AR96" i="55" s="1"/>
  <c r="AR51" i="65" s="1"/>
  <c r="F3" i="60" l="1"/>
  <c r="F86" i="60" s="1"/>
  <c r="G3" i="60" s="1"/>
  <c r="G86" i="60" s="1"/>
  <c r="H3" i="60" s="1"/>
  <c r="H86" i="60" s="1"/>
  <c r="I3" i="60" s="1"/>
  <c r="I86" i="60" s="1"/>
  <c r="J3" i="60" s="1"/>
  <c r="J86" i="60" s="1"/>
  <c r="K3" i="60" s="1"/>
  <c r="K86" i="60" s="1"/>
  <c r="L3" i="60" s="1"/>
  <c r="L86" i="60" s="1"/>
  <c r="M3" i="60" s="1"/>
  <c r="M86" i="60" s="1"/>
  <c r="N3" i="60" s="1"/>
  <c r="N86" i="60" s="1"/>
  <c r="O3" i="60" s="1"/>
  <c r="O86" i="60" s="1"/>
  <c r="P3" i="60" s="1"/>
  <c r="P86" i="60" s="1"/>
  <c r="Q3" i="60" s="1"/>
  <c r="Q86" i="60" s="1"/>
  <c r="R3" i="60" s="1"/>
  <c r="R86" i="60" s="1"/>
  <c r="S3" i="60" s="1"/>
  <c r="S86" i="60" s="1"/>
  <c r="T3" i="60" s="1"/>
  <c r="T86" i="60" s="1"/>
  <c r="U3" i="60" s="1"/>
  <c r="U86" i="60" s="1"/>
  <c r="V3" i="60" s="1"/>
  <c r="V86" i="60" s="1"/>
  <c r="W3" i="60" s="1"/>
  <c r="W86" i="60" s="1"/>
  <c r="X3" i="60" s="1"/>
  <c r="X86" i="60" s="1"/>
  <c r="Y3" i="60" s="1"/>
  <c r="Y86" i="60" s="1"/>
  <c r="Z3" i="60" s="1"/>
  <c r="Z86" i="60" s="1"/>
  <c r="AA3" i="60" s="1"/>
  <c r="AA86" i="60" s="1"/>
  <c r="AB3" i="60" s="1"/>
  <c r="AB86" i="60" s="1"/>
  <c r="AC3" i="60" s="1"/>
  <c r="AC86" i="60" s="1"/>
  <c r="AD3" i="60" s="1"/>
  <c r="AD86" i="60" s="1"/>
  <c r="AE3" i="60" s="1"/>
  <c r="AE86" i="60" s="1"/>
  <c r="AF3" i="60" s="1"/>
  <c r="AF86" i="60" s="1"/>
  <c r="AG3" i="60" s="1"/>
  <c r="AG86" i="60" s="1"/>
  <c r="AH3" i="60" s="1"/>
  <c r="AH86" i="60" s="1"/>
  <c r="AI3" i="60" s="1"/>
  <c r="AI86" i="60" s="1"/>
  <c r="AJ3" i="60" s="1"/>
  <c r="AJ86" i="60" s="1"/>
  <c r="AM83" i="59"/>
  <c r="AO76" i="47"/>
  <c r="AO73" i="47"/>
  <c r="AO74" i="47" s="1"/>
  <c r="AR56" i="64"/>
  <c r="AR92" i="56"/>
  <c r="AR72" i="57" s="1"/>
  <c r="AR66" i="58" s="1"/>
  <c r="AR77" i="59" s="1"/>
  <c r="AR79" i="60" s="1"/>
  <c r="AR65" i="63"/>
  <c r="AR65" i="61"/>
  <c r="AR58" i="62"/>
  <c r="AS127" i="52"/>
  <c r="AO130" i="52"/>
  <c r="AQ111" i="54"/>
  <c r="AR110" i="54"/>
  <c r="AM85" i="60" l="1"/>
  <c r="F3" i="61"/>
  <c r="F72" i="61" s="1"/>
  <c r="G3" i="61" s="1"/>
  <c r="G72" i="61" s="1"/>
  <c r="H3" i="61" s="1"/>
  <c r="H72" i="61" s="1"/>
  <c r="I3" i="61" s="1"/>
  <c r="I72" i="61" s="1"/>
  <c r="J3" i="61" s="1"/>
  <c r="J72" i="61" s="1"/>
  <c r="K3" i="61" s="1"/>
  <c r="K72" i="61" s="1"/>
  <c r="L3" i="61" s="1"/>
  <c r="L72" i="61" s="1"/>
  <c r="M3" i="61" s="1"/>
  <c r="M72" i="61" s="1"/>
  <c r="N3" i="61" s="1"/>
  <c r="N72" i="61" s="1"/>
  <c r="O3" i="61" s="1"/>
  <c r="O72" i="61" s="1"/>
  <c r="P3" i="61" s="1"/>
  <c r="P72" i="61" s="1"/>
  <c r="Q3" i="61" s="1"/>
  <c r="Q72" i="61" s="1"/>
  <c r="R3" i="61" s="1"/>
  <c r="R72" i="61" s="1"/>
  <c r="S3" i="61" s="1"/>
  <c r="S72" i="61" s="1"/>
  <c r="T3" i="61" s="1"/>
  <c r="T72" i="61" s="1"/>
  <c r="U3" i="61" s="1"/>
  <c r="U72" i="61" s="1"/>
  <c r="V3" i="61" s="1"/>
  <c r="V72" i="61" s="1"/>
  <c r="W3" i="61" s="1"/>
  <c r="W72" i="61" s="1"/>
  <c r="X3" i="61" s="1"/>
  <c r="X72" i="61" s="1"/>
  <c r="Y3" i="61" s="1"/>
  <c r="Y72" i="61" s="1"/>
  <c r="Z3" i="61" s="1"/>
  <c r="Z72" i="61" s="1"/>
  <c r="AA3" i="61" s="1"/>
  <c r="AA72" i="61" s="1"/>
  <c r="AB3" i="61" s="1"/>
  <c r="AB72" i="61" s="1"/>
  <c r="AC3" i="61" s="1"/>
  <c r="AC72" i="61" s="1"/>
  <c r="AD3" i="61" s="1"/>
  <c r="AD72" i="61" s="1"/>
  <c r="AE3" i="61" s="1"/>
  <c r="AE72" i="61" s="1"/>
  <c r="AF3" i="61" s="1"/>
  <c r="AF72" i="61" s="1"/>
  <c r="AG3" i="61" s="1"/>
  <c r="AG72" i="61" s="1"/>
  <c r="AH3" i="61" s="1"/>
  <c r="AH72" i="61" s="1"/>
  <c r="AI3" i="61" s="1"/>
  <c r="AI72" i="61" s="1"/>
  <c r="AO77" i="47"/>
  <c r="AO80" i="47" s="1"/>
  <c r="AO82" i="47" s="1"/>
  <c r="AO75" i="47"/>
  <c r="AQ114" i="54"/>
  <c r="AQ112" i="54"/>
  <c r="AR111" i="54"/>
  <c r="AR98" i="55"/>
  <c r="F3" i="62" l="1"/>
  <c r="F65" i="62" s="1"/>
  <c r="G3" i="62" s="1"/>
  <c r="G65" i="62" s="1"/>
  <c r="H3" i="62" s="1"/>
  <c r="H65" i="62" s="1"/>
  <c r="I3" i="62" s="1"/>
  <c r="I65" i="62" s="1"/>
  <c r="J3" i="62" s="1"/>
  <c r="J65" i="62" s="1"/>
  <c r="K3" i="62" s="1"/>
  <c r="K65" i="62" s="1"/>
  <c r="L3" i="62" s="1"/>
  <c r="L65" i="62" s="1"/>
  <c r="M3" i="62" s="1"/>
  <c r="M65" i="62" s="1"/>
  <c r="N3" i="62" s="1"/>
  <c r="N65" i="62" s="1"/>
  <c r="O3" i="62" s="1"/>
  <c r="O65" i="62" s="1"/>
  <c r="P3" i="62" s="1"/>
  <c r="P65" i="62" s="1"/>
  <c r="Q3" i="62" s="1"/>
  <c r="Q65" i="62" s="1"/>
  <c r="R3" i="62" s="1"/>
  <c r="R65" i="62" s="1"/>
  <c r="S3" i="62" s="1"/>
  <c r="S65" i="62" s="1"/>
  <c r="T3" i="62" s="1"/>
  <c r="T65" i="62" s="1"/>
  <c r="U3" i="62" s="1"/>
  <c r="U65" i="62" s="1"/>
  <c r="V3" i="62" s="1"/>
  <c r="V65" i="62" s="1"/>
  <c r="W3" i="62" s="1"/>
  <c r="W65" i="62" s="1"/>
  <c r="X3" i="62" s="1"/>
  <c r="X65" i="62" s="1"/>
  <c r="Y3" i="62" s="1"/>
  <c r="Y65" i="62" s="1"/>
  <c r="Z3" i="62" s="1"/>
  <c r="Z65" i="62" s="1"/>
  <c r="AA3" i="62" s="1"/>
  <c r="AA65" i="62" s="1"/>
  <c r="AB3" i="62" s="1"/>
  <c r="AB65" i="62" s="1"/>
  <c r="AC3" i="62" s="1"/>
  <c r="AC65" i="62" s="1"/>
  <c r="AD3" i="62" s="1"/>
  <c r="AD65" i="62" s="1"/>
  <c r="AE3" i="62" s="1"/>
  <c r="AE65" i="62" s="1"/>
  <c r="AF3" i="62" s="1"/>
  <c r="AF65" i="62" s="1"/>
  <c r="AG3" i="62" s="1"/>
  <c r="AG65" i="62" s="1"/>
  <c r="AH3" i="62" s="1"/>
  <c r="AH65" i="62" s="1"/>
  <c r="AI3" i="62" s="1"/>
  <c r="AI65" i="62" s="1"/>
  <c r="AJ3" i="62" s="1"/>
  <c r="AJ65" i="62" s="1"/>
  <c r="AJ3" i="61"/>
  <c r="AJ72" i="61" s="1"/>
  <c r="AM71" i="61" s="1"/>
  <c r="AR99" i="55"/>
  <c r="AR94" i="56"/>
  <c r="AR114" i="54"/>
  <c r="AR112" i="54"/>
  <c r="AQ117" i="54"/>
  <c r="AQ118" i="54" s="1"/>
  <c r="AQ106" i="55" s="1"/>
  <c r="AQ102" i="56" s="1"/>
  <c r="AQ82" i="57" s="1"/>
  <c r="AQ50" i="78" s="1"/>
  <c r="AU114" i="54"/>
  <c r="AQ58" i="76" l="1"/>
  <c r="AQ67" i="77"/>
  <c r="AQ54" i="74"/>
  <c r="AQ55" i="75"/>
  <c r="AQ53" i="72"/>
  <c r="AQ52" i="73"/>
  <c r="AQ51" i="70"/>
  <c r="AQ49" i="71"/>
  <c r="AQ48" i="69"/>
  <c r="AQ51" i="67"/>
  <c r="AQ53" i="68"/>
  <c r="F3" i="63"/>
  <c r="F72" i="63" s="1"/>
  <c r="G3" i="63" s="1"/>
  <c r="G72" i="63" s="1"/>
  <c r="H3" i="63" s="1"/>
  <c r="H72" i="63" s="1"/>
  <c r="I3" i="63" s="1"/>
  <c r="I72" i="63" s="1"/>
  <c r="J3" i="63" s="1"/>
  <c r="J72" i="63" s="1"/>
  <c r="K3" i="63" s="1"/>
  <c r="K72" i="63" s="1"/>
  <c r="L3" i="63" s="1"/>
  <c r="L72" i="63" s="1"/>
  <c r="M3" i="63" s="1"/>
  <c r="M72" i="63" s="1"/>
  <c r="N3" i="63" s="1"/>
  <c r="N72" i="63" s="1"/>
  <c r="O3" i="63" s="1"/>
  <c r="O72" i="63" s="1"/>
  <c r="P3" i="63" s="1"/>
  <c r="P72" i="63" s="1"/>
  <c r="Q3" i="63" s="1"/>
  <c r="Q72" i="63" s="1"/>
  <c r="R3" i="63" s="1"/>
  <c r="R72" i="63" s="1"/>
  <c r="S3" i="63" s="1"/>
  <c r="S72" i="63" s="1"/>
  <c r="T3" i="63" s="1"/>
  <c r="T72" i="63" s="1"/>
  <c r="U3" i="63" s="1"/>
  <c r="U72" i="63" s="1"/>
  <c r="V3" i="63" s="1"/>
  <c r="V72" i="63" s="1"/>
  <c r="W3" i="63" s="1"/>
  <c r="W72" i="63" s="1"/>
  <c r="X3" i="63" s="1"/>
  <c r="X72" i="63" s="1"/>
  <c r="Y3" i="63" s="1"/>
  <c r="Y72" i="63" s="1"/>
  <c r="Z3" i="63" s="1"/>
  <c r="Z72" i="63" s="1"/>
  <c r="AA3" i="63" s="1"/>
  <c r="AA72" i="63" s="1"/>
  <c r="AB3" i="63" s="1"/>
  <c r="AB72" i="63" s="1"/>
  <c r="AC3" i="63" s="1"/>
  <c r="AC72" i="63" s="1"/>
  <c r="AD3" i="63" s="1"/>
  <c r="AD72" i="63" s="1"/>
  <c r="AE3" i="63" s="1"/>
  <c r="AE72" i="63" s="1"/>
  <c r="AF3" i="63" s="1"/>
  <c r="AF72" i="63" s="1"/>
  <c r="AG3" i="63" s="1"/>
  <c r="AG72" i="63" s="1"/>
  <c r="AH3" i="63" s="1"/>
  <c r="AH72" i="63" s="1"/>
  <c r="AI3" i="63" s="1"/>
  <c r="AI72" i="63" s="1"/>
  <c r="AM64" i="62"/>
  <c r="AQ61" i="65"/>
  <c r="AQ49" i="66"/>
  <c r="AR117" i="54"/>
  <c r="AV114" i="54"/>
  <c r="AR95" i="56"/>
  <c r="AR74" i="57"/>
  <c r="AQ66" i="64"/>
  <c r="AQ68" i="62"/>
  <c r="AQ75" i="63"/>
  <c r="AQ76" i="58"/>
  <c r="AQ87" i="59" s="1"/>
  <c r="AR102" i="55"/>
  <c r="AR105" i="55" s="1"/>
  <c r="AR100" i="55"/>
  <c r="AJ3" i="63" l="1"/>
  <c r="AJ72" i="63" s="1"/>
  <c r="AM71" i="63" s="1"/>
  <c r="F3" i="64"/>
  <c r="F63" i="64" s="1"/>
  <c r="G3" i="64" s="1"/>
  <c r="G63" i="64" s="1"/>
  <c r="H3" i="64" s="1"/>
  <c r="H63" i="64" s="1"/>
  <c r="I3" i="64" s="1"/>
  <c r="I63" i="64" s="1"/>
  <c r="J3" i="64" s="1"/>
  <c r="J63" i="64" s="1"/>
  <c r="K3" i="64" s="1"/>
  <c r="K63" i="64" s="1"/>
  <c r="L3" i="64" s="1"/>
  <c r="L63" i="64" s="1"/>
  <c r="M3" i="64" s="1"/>
  <c r="M63" i="64" s="1"/>
  <c r="N3" i="64" s="1"/>
  <c r="N63" i="64" s="1"/>
  <c r="O3" i="64" s="1"/>
  <c r="O63" i="64" s="1"/>
  <c r="P3" i="64" s="1"/>
  <c r="P63" i="64" s="1"/>
  <c r="Q3" i="64" s="1"/>
  <c r="Q63" i="64" s="1"/>
  <c r="R3" i="64" s="1"/>
  <c r="R63" i="64" s="1"/>
  <c r="S3" i="64" s="1"/>
  <c r="S63" i="64" s="1"/>
  <c r="T3" i="64" s="1"/>
  <c r="T63" i="64" s="1"/>
  <c r="U3" i="64" s="1"/>
  <c r="U63" i="64" s="1"/>
  <c r="V3" i="64" s="1"/>
  <c r="V63" i="64" s="1"/>
  <c r="W3" i="64" s="1"/>
  <c r="W63" i="64" s="1"/>
  <c r="X3" i="64" s="1"/>
  <c r="X63" i="64" s="1"/>
  <c r="Y3" i="64" s="1"/>
  <c r="Y63" i="64" s="1"/>
  <c r="Z3" i="64" s="1"/>
  <c r="Z63" i="64" s="1"/>
  <c r="AA3" i="64" s="1"/>
  <c r="AA63" i="64" s="1"/>
  <c r="AB3" i="64" s="1"/>
  <c r="AB63" i="64" s="1"/>
  <c r="AC3" i="64" s="1"/>
  <c r="AC63" i="64" s="1"/>
  <c r="AD3" i="64" s="1"/>
  <c r="AD63" i="64" s="1"/>
  <c r="AE3" i="64" s="1"/>
  <c r="AE63" i="64" s="1"/>
  <c r="AF3" i="64" s="1"/>
  <c r="AF63" i="64" s="1"/>
  <c r="AG3" i="64" s="1"/>
  <c r="AG63" i="64" s="1"/>
  <c r="AH3" i="64" s="1"/>
  <c r="AH63" i="64" s="1"/>
  <c r="AI3" i="64" s="1"/>
  <c r="AI63" i="64" s="1"/>
  <c r="AJ3" i="64" s="1"/>
  <c r="AJ63" i="64" s="1"/>
  <c r="AR68" i="58"/>
  <c r="AR75" i="57"/>
  <c r="AR98" i="56"/>
  <c r="AR101" i="56" s="1"/>
  <c r="AR96" i="56"/>
  <c r="AM62" i="64" l="1"/>
  <c r="F3" i="65"/>
  <c r="F58" i="65" s="1"/>
  <c r="G3" i="65" s="1"/>
  <c r="G58" i="65" s="1"/>
  <c r="H3" i="65" s="1"/>
  <c r="H58" i="65" s="1"/>
  <c r="I3" i="65" s="1"/>
  <c r="I58" i="65" s="1"/>
  <c r="J3" i="65" s="1"/>
  <c r="J58" i="65" s="1"/>
  <c r="K3" i="65" s="1"/>
  <c r="K58" i="65" s="1"/>
  <c r="L3" i="65" s="1"/>
  <c r="L58" i="65" s="1"/>
  <c r="M3" i="65" s="1"/>
  <c r="M58" i="65" s="1"/>
  <c r="N3" i="65" s="1"/>
  <c r="N58" i="65" s="1"/>
  <c r="O3" i="65" s="1"/>
  <c r="AR78" i="57"/>
  <c r="AR81" i="57" s="1"/>
  <c r="AR76" i="57"/>
  <c r="AR69" i="58"/>
  <c r="AR79" i="59"/>
  <c r="AR80" i="59" l="1"/>
  <c r="AR70" i="58"/>
  <c r="AR72" i="58"/>
  <c r="AR75" i="58" s="1"/>
  <c r="AR81" i="59" l="1"/>
  <c r="AR83" i="59"/>
  <c r="AR86" i="59" s="1"/>
  <c r="AN98" i="50" l="1"/>
  <c r="AO98" i="50"/>
  <c r="AN97" i="51"/>
  <c r="AO97" i="51"/>
  <c r="AO71" i="48"/>
  <c r="AN71" i="48"/>
  <c r="AO105" i="51" l="1"/>
  <c r="AO102" i="51"/>
  <c r="AO99" i="51"/>
  <c r="AO100" i="51" s="1"/>
  <c r="AO106" i="50"/>
  <c r="AO103" i="50"/>
  <c r="AO100" i="50"/>
  <c r="AO101" i="50" s="1"/>
  <c r="AO79" i="48"/>
  <c r="AR121" i="52"/>
  <c r="AO73" i="48"/>
  <c r="AO76" i="48"/>
  <c r="AR126" i="52" l="1"/>
  <c r="AS112" i="53" s="1"/>
  <c r="AS115" i="53" s="1"/>
  <c r="AR129" i="52"/>
  <c r="AT100" i="56" s="1"/>
  <c r="AO101" i="51"/>
  <c r="AO103" i="51"/>
  <c r="AO106" i="51" s="1"/>
  <c r="AO102" i="50"/>
  <c r="AO104" i="50"/>
  <c r="AO107" i="50" s="1"/>
  <c r="AS107" i="53"/>
  <c r="AT96" i="55"/>
  <c r="AT108" i="54"/>
  <c r="AT92" i="56"/>
  <c r="AT72" i="57"/>
  <c r="AT66" i="58"/>
  <c r="AT77" i="59"/>
  <c r="AT79" i="60"/>
  <c r="AO74" i="48"/>
  <c r="AR123" i="52"/>
  <c r="AT74" i="58" l="1"/>
  <c r="AT82" i="59"/>
  <c r="AT101" i="55"/>
  <c r="AT104" i="55"/>
  <c r="AT85" i="59"/>
  <c r="AT97" i="56"/>
  <c r="AT80" i="57"/>
  <c r="AT116" i="54"/>
  <c r="AT113" i="54"/>
  <c r="AT71" i="58"/>
  <c r="AT87" i="60"/>
  <c r="AT77" i="57"/>
  <c r="AR124" i="52"/>
  <c r="AS109" i="53"/>
  <c r="AS110" i="53" s="1"/>
  <c r="AT110" i="54"/>
  <c r="AT111" i="54" s="1"/>
  <c r="AT98" i="55"/>
  <c r="AT99" i="55" s="1"/>
  <c r="AT100" i="55" s="1"/>
  <c r="AT94" i="56"/>
  <c r="AT95" i="56" s="1"/>
  <c r="AT74" i="57"/>
  <c r="AT75" i="57" s="1"/>
  <c r="AT68" i="58"/>
  <c r="AT69" i="58" s="1"/>
  <c r="AT70" i="58" s="1"/>
  <c r="AT79" i="59"/>
  <c r="AT80" i="59" s="1"/>
  <c r="AT81" i="59" s="1"/>
  <c r="AO77" i="48"/>
  <c r="AO80" i="48" s="1"/>
  <c r="AO83" i="48" s="1"/>
  <c r="AO110" i="50" s="1"/>
  <c r="AO109" i="51" s="1"/>
  <c r="AO133" i="52" s="1"/>
  <c r="AQ118" i="53" s="1"/>
  <c r="AQ119" i="54" s="1"/>
  <c r="AQ107" i="55" s="1"/>
  <c r="AQ103" i="56" s="1"/>
  <c r="AQ83" i="57" s="1"/>
  <c r="AQ51" i="78" s="1"/>
  <c r="AO75" i="48"/>
  <c r="AQ59" i="76" l="1"/>
  <c r="AQ68" i="77"/>
  <c r="AQ55" i="74"/>
  <c r="AQ56" i="75"/>
  <c r="AQ54" i="72"/>
  <c r="AQ53" i="73"/>
  <c r="AQ52" i="70"/>
  <c r="AQ50" i="71"/>
  <c r="AQ49" i="69"/>
  <c r="AQ52" i="67"/>
  <c r="AQ54" i="68"/>
  <c r="AQ62" i="65"/>
  <c r="AQ50" i="66"/>
  <c r="AT72" i="58"/>
  <c r="AT75" i="58" s="1"/>
  <c r="AR127" i="52"/>
  <c r="AR125" i="52"/>
  <c r="AS113" i="53"/>
  <c r="AS116" i="53" s="1"/>
  <c r="AS111" i="53"/>
  <c r="AT96" i="56"/>
  <c r="AT98" i="56"/>
  <c r="AT101" i="56" s="1"/>
  <c r="AT102" i="55"/>
  <c r="AT105" i="55" s="1"/>
  <c r="AT76" i="57"/>
  <c r="AT78" i="57"/>
  <c r="AT81" i="57" s="1"/>
  <c r="AQ67" i="64"/>
  <c r="AQ76" i="63"/>
  <c r="AQ77" i="58"/>
  <c r="AQ88" i="59" s="1"/>
  <c r="AQ69" i="62"/>
  <c r="AT114" i="54"/>
  <c r="AT117" i="54" s="1"/>
  <c r="AT112" i="54"/>
  <c r="AT83" i="59"/>
  <c r="AT86" i="59" s="1"/>
  <c r="AU127" i="52" l="1"/>
  <c r="AR130" i="52"/>
  <c r="AA9" i="33" l="1"/>
  <c r="AA11" i="33" s="1"/>
  <c r="AA31" i="33"/>
  <c r="AP65" i="61" l="1"/>
  <c r="AQ70" i="61" l="1"/>
  <c r="AQ67" i="61"/>
  <c r="AQ68" i="61" s="1"/>
  <c r="AP79" i="60"/>
  <c r="AQ71" i="61" l="1"/>
  <c r="AQ74" i="61" s="1"/>
  <c r="AQ69" i="61"/>
  <c r="AQ81" i="60"/>
  <c r="AQ84" i="60"/>
  <c r="AR84" i="60" s="1"/>
  <c r="AT84" i="60" s="1"/>
  <c r="AQ82" i="60" l="1"/>
  <c r="AR81" i="60"/>
  <c r="AQ75" i="61"/>
  <c r="AQ76" i="61"/>
  <c r="AR82" i="60" l="1"/>
  <c r="AT81" i="60"/>
  <c r="AT82" i="60" s="1"/>
  <c r="AQ85" i="60"/>
  <c r="AQ83" i="60"/>
  <c r="AU85" i="60" l="1"/>
  <c r="AQ88" i="60"/>
  <c r="AT85" i="60"/>
  <c r="AT83" i="60"/>
  <c r="AR85" i="60"/>
  <c r="AR88" i="60" s="1"/>
  <c r="AR83" i="60"/>
  <c r="AT90" i="60" l="1"/>
  <c r="AV85" i="60"/>
  <c r="AT88" i="60"/>
  <c r="AQ89" i="60"/>
  <c r="AQ90" i="60"/>
  <c r="AR90" i="60" s="1"/>
  <c r="AK16" i="65" l="1"/>
  <c r="O23" i="65"/>
  <c r="O58" i="65" s="1"/>
  <c r="P3" i="65" s="1"/>
  <c r="P58" i="65" s="1"/>
  <c r="Q3" i="65" s="1"/>
  <c r="Q58" i="65" s="1"/>
  <c r="R3" i="65" s="1"/>
  <c r="R58" i="65" s="1"/>
  <c r="S3" i="65" s="1"/>
  <c r="S58" i="65" s="1"/>
  <c r="T3" i="65" s="1"/>
  <c r="T58" i="65" s="1"/>
  <c r="U3" i="65" s="1"/>
  <c r="U58" i="65" s="1"/>
  <c r="V3" i="65" s="1"/>
  <c r="V58" i="65" s="1"/>
  <c r="W3" i="65" s="1"/>
  <c r="W58" i="65" s="1"/>
  <c r="X3" i="65" s="1"/>
  <c r="X58" i="65" s="1"/>
  <c r="Y3" i="65" s="1"/>
  <c r="Y58" i="65" s="1"/>
  <c r="Z3" i="65" s="1"/>
  <c r="Z58" i="65" s="1"/>
  <c r="AA3" i="65" s="1"/>
  <c r="AA58" i="65" s="1"/>
  <c r="AB3" i="65" s="1"/>
  <c r="AB58" i="65" s="1"/>
  <c r="AC3" i="65" s="1"/>
  <c r="AC58" i="65" s="1"/>
  <c r="AD3" i="65" s="1"/>
  <c r="AD58" i="65" s="1"/>
  <c r="AE3" i="65" s="1"/>
  <c r="AE58" i="65" s="1"/>
  <c r="AF3" i="65" s="1"/>
  <c r="AF58" i="65" s="1"/>
  <c r="AG3" i="65" s="1"/>
  <c r="AG58" i="65" s="1"/>
  <c r="AH3" i="65" s="1"/>
  <c r="AH58" i="65" s="1"/>
  <c r="AI3" i="65" s="1"/>
  <c r="AI58" i="65" s="1"/>
  <c r="AJ3" i="65" s="1"/>
  <c r="AJ58" i="65" s="1"/>
  <c r="F3" i="66" s="1"/>
  <c r="F46" i="66" s="1"/>
  <c r="G3" i="66" s="1"/>
  <c r="G46" i="66" s="1"/>
  <c r="H3" i="66" s="1"/>
  <c r="H46" i="66" s="1"/>
  <c r="I3" i="66" s="1"/>
  <c r="I46" i="66" s="1"/>
  <c r="J3" i="66" s="1"/>
  <c r="J46" i="66" s="1"/>
  <c r="K3" i="66" s="1"/>
  <c r="K46" i="66" s="1"/>
  <c r="L3" i="66" s="1"/>
  <c r="L46" i="66" s="1"/>
  <c r="M3" i="66" s="1"/>
  <c r="M46" i="66" s="1"/>
  <c r="N3" i="66" s="1"/>
  <c r="N46" i="66" s="1"/>
  <c r="O3" i="66" s="1"/>
  <c r="O46" i="66" s="1"/>
  <c r="P3" i="66" s="1"/>
  <c r="P46" i="66" s="1"/>
  <c r="Q3" i="66" s="1"/>
  <c r="Q46" i="66" s="1"/>
  <c r="R3" i="66" s="1"/>
  <c r="R46" i="66" s="1"/>
  <c r="S3" i="66" s="1"/>
  <c r="S46" i="66" s="1"/>
  <c r="T3" i="66" s="1"/>
  <c r="T46" i="66" s="1"/>
  <c r="U3" i="66" s="1"/>
  <c r="U46" i="66" s="1"/>
  <c r="V3" i="66" s="1"/>
  <c r="V46" i="66" s="1"/>
  <c r="W3" i="66" s="1"/>
  <c r="W46" i="66" s="1"/>
  <c r="X3" i="66" s="1"/>
  <c r="X46" i="66" s="1"/>
  <c r="Y3" i="66" s="1"/>
  <c r="Y46" i="66" s="1"/>
  <c r="Z3" i="66" s="1"/>
  <c r="Z46" i="66" s="1"/>
  <c r="AA3" i="66" s="1"/>
  <c r="AA46" i="66" s="1"/>
  <c r="AB3" i="66" s="1"/>
  <c r="AB46" i="66" s="1"/>
  <c r="AC3" i="66" s="1"/>
  <c r="AC46" i="66" s="1"/>
  <c r="AD3" i="66" s="1"/>
  <c r="AD46" i="66" s="1"/>
  <c r="AE3" i="66" s="1"/>
  <c r="AE46" i="66" s="1"/>
  <c r="AF3" i="66" s="1"/>
  <c r="AF46" i="66" s="1"/>
  <c r="AG3" i="66" s="1"/>
  <c r="AG46" i="66" s="1"/>
  <c r="AH3" i="66" s="1"/>
  <c r="AH46" i="66" s="1"/>
  <c r="F3" i="67" s="1"/>
  <c r="F48" i="67" s="1"/>
  <c r="G3" i="67" s="1"/>
  <c r="G48" i="67" s="1"/>
  <c r="H3" i="67" s="1"/>
  <c r="H48" i="67" s="1"/>
  <c r="I3" i="67" s="1"/>
  <c r="I48" i="67" s="1"/>
  <c r="J3" i="67" s="1"/>
  <c r="J48" i="67" s="1"/>
  <c r="K3" i="67" s="1"/>
  <c r="K48" i="67" s="1"/>
  <c r="L3" i="67" s="1"/>
  <c r="L48" i="67" s="1"/>
  <c r="M3" i="67" s="1"/>
  <c r="M48" i="67" s="1"/>
  <c r="N3" i="67" s="1"/>
  <c r="N48" i="67" s="1"/>
  <c r="O3" i="67" s="1"/>
  <c r="O48" i="67" s="1"/>
  <c r="P3" i="67" s="1"/>
  <c r="P48" i="67" s="1"/>
  <c r="Q3" i="67" s="1"/>
  <c r="Q48" i="67" s="1"/>
  <c r="R3" i="67" s="1"/>
  <c r="R48" i="67" s="1"/>
  <c r="S3" i="67" s="1"/>
  <c r="S48" i="67" s="1"/>
  <c r="T3" i="67" s="1"/>
  <c r="T48" i="67" s="1"/>
  <c r="U3" i="67" s="1"/>
  <c r="U48" i="67" s="1"/>
  <c r="V3" i="67" s="1"/>
  <c r="V48" i="67" s="1"/>
  <c r="W3" i="67" s="1"/>
  <c r="W48" i="67" s="1"/>
  <c r="X3" i="67" s="1"/>
  <c r="X48" i="67" s="1"/>
  <c r="Y3" i="67" s="1"/>
  <c r="Y48" i="67" s="1"/>
  <c r="Z3" i="67" s="1"/>
  <c r="Z48" i="67" s="1"/>
  <c r="AA3" i="67" s="1"/>
  <c r="AA48" i="67" s="1"/>
  <c r="AB3" i="67" s="1"/>
  <c r="AB48" i="67" s="1"/>
  <c r="AC3" i="67" s="1"/>
  <c r="AC48" i="67" s="1"/>
  <c r="AD3" i="67" s="1"/>
  <c r="AD48" i="67" s="1"/>
  <c r="AE3" i="67" s="1"/>
  <c r="AE48" i="67" s="1"/>
  <c r="AF3" i="67" s="1"/>
  <c r="AF48" i="67" s="1"/>
  <c r="AG3" i="67" s="1"/>
  <c r="AG48" i="67" s="1"/>
  <c r="AK15" i="65"/>
  <c r="AH3" i="67" l="1"/>
  <c r="AH48" i="67" s="1"/>
  <c r="AI3" i="67" s="1"/>
  <c r="AI48" i="67" s="1"/>
  <c r="AJ3" i="67" s="1"/>
  <c r="AJ48" i="67" s="1"/>
  <c r="AK23" i="65"/>
  <c r="D49" i="65" s="1"/>
  <c r="D57" i="65" s="1"/>
  <c r="AL57" i="65" s="1"/>
  <c r="AM47" i="67" l="1"/>
  <c r="F3" i="68"/>
  <c r="F50" i="68" s="1"/>
  <c r="G3" i="68" s="1"/>
  <c r="G50" i="68" s="1"/>
  <c r="H3" i="68" s="1"/>
  <c r="H50" i="68" s="1"/>
  <c r="I3" i="68" s="1"/>
  <c r="I50" i="68" s="1"/>
  <c r="J3" i="68" s="1"/>
  <c r="J50" i="68" s="1"/>
  <c r="K3" i="68" s="1"/>
  <c r="K50" i="68" s="1"/>
  <c r="L3" i="68" s="1"/>
  <c r="L50" i="68" s="1"/>
  <c r="M3" i="68" s="1"/>
  <c r="M50" i="68" s="1"/>
  <c r="N3" i="68" s="1"/>
  <c r="N50" i="68" s="1"/>
  <c r="O3" i="68" s="1"/>
  <c r="O50" i="68" s="1"/>
  <c r="P3" i="68" s="1"/>
  <c r="P50" i="68" s="1"/>
  <c r="Q3" i="68" s="1"/>
  <c r="Q50" i="68" s="1"/>
  <c r="R3" i="68" s="1"/>
  <c r="R50" i="68" s="1"/>
  <c r="S3" i="68" s="1"/>
  <c r="S50" i="68" s="1"/>
  <c r="T3" i="68" s="1"/>
  <c r="T50" i="68" s="1"/>
  <c r="U3" i="68" s="1"/>
  <c r="U50" i="68" s="1"/>
  <c r="V3" i="68" s="1"/>
  <c r="V50" i="68" s="1"/>
  <c r="W3" i="68" s="1"/>
  <c r="W50" i="68" s="1"/>
  <c r="X3" i="68" s="1"/>
  <c r="X50" i="68" s="1"/>
  <c r="Y3" i="68" s="1"/>
  <c r="Y50" i="68" s="1"/>
  <c r="Z3" i="68" s="1"/>
  <c r="Z50" i="68" s="1"/>
  <c r="AA3" i="68" s="1"/>
  <c r="AA50" i="68" s="1"/>
  <c r="AB3" i="68" s="1"/>
  <c r="AB50" i="68" s="1"/>
  <c r="AC3" i="68" s="1"/>
  <c r="AC50" i="68" s="1"/>
  <c r="AD3" i="68" s="1"/>
  <c r="AD50" i="68" s="1"/>
  <c r="AE3" i="68" s="1"/>
  <c r="AE50" i="68" s="1"/>
  <c r="AF3" i="68" s="1"/>
  <c r="AF50" i="68" s="1"/>
  <c r="AG3" i="68" s="1"/>
  <c r="AG50" i="68" s="1"/>
  <c r="AH3" i="68" s="1"/>
  <c r="AH50" i="68" s="1"/>
  <c r="AI3" i="68" s="1"/>
  <c r="AI50" i="68" s="1"/>
  <c r="AL23" i="65"/>
  <c r="AM57" i="65" s="1"/>
  <c r="AJ50" i="68" l="1"/>
  <c r="AM49" i="68" s="1"/>
  <c r="F3" i="69"/>
  <c r="F45" i="69" s="1"/>
  <c r="G3" i="69" s="1"/>
  <c r="G45" i="69" s="1"/>
  <c r="H3" i="69" s="1"/>
  <c r="H45" i="69" s="1"/>
  <c r="I3" i="69" s="1"/>
  <c r="I45" i="69" s="1"/>
  <c r="J3" i="69" s="1"/>
  <c r="J45" i="69" s="1"/>
  <c r="K3" i="69" s="1"/>
  <c r="K45" i="69" s="1"/>
  <c r="L3" i="69" s="1"/>
  <c r="L45" i="69" s="1"/>
  <c r="M3" i="69" s="1"/>
  <c r="M45" i="69" s="1"/>
  <c r="N3" i="69" s="1"/>
  <c r="N45" i="69" s="1"/>
  <c r="O3" i="69" s="1"/>
  <c r="O45" i="69" s="1"/>
  <c r="P3" i="69" s="1"/>
  <c r="P45" i="69" s="1"/>
  <c r="Q3" i="69" s="1"/>
  <c r="Q45" i="69" s="1"/>
  <c r="R3" i="69" s="1"/>
  <c r="R45" i="69" s="1"/>
  <c r="S3" i="69" s="1"/>
  <c r="S45" i="69" s="1"/>
  <c r="T3" i="69" s="1"/>
  <c r="T45" i="69" s="1"/>
  <c r="U3" i="69" s="1"/>
  <c r="U45" i="69" s="1"/>
  <c r="V3" i="69" s="1"/>
  <c r="V45" i="69" s="1"/>
  <c r="W3" i="69" s="1"/>
  <c r="W45" i="69" s="1"/>
  <c r="X3" i="69" s="1"/>
  <c r="X45" i="69" s="1"/>
  <c r="Y3" i="69" s="1"/>
  <c r="Y45" i="69" s="1"/>
  <c r="Z3" i="69" s="1"/>
  <c r="Z45" i="69" s="1"/>
  <c r="AA3" i="69" s="1"/>
  <c r="AA45" i="69" s="1"/>
  <c r="AB3" i="69" s="1"/>
  <c r="AB45" i="69" s="1"/>
  <c r="AC3" i="69" s="1"/>
  <c r="AC45" i="69" s="1"/>
  <c r="AD3" i="69" s="1"/>
  <c r="AD45" i="69" s="1"/>
  <c r="AE3" i="69" s="1"/>
  <c r="AE45" i="69" s="1"/>
  <c r="AF3" i="69" s="1"/>
  <c r="AF45" i="69" s="1"/>
  <c r="AG3" i="69" s="1"/>
  <c r="AG45" i="69" s="1"/>
  <c r="AH3" i="69" s="1"/>
  <c r="AH45" i="69" s="1"/>
  <c r="AI3" i="69" s="1"/>
  <c r="AI45" i="69" s="1"/>
  <c r="AJ3" i="69" s="1"/>
  <c r="AJ45" i="69" s="1"/>
  <c r="AM44" i="69" l="1"/>
  <c r="F3" i="70"/>
  <c r="F48" i="70" s="1"/>
  <c r="G3" i="70" s="1"/>
  <c r="G48" i="70" s="1"/>
  <c r="H3" i="70" s="1"/>
  <c r="H48" i="70" s="1"/>
  <c r="I3" i="70" s="1"/>
  <c r="I48" i="70" s="1"/>
  <c r="J3" i="70" s="1"/>
  <c r="J48" i="70" s="1"/>
  <c r="K3" i="70" s="1"/>
  <c r="K48" i="70" s="1"/>
  <c r="L3" i="70" s="1"/>
  <c r="L48" i="70" s="1"/>
  <c r="M3" i="70" s="1"/>
  <c r="M48" i="70" s="1"/>
  <c r="N3" i="70" s="1"/>
  <c r="N48" i="70" s="1"/>
  <c r="O3" i="70" s="1"/>
  <c r="O48" i="70" s="1"/>
  <c r="P3" i="70" s="1"/>
  <c r="P48" i="70" s="1"/>
  <c r="Q3" i="70" s="1"/>
  <c r="Q48" i="70" s="1"/>
  <c r="R3" i="70" s="1"/>
  <c r="R48" i="70" s="1"/>
  <c r="S3" i="70" s="1"/>
  <c r="S48" i="70" s="1"/>
  <c r="T3" i="70" s="1"/>
  <c r="T48" i="70" s="1"/>
  <c r="U3" i="70" s="1"/>
  <c r="U48" i="70" s="1"/>
  <c r="V3" i="70" s="1"/>
  <c r="V48" i="70" s="1"/>
  <c r="W3" i="70" s="1"/>
  <c r="W48" i="70" s="1"/>
  <c r="X3" i="70" s="1"/>
  <c r="X48" i="70" s="1"/>
  <c r="Y3" i="70" s="1"/>
  <c r="Y48" i="70" s="1"/>
  <c r="Z3" i="70" s="1"/>
  <c r="Z48" i="70" s="1"/>
  <c r="AA3" i="70" s="1"/>
  <c r="AA48" i="70" s="1"/>
  <c r="AB3" i="70" s="1"/>
  <c r="AB48" i="70" s="1"/>
  <c r="AC3" i="70" s="1"/>
  <c r="AC48" i="70" s="1"/>
  <c r="AD3" i="70" s="1"/>
  <c r="AD48" i="70" s="1"/>
  <c r="AE3" i="70" s="1"/>
  <c r="AE48" i="70" s="1"/>
  <c r="AF3" i="70" s="1"/>
  <c r="AF48" i="70" s="1"/>
  <c r="AG3" i="70" s="1"/>
  <c r="AG48" i="70" s="1"/>
  <c r="AH3" i="70" s="1"/>
  <c r="AH48" i="70" s="1"/>
  <c r="AI3" i="70" s="1"/>
  <c r="AI48" i="70" s="1"/>
  <c r="AJ3" i="70" l="1"/>
  <c r="AJ48" i="70" s="1"/>
  <c r="AM47" i="70" s="1"/>
  <c r="F3" i="71"/>
  <c r="F46" i="71" s="1"/>
  <c r="G3" i="71" s="1"/>
  <c r="G46" i="71" s="1"/>
  <c r="H3" i="71" s="1"/>
  <c r="H46" i="71" s="1"/>
  <c r="I3" i="71" s="1"/>
  <c r="I46" i="71" s="1"/>
  <c r="J3" i="71" s="1"/>
  <c r="J46" i="71" s="1"/>
  <c r="K3" i="71" s="1"/>
  <c r="K46" i="71" s="1"/>
  <c r="L3" i="71" s="1"/>
  <c r="L46" i="71" s="1"/>
  <c r="M3" i="71" s="1"/>
  <c r="M46" i="71" s="1"/>
  <c r="N3" i="71" s="1"/>
  <c r="N46" i="71" s="1"/>
  <c r="O3" i="71" s="1"/>
  <c r="O46" i="71" s="1"/>
  <c r="P3" i="71" s="1"/>
  <c r="P46" i="71" s="1"/>
  <c r="Q3" i="71" s="1"/>
  <c r="Q46" i="71" s="1"/>
  <c r="R3" i="71" s="1"/>
  <c r="R46" i="71" s="1"/>
  <c r="S3" i="71" s="1"/>
  <c r="S46" i="71" s="1"/>
  <c r="T3" i="71" s="1"/>
  <c r="T46" i="71" s="1"/>
  <c r="U3" i="71" s="1"/>
  <c r="U46" i="71" s="1"/>
  <c r="V3" i="71" s="1"/>
  <c r="V46" i="71" s="1"/>
  <c r="W3" i="71" s="1"/>
  <c r="W46" i="71" s="1"/>
  <c r="X3" i="71" s="1"/>
  <c r="X46" i="71" s="1"/>
  <c r="Y3" i="71" s="1"/>
  <c r="Y46" i="71" s="1"/>
  <c r="Z3" i="71" s="1"/>
  <c r="Z46" i="71" s="1"/>
  <c r="AA3" i="71" s="1"/>
  <c r="AA46" i="71" s="1"/>
  <c r="AB3" i="71" s="1"/>
  <c r="AB46" i="71" s="1"/>
  <c r="AC3" i="71" s="1"/>
  <c r="AC46" i="71" s="1"/>
  <c r="AD3" i="71" s="1"/>
  <c r="AD46" i="71" s="1"/>
  <c r="AE3" i="71" s="1"/>
  <c r="AE46" i="71" s="1"/>
  <c r="AF3" i="71" s="1"/>
  <c r="AF46" i="71" s="1"/>
  <c r="AG3" i="71" s="1"/>
  <c r="AG46" i="71" s="1"/>
  <c r="AH3" i="71" s="1"/>
  <c r="AH46" i="71" s="1"/>
  <c r="AI3" i="71" s="1"/>
  <c r="AI46" i="71" s="1"/>
  <c r="AJ3" i="71" s="1"/>
  <c r="AJ46" i="71" s="1"/>
  <c r="AM45" i="71" l="1"/>
  <c r="F3" i="72"/>
  <c r="F50" i="72" s="1"/>
  <c r="G3" i="72" s="1"/>
  <c r="G50" i="72" s="1"/>
  <c r="H3" i="72" s="1"/>
  <c r="H50" i="72" s="1"/>
  <c r="I3" i="72" s="1"/>
  <c r="I50" i="72" s="1"/>
  <c r="J3" i="72" s="1"/>
  <c r="J50" i="72" s="1"/>
  <c r="K3" i="72" s="1"/>
  <c r="K50" i="72" s="1"/>
  <c r="L3" i="72" s="1"/>
  <c r="L50" i="72" s="1"/>
  <c r="M3" i="72" s="1"/>
  <c r="M50" i="72" s="1"/>
  <c r="N3" i="72" s="1"/>
  <c r="N50" i="72" s="1"/>
  <c r="O3" i="72" s="1"/>
  <c r="O50" i="72" s="1"/>
  <c r="P3" i="72" s="1"/>
  <c r="P50" i="72" s="1"/>
  <c r="Q3" i="72" s="1"/>
  <c r="Q50" i="72" s="1"/>
  <c r="R3" i="72" s="1"/>
  <c r="R50" i="72" s="1"/>
  <c r="S3" i="72" s="1"/>
  <c r="S50" i="72" s="1"/>
  <c r="T3" i="72" s="1"/>
  <c r="T50" i="72" s="1"/>
  <c r="U3" i="72" s="1"/>
  <c r="U50" i="72" s="1"/>
  <c r="V3" i="72" s="1"/>
  <c r="V50" i="72" s="1"/>
  <c r="W3" i="72" s="1"/>
  <c r="W50" i="72" s="1"/>
  <c r="X3" i="72" s="1"/>
  <c r="X50" i="72" s="1"/>
  <c r="Y3" i="72" s="1"/>
  <c r="Y50" i="72" s="1"/>
  <c r="Z3" i="72" s="1"/>
  <c r="Z50" i="72" s="1"/>
  <c r="AA3" i="72" s="1"/>
  <c r="AA50" i="72" s="1"/>
  <c r="AB3" i="72" s="1"/>
  <c r="AB50" i="72" s="1"/>
  <c r="AC3" i="72" s="1"/>
  <c r="AC50" i="72" s="1"/>
  <c r="AD3" i="72" s="1"/>
  <c r="AD50" i="72" s="1"/>
  <c r="AE3" i="72" s="1"/>
  <c r="AE50" i="72" s="1"/>
  <c r="AF3" i="72" s="1"/>
  <c r="AF50" i="72" s="1"/>
  <c r="AG3" i="72" s="1"/>
  <c r="AG50" i="72" s="1"/>
  <c r="AH3" i="72" s="1"/>
  <c r="AH50" i="72" s="1"/>
  <c r="AI3" i="72" s="1"/>
  <c r="AI50" i="72" s="1"/>
  <c r="AJ3" i="72" s="1"/>
  <c r="AJ50" i="72" s="1"/>
  <c r="AM49" i="72" l="1"/>
  <c r="F3" i="73"/>
  <c r="F49" i="73" s="1"/>
  <c r="G3" i="73" s="1"/>
  <c r="G49" i="73" s="1"/>
  <c r="H3" i="73" s="1"/>
  <c r="H49" i="73" s="1"/>
  <c r="I3" i="73" s="1"/>
  <c r="I49" i="73" s="1"/>
  <c r="J3" i="73" s="1"/>
  <c r="J49" i="73" s="1"/>
  <c r="K3" i="73" s="1"/>
  <c r="K49" i="73" s="1"/>
  <c r="L3" i="73" s="1"/>
  <c r="L49" i="73" s="1"/>
  <c r="M3" i="73" s="1"/>
  <c r="M49" i="73" s="1"/>
  <c r="N3" i="73" s="1"/>
  <c r="N49" i="73" s="1"/>
  <c r="O3" i="73" s="1"/>
  <c r="O49" i="73" s="1"/>
  <c r="P3" i="73" s="1"/>
  <c r="P49" i="73" s="1"/>
  <c r="Q3" i="73" s="1"/>
  <c r="Q49" i="73" s="1"/>
  <c r="R3" i="73" s="1"/>
  <c r="R49" i="73" s="1"/>
  <c r="S3" i="73" s="1"/>
  <c r="S49" i="73" s="1"/>
  <c r="T3" i="73" s="1"/>
  <c r="T49" i="73" s="1"/>
  <c r="U3" i="73" s="1"/>
  <c r="U49" i="73" s="1"/>
  <c r="V3" i="73" s="1"/>
  <c r="V49" i="73" s="1"/>
  <c r="W3" i="73" s="1"/>
  <c r="W49" i="73" s="1"/>
  <c r="X3" i="73" s="1"/>
  <c r="X49" i="73" s="1"/>
  <c r="Y3" i="73" s="1"/>
  <c r="Y49" i="73" s="1"/>
  <c r="Z3" i="73" s="1"/>
  <c r="Z49" i="73" s="1"/>
  <c r="AA3" i="73" s="1"/>
  <c r="AA49" i="73" s="1"/>
  <c r="AB3" i="73" s="1"/>
  <c r="AB49" i="73" s="1"/>
  <c r="AC3" i="73" s="1"/>
  <c r="AC49" i="73" s="1"/>
  <c r="AD3" i="73" s="1"/>
  <c r="AD49" i="73" s="1"/>
  <c r="AE3" i="73" s="1"/>
  <c r="AE49" i="73" s="1"/>
  <c r="AF3" i="73" s="1"/>
  <c r="AF49" i="73" s="1"/>
  <c r="AG3" i="73" s="1"/>
  <c r="AG49" i="73" s="1"/>
  <c r="AH3" i="73" s="1"/>
  <c r="AH49" i="73" s="1"/>
  <c r="AI3" i="73" s="1"/>
  <c r="AI49" i="73" s="1"/>
  <c r="AJ3" i="73" s="1"/>
  <c r="AJ49" i="73" s="1"/>
  <c r="AM48" i="73" l="1"/>
  <c r="F3" i="74"/>
  <c r="F51" i="74" s="1"/>
  <c r="G3" i="74" s="1"/>
  <c r="G51" i="74" s="1"/>
  <c r="H3" i="74" s="1"/>
  <c r="H51" i="74" s="1"/>
  <c r="I3" i="74" s="1"/>
  <c r="I51" i="74" s="1"/>
  <c r="J3" i="74" s="1"/>
  <c r="J51" i="74" s="1"/>
  <c r="K3" i="74" s="1"/>
  <c r="K51" i="74" s="1"/>
  <c r="L3" i="74" s="1"/>
  <c r="L51" i="74" s="1"/>
  <c r="M3" i="74" s="1"/>
  <c r="M51" i="74" s="1"/>
  <c r="N3" i="74" l="1"/>
  <c r="N51" i="74" s="1"/>
  <c r="O3" i="74" s="1"/>
  <c r="O51" i="74" s="1"/>
  <c r="P3" i="74" s="1"/>
  <c r="P51" i="74" s="1"/>
  <c r="Q3" i="74" s="1"/>
  <c r="Q51" i="74" s="1"/>
  <c r="R3" i="74" s="1"/>
  <c r="R51" i="74" s="1"/>
  <c r="S3" i="74" s="1"/>
  <c r="S51" i="74" s="1"/>
  <c r="T3" i="74" s="1"/>
  <c r="T51" i="74" s="1"/>
  <c r="U3" i="74" s="1"/>
  <c r="U51" i="74" s="1"/>
  <c r="V3" i="74" s="1"/>
  <c r="V51" i="74" s="1"/>
  <c r="W3" i="74" s="1"/>
  <c r="W51" i="74" s="1"/>
  <c r="X3" i="74" s="1"/>
  <c r="X51" i="74" s="1"/>
  <c r="Y3" i="74" s="1"/>
  <c r="Y51" i="74" s="1"/>
  <c r="Z3" i="74" s="1"/>
  <c r="Z51" i="74" s="1"/>
  <c r="AA3" i="74" s="1"/>
  <c r="AA51" i="74" s="1"/>
  <c r="AB3" i="74" s="1"/>
  <c r="AB51" i="74" s="1"/>
  <c r="AC3" i="74" s="1"/>
  <c r="AC51" i="74" s="1"/>
  <c r="AD3" i="74" s="1"/>
  <c r="AD51" i="74" s="1"/>
  <c r="AE3" i="74" s="1"/>
  <c r="AE51" i="74" s="1"/>
  <c r="AF3" i="74" s="1"/>
  <c r="AF51" i="74" s="1"/>
  <c r="AG3" i="74" s="1"/>
  <c r="AG51" i="74" s="1"/>
  <c r="AH3" i="74" s="1"/>
  <c r="AH51" i="74" s="1"/>
  <c r="AI3" i="74" s="1"/>
  <c r="AI51" i="74" s="1"/>
  <c r="AJ3" i="74" s="1"/>
  <c r="AJ51" i="74" s="1"/>
  <c r="M54" i="74"/>
  <c r="AM50" i="74" l="1"/>
  <c r="F3" i="75"/>
  <c r="F52" i="75" s="1"/>
  <c r="G3" i="75" s="1"/>
  <c r="G52" i="75" s="1"/>
  <c r="H3" i="75" s="1"/>
  <c r="H52" i="75" s="1"/>
  <c r="I3" i="75" s="1"/>
  <c r="I52" i="75" s="1"/>
  <c r="J3" i="75" s="1"/>
  <c r="J52" i="75" s="1"/>
  <c r="K3" i="75" s="1"/>
  <c r="K52" i="75" s="1"/>
  <c r="L3" i="75" s="1"/>
  <c r="L52" i="75" s="1"/>
  <c r="M3" i="75" s="1"/>
  <c r="M52" i="75" s="1"/>
  <c r="M55" i="75" l="1"/>
  <c r="N3" i="75"/>
  <c r="N52" i="75" s="1"/>
  <c r="O3" i="75" s="1"/>
  <c r="O52" i="75" s="1"/>
  <c r="P3" i="75" s="1"/>
  <c r="P52" i="75" s="1"/>
  <c r="Q3" i="75" s="1"/>
  <c r="Q52" i="75" s="1"/>
  <c r="R3" i="75" s="1"/>
  <c r="R52" i="75" s="1"/>
  <c r="S3" i="75" s="1"/>
  <c r="S52" i="75" s="1"/>
  <c r="T3" i="75" s="1"/>
  <c r="T52" i="75" s="1"/>
  <c r="U3" i="75" s="1"/>
  <c r="U52" i="75" s="1"/>
  <c r="V3" i="75" s="1"/>
  <c r="V52" i="75" s="1"/>
  <c r="W3" i="75" s="1"/>
  <c r="W52" i="75" s="1"/>
  <c r="X3" i="75" s="1"/>
  <c r="X52" i="75" s="1"/>
  <c r="Y3" i="75" s="1"/>
  <c r="Y52" i="75" s="1"/>
  <c r="Z3" i="75" s="1"/>
  <c r="Z52" i="75" s="1"/>
  <c r="AA3" i="75" s="1"/>
  <c r="AA52" i="75" s="1"/>
  <c r="AB3" i="75" s="1"/>
  <c r="AB52" i="75" s="1"/>
  <c r="AC3" i="75" s="1"/>
  <c r="AC52" i="75" s="1"/>
  <c r="AD3" i="75" s="1"/>
  <c r="AD52" i="75" s="1"/>
  <c r="AE3" i="75" s="1"/>
  <c r="AE52" i="75" s="1"/>
  <c r="AF3" i="75" s="1"/>
  <c r="AF52" i="75" s="1"/>
  <c r="AG3" i="75" s="1"/>
  <c r="AG52" i="75" s="1"/>
  <c r="AH3" i="75" s="1"/>
  <c r="AH52" i="75" s="1"/>
  <c r="AI3" i="75" s="1"/>
  <c r="AI52" i="75" s="1"/>
  <c r="AJ3" i="75" s="1"/>
  <c r="AJ52" i="75" s="1"/>
  <c r="AM51" i="75" l="1"/>
  <c r="F3" i="76"/>
  <c r="F55" i="76" s="1"/>
  <c r="G3" i="76" s="1"/>
  <c r="G55" i="76" s="1"/>
  <c r="H3" i="76" s="1"/>
  <c r="H55" i="76" s="1"/>
  <c r="I3" i="76" s="1"/>
  <c r="I55" i="76" s="1"/>
  <c r="J3" i="76" s="1"/>
  <c r="J55" i="76" s="1"/>
  <c r="K3" i="76" s="1"/>
  <c r="K55" i="76" s="1"/>
  <c r="L3" i="76" s="1"/>
  <c r="L55" i="76" s="1"/>
  <c r="M3" i="76" s="1"/>
  <c r="M55" i="76" s="1"/>
  <c r="M58" i="76" l="1"/>
  <c r="N3" i="76"/>
  <c r="N55" i="76" s="1"/>
  <c r="O3" i="76" s="1"/>
  <c r="O55" i="76" s="1"/>
  <c r="P3" i="76" s="1"/>
  <c r="P55" i="76" s="1"/>
  <c r="Q3" i="76" s="1"/>
  <c r="Q55" i="76" s="1"/>
  <c r="R3" i="76" s="1"/>
  <c r="R55" i="76" s="1"/>
  <c r="S3" i="76" s="1"/>
  <c r="S55" i="76" s="1"/>
  <c r="T3" i="76" s="1"/>
  <c r="T55" i="76" s="1"/>
  <c r="U3" i="76" s="1"/>
  <c r="U55" i="76" s="1"/>
  <c r="V3" i="76" s="1"/>
  <c r="V55" i="76" s="1"/>
  <c r="W3" i="76" s="1"/>
  <c r="W55" i="76" s="1"/>
  <c r="X3" i="76" s="1"/>
  <c r="X55" i="76" s="1"/>
  <c r="Y3" i="76" s="1"/>
  <c r="Y55" i="76" s="1"/>
  <c r="Z3" i="76" s="1"/>
  <c r="Z55" i="76" s="1"/>
  <c r="AA3" i="76" s="1"/>
  <c r="AA55" i="76" s="1"/>
  <c r="AB3" i="76" s="1"/>
  <c r="AB55" i="76" s="1"/>
  <c r="AC3" i="76" s="1"/>
  <c r="AC55" i="76" s="1"/>
  <c r="AD3" i="76" s="1"/>
  <c r="AD55" i="76" s="1"/>
  <c r="AE3" i="76" s="1"/>
  <c r="AE55" i="76" s="1"/>
  <c r="AF3" i="76" s="1"/>
  <c r="AF55" i="76" s="1"/>
  <c r="AG3" i="76" s="1"/>
  <c r="AG55" i="76" s="1"/>
  <c r="AH3" i="76" s="1"/>
  <c r="AH55" i="76" s="1"/>
  <c r="AI3" i="76" s="1"/>
  <c r="AI55" i="76" s="1"/>
  <c r="AJ3" i="76" s="1"/>
  <c r="AJ55" i="76" s="1"/>
  <c r="AM54" i="76" l="1"/>
  <c r="F3" i="77"/>
  <c r="F64" i="77" s="1"/>
  <c r="G3" i="77" s="1"/>
  <c r="G64" i="77" s="1"/>
  <c r="H3" i="77" s="1"/>
  <c r="H64" i="77" s="1"/>
  <c r="I3" i="77" s="1"/>
  <c r="I64" i="77" s="1"/>
  <c r="J3" i="77" s="1"/>
  <c r="J64" i="77" s="1"/>
  <c r="K3" i="77" s="1"/>
  <c r="K64" i="77" s="1"/>
  <c r="L3" i="77" s="1"/>
  <c r="L64" i="77" s="1"/>
  <c r="M3" i="77" s="1"/>
  <c r="M64" i="77" s="1"/>
  <c r="N3" i="77" l="1"/>
  <c r="N64" i="77" s="1"/>
  <c r="O3" i="77" s="1"/>
  <c r="O64" i="77" s="1"/>
  <c r="P3" i="77" s="1"/>
  <c r="P64" i="77" s="1"/>
  <c r="Q3" i="77" s="1"/>
  <c r="Q64" i="77" s="1"/>
  <c r="R3" i="77" s="1"/>
  <c r="R64" i="77" s="1"/>
  <c r="S3" i="77" s="1"/>
  <c r="S64" i="77" s="1"/>
  <c r="T3" i="77" s="1"/>
  <c r="T64" i="77" s="1"/>
  <c r="U3" i="77" s="1"/>
  <c r="U64" i="77" s="1"/>
  <c r="V3" i="77" s="1"/>
  <c r="V64" i="77" s="1"/>
  <c r="W3" i="77" s="1"/>
  <c r="W64" i="77" s="1"/>
  <c r="X3" i="77" s="1"/>
  <c r="X64" i="77" s="1"/>
  <c r="Y3" i="77" s="1"/>
  <c r="Y64" i="77" s="1"/>
  <c r="Z3" i="77" s="1"/>
  <c r="Z64" i="77" s="1"/>
  <c r="AA3" i="77" s="1"/>
  <c r="AA64" i="77" s="1"/>
  <c r="AB3" i="77" s="1"/>
  <c r="AB64" i="77" s="1"/>
  <c r="AC3" i="77" s="1"/>
  <c r="AC64" i="77" s="1"/>
  <c r="AD3" i="77" s="1"/>
  <c r="AD64" i="77" s="1"/>
  <c r="AE3" i="77" s="1"/>
  <c r="AE64" i="77" s="1"/>
  <c r="AF3" i="77" s="1"/>
  <c r="AF64" i="77" s="1"/>
  <c r="AG3" i="77" s="1"/>
  <c r="AG64" i="77" s="1"/>
  <c r="AH3" i="77" s="1"/>
  <c r="AH64" i="77" s="1"/>
  <c r="AI3" i="77" s="1"/>
  <c r="AI64" i="77" s="1"/>
  <c r="AJ3" i="77" s="1"/>
  <c r="AJ64" i="77" s="1"/>
  <c r="M67" i="77"/>
  <c r="AM63" i="77" l="1"/>
  <c r="F3" i="78"/>
  <c r="F47" i="78" s="1"/>
  <c r="G3" i="78" s="1"/>
  <c r="G47" i="78" s="1"/>
  <c r="H3" i="78" s="1"/>
  <c r="H47" i="78" s="1"/>
  <c r="I3" i="78" s="1"/>
  <c r="I47" i="78" s="1"/>
  <c r="J3" i="78" s="1"/>
  <c r="J47" i="78" s="1"/>
  <c r="K3" i="78" s="1"/>
  <c r="K47" i="78" s="1"/>
  <c r="L3" i="78" s="1"/>
  <c r="L47" i="78" s="1"/>
  <c r="M3" i="78" s="1"/>
  <c r="M47" i="78" s="1"/>
  <c r="M50" i="78" l="1"/>
  <c r="N3" i="78"/>
  <c r="N47" i="78" s="1"/>
  <c r="O3" i="78" s="1"/>
  <c r="O47" i="78" s="1"/>
  <c r="P3" i="78" s="1"/>
  <c r="P47" i="78" s="1"/>
  <c r="Q3" i="78" s="1"/>
  <c r="Q47" i="78" s="1"/>
  <c r="R3" i="78" s="1"/>
  <c r="R47" i="78" s="1"/>
  <c r="S3" i="78" s="1"/>
  <c r="S47" i="78" s="1"/>
  <c r="T3" i="78" s="1"/>
  <c r="T47" i="78" s="1"/>
  <c r="U3" i="78" s="1"/>
  <c r="U47" i="78" s="1"/>
  <c r="V3" i="78" s="1"/>
  <c r="V47" i="78" s="1"/>
  <c r="W3" i="78" s="1"/>
  <c r="W47" i="78" s="1"/>
  <c r="X3" i="78" s="1"/>
  <c r="X47" i="78" s="1"/>
  <c r="Y3" i="78" s="1"/>
  <c r="Y47" i="78" s="1"/>
  <c r="Z3" i="78" s="1"/>
  <c r="Z47" i="78" s="1"/>
  <c r="AA3" i="78" s="1"/>
  <c r="AA47" i="78" s="1"/>
  <c r="AB3" i="78" s="1"/>
  <c r="AB47" i="78" s="1"/>
  <c r="AC3" i="78" s="1"/>
  <c r="AC47" i="78" s="1"/>
  <c r="AD3" i="78" s="1"/>
  <c r="AD47" i="78" s="1"/>
  <c r="AE3" i="78" s="1"/>
  <c r="AE47" i="78" s="1"/>
  <c r="AF3" i="78" s="1"/>
  <c r="AF47" i="78" s="1"/>
  <c r="AG3" i="78" s="1"/>
  <c r="AG47" i="78" s="1"/>
  <c r="AH47" i="78" s="1"/>
  <c r="AI47" i="78" s="1"/>
  <c r="AJ47" i="78" s="1"/>
  <c r="AM46" i="78" s="1"/>
  <c r="AK119" i="54"/>
  <c r="AM119" i="54"/>
  <c r="AL119" i="54"/>
  <c r="D119" i="54"/>
  <c r="B54" i="33"/>
  <c r="C50" i="33"/>
  <c r="B51" i="33"/>
  <c r="B55" i="33"/>
  <c r="M60" i="16"/>
  <c r="O55" i="16"/>
  <c r="O63" i="16"/>
  <c r="O59" i="16"/>
  <c r="D27" i="39"/>
  <c r="N54" i="16"/>
  <c r="N58" i="16"/>
  <c r="M59" i="16"/>
  <c r="D29" i="47"/>
  <c r="D31" i="36"/>
  <c r="D29" i="38"/>
  <c r="D35" i="41"/>
  <c r="D34" i="45"/>
  <c r="D36" i="43"/>
  <c r="D27" i="40"/>
  <c r="D32" i="46"/>
  <c r="D41" i="44"/>
  <c r="D29" i="37"/>
  <c r="AK14" i="36"/>
  <c r="D39" i="42"/>
  <c r="C43" i="33"/>
  <c r="C52" i="33"/>
  <c r="D116" i="53"/>
  <c r="AL116" i="53"/>
  <c r="AM116" i="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EMTIDA 30 NOV</t>
        </r>
      </text>
    </comment>
    <comment ref="B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codigo de canje:
086535f96bad42ff936500e6ca4d5e11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EMTIDA 30 NOV  $58.001 los $6000 adicionales de gasto  son de Notaria con Boleta </t>
        </r>
      </text>
    </comment>
    <comment ref="R29" authorId="0" shapeId="0" xr:uid="{00000000-0006-0000-0100-000002000000}">
      <text>
        <r>
          <rPr>
            <b/>
            <sz val="11"/>
            <color indexed="81"/>
            <rFont val="Tahoma"/>
            <family val="2"/>
          </rPr>
          <t>transferencia de saldo de Com Lux a cta ITAU.
Cant errada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pendiente NC $30.000+IVA por menor valor mueble más chico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PENDIENTE: NC POR $97767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6" authorId="0" shapeId="0" xr:uid="{00000000-0006-0000-06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" authorId="0" shapeId="0" xr:uid="{00000000-0006-0000-07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25" authorId="0" shapeId="0" xr:uid="{00000000-0006-0000-0700-000002000000}">
      <text>
        <r>
          <rPr>
            <b/>
            <sz val="12"/>
            <color indexed="81"/>
            <rFont val="Tahoma"/>
            <family val="2"/>
          </rPr>
          <t>pendiente NC $30.000+IVA por menor valor mueble más chico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" authorId="0" shapeId="0" xr:uid="{00000000-0006-0000-08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27" authorId="0" shapeId="0" xr:uid="{00000000-0006-0000-0800-000002000000}">
      <text>
        <r>
          <rPr>
            <b/>
            <sz val="12"/>
            <color indexed="81"/>
            <rFont val="Tahoma"/>
            <family val="2"/>
          </rPr>
          <t>pendiente NC $30.000+IVA por menor valor mueble más chico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" authorId="0" shapeId="0" xr:uid="{00000000-0006-0000-09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26" authorId="0" shapeId="0" xr:uid="{00000000-0006-0000-0900-000002000000}">
      <text>
        <r>
          <rPr>
            <b/>
            <sz val="12"/>
            <color indexed="81"/>
            <rFont val="Tahoma"/>
            <family val="2"/>
          </rPr>
          <t>pendiente NC $30.000+IVA por menor valor mueble más chico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" authorId="0" shapeId="0" xr:uid="{00000000-0006-0000-0A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26" authorId="0" shapeId="0" xr:uid="{00000000-0006-0000-0A00-000002000000}">
      <text>
        <r>
          <rPr>
            <b/>
            <sz val="12"/>
            <color indexed="81"/>
            <rFont val="Tahoma"/>
            <family val="2"/>
          </rPr>
          <t>pendiente NC $30.000+IVA por menor valor mueble más chico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" authorId="0" shapeId="0" xr:uid="{00000000-0006-0000-0B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26" authorId="0" shapeId="0" xr:uid="{00000000-0006-0000-0B00-000002000000}">
      <text>
        <r>
          <rPr>
            <b/>
            <sz val="12"/>
            <color indexed="81"/>
            <rFont val="Tahoma"/>
            <family val="2"/>
          </rPr>
          <t>pendiente NC $30.000+IVA por menor valor mueble más chico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" authorId="0" shapeId="0" xr:uid="{00000000-0006-0000-0C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27" authorId="0" shapeId="0" xr:uid="{00000000-0006-0000-0C00-000002000000}">
      <text>
        <r>
          <rPr>
            <b/>
            <sz val="12"/>
            <color indexed="81"/>
            <rFont val="Tahoma"/>
            <family val="2"/>
          </rPr>
          <t>pendiente NC $30.000+IVA por menor valor mueble más chico</t>
        </r>
      </text>
    </comment>
    <comment ref="E36" authorId="0" shapeId="0" xr:uid="{00000000-0006-0000-0C00-000003000000}">
      <text>
        <r>
          <rPr>
            <b/>
            <sz val="11"/>
            <color indexed="81"/>
            <rFont val="Tahoma"/>
            <family val="2"/>
          </rPr>
          <t xml:space="preserve">1a transfer BcoEstado
</t>
        </r>
      </text>
    </comment>
    <comment ref="U36" authorId="0" shapeId="0" xr:uid="{00000000-0006-0000-0C00-000004000000}">
      <text>
        <r>
          <rPr>
            <b/>
            <sz val="11"/>
            <color indexed="81"/>
            <rFont val="Tahoma"/>
            <family val="2"/>
          </rPr>
          <t>1a transfer Bco. Estado</t>
        </r>
      </text>
    </comment>
    <comment ref="D37" authorId="0" shapeId="0" xr:uid="{00000000-0006-0000-0C00-000005000000}">
      <text>
        <r>
          <rPr>
            <b/>
            <sz val="14"/>
            <color indexed="81"/>
            <rFont val="Tahoma"/>
            <family val="2"/>
          </rPr>
          <t>Transfer 21 Oct a EMS</t>
        </r>
      </text>
    </comment>
    <comment ref="Z37" authorId="0" shapeId="0" xr:uid="{00000000-0006-0000-0C00-000006000000}">
      <text>
        <r>
          <rPr>
            <b/>
            <sz val="14"/>
            <color indexed="81"/>
            <rFont val="Tahoma"/>
            <family val="2"/>
          </rPr>
          <t>Transfer 21 Oct a EMS</t>
        </r>
      </text>
    </comment>
    <comment ref="E38" authorId="0" shapeId="0" xr:uid="{00000000-0006-0000-0C00-000007000000}">
      <text>
        <r>
          <rPr>
            <b/>
            <sz val="11"/>
            <color indexed="81"/>
            <rFont val="Tahoma"/>
            <family val="2"/>
          </rPr>
          <t xml:space="preserve">1a transfer BcoEstado
</t>
        </r>
      </text>
    </comment>
    <comment ref="D39" authorId="0" shapeId="0" xr:uid="{00000000-0006-0000-0C00-000008000000}">
      <text>
        <r>
          <rPr>
            <b/>
            <sz val="14"/>
            <color indexed="81"/>
            <rFont val="Tahoma"/>
            <family val="2"/>
          </rPr>
          <t>Transfer Bco Estado 21 oct</t>
        </r>
      </text>
    </comment>
    <comment ref="Z39" authorId="0" shapeId="0" xr:uid="{00000000-0006-0000-0C00-000009000000}">
      <text>
        <r>
          <rPr>
            <b/>
            <sz val="14"/>
            <color indexed="81"/>
            <rFont val="Tahoma"/>
            <family val="2"/>
          </rPr>
          <t>Transfer Bco Estado 21 oct</t>
        </r>
      </text>
    </comment>
    <comment ref="AE51" authorId="0" shapeId="0" xr:uid="{00000000-0006-0000-0C00-00000A000000}">
      <text>
        <r>
          <rPr>
            <b/>
            <sz val="14"/>
            <color indexed="81"/>
            <rFont val="Tahoma"/>
            <family val="2"/>
          </rPr>
          <t>Conciliación de saldo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" authorId="0" shapeId="0" xr:uid="{00000000-0006-0000-0D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A51" authorId="0" shapeId="0" xr:uid="{00000000-0006-0000-0D00-000002000000}">
      <text>
        <r>
          <rPr>
            <b/>
            <sz val="14"/>
            <color indexed="81"/>
            <rFont val="Tahoma"/>
            <family val="2"/>
          </rPr>
          <t>averiguar origen</t>
        </r>
      </text>
    </comment>
    <comment ref="B58" authorId="0" shapeId="0" xr:uid="{101AEF4F-5707-4728-85FB-EDE0A6BB4DDB}">
      <text>
        <r>
          <rPr>
            <b/>
            <sz val="9"/>
            <color indexed="81"/>
            <rFont val="Tahoma"/>
            <family val="2"/>
          </rPr>
          <t>Pago anticipo. Factura emitida en Enero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3" authorId="0" shapeId="0" xr:uid="{00000000-0006-0000-0E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A56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14 bidones 20lt</t>
        </r>
      </text>
    </comment>
    <comment ref="A57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retiro embolsado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H5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Sjottar: $320400 a cta EMS Santander</t>
        </r>
      </text>
    </comment>
    <comment ref="AI6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Sjottar $320400 a Cta EMS Santander</t>
        </r>
      </text>
    </comment>
    <comment ref="A13" authorId="0" shapeId="0" xr:uid="{00000000-0006-0000-0F00-000003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0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1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2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3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4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5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6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7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8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9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35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 xml:space="preserve">valo USD x confirmar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A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30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 xml:space="preserve">valor  USD x confirmar
</t>
        </r>
      </text>
    </comment>
    <comment ref="D3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 xml:space="preserve">valor USD x confirmar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B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3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 xml:space="preserve">valor USD x confirmar
</t>
        </r>
      </text>
    </comment>
    <comment ref="D33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 xml:space="preserve">valor  USD x confirmar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1" authorId="0" shapeId="0" xr:uid="{00000000-0006-0000-1C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  <comment ref="D4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 xml:space="preserve">valor USD x confirmar
</t>
        </r>
      </text>
    </comment>
    <comment ref="AD4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 xml:space="preserve">valor USD x confirmar
</t>
        </r>
      </text>
    </comment>
    <comment ref="D43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 xml:space="preserve">valor  USD x confirmar
</t>
        </r>
      </text>
    </comment>
    <comment ref="AD43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 xml:space="preserve">valor  USD x confirmar
</t>
        </r>
      </text>
    </comment>
    <comment ref="D55" authorId="0" shapeId="0" xr:uid="{00000000-0006-0000-1C00-000006000000}">
      <text>
        <r>
          <rPr>
            <sz val="9"/>
            <color indexed="81"/>
            <rFont val="Tahoma"/>
            <family val="2"/>
          </rPr>
          <t xml:space="preserve">no se inckuyó en tranferencia a EMS  por arror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4" authorId="0" shapeId="0" xr:uid="{00000000-0006-0000-1D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4" authorId="0" shapeId="0" xr:uid="{00000000-0006-0000-1E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9" authorId="0" shapeId="0" xr:uid="{00000000-0006-0000-1F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6" authorId="0" shapeId="0" xr:uid="{00000000-0006-0000-2000-000001000000}">
      <text>
        <r>
          <rPr>
            <b/>
            <sz val="14"/>
            <color indexed="81"/>
            <rFont val="Tahoma"/>
            <family val="2"/>
          </rPr>
          <t>POR FACTURAR entregado el 13 de Marzo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 xml:space="preserve">Mario Liberona
</t>
        </r>
      </text>
    </comment>
    <comment ref="D44" authorId="0" shapeId="0" xr:uid="{00000000-0006-0000-2200-000002000000}">
      <text>
        <r>
          <rPr>
            <sz val="9"/>
            <color indexed="81"/>
            <rFont val="Tahoma"/>
            <family val="2"/>
          </rPr>
          <t xml:space="preserve">inluye a Mario compró y pagó 40 lt
Factura total:$137088
</t>
        </r>
      </text>
    </comment>
    <comment ref="AS51" authorId="0" shapeId="0" xr:uid="{00000000-0006-0000-2200-000003000000}">
      <text>
        <r>
          <rPr>
            <sz val="9"/>
            <color indexed="81"/>
            <rFont val="Tahoma"/>
            <family val="2"/>
          </rPr>
          <t xml:space="preserve">inluye a Mario compró y pagó 40 lt
</t>
        </r>
      </text>
    </comment>
    <comment ref="AO76" authorId="0" shapeId="0" xr:uid="{C966FB2C-358C-4D52-9891-87724B6BB55A}">
      <text>
        <r>
          <rPr>
            <b/>
            <sz val="9"/>
            <color indexed="81"/>
            <rFont val="Tahoma"/>
            <family val="2"/>
          </rPr>
          <t xml:space="preserve">rem gte+rem op * 50% (2a quincena) 4 de 9 grifos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4" authorId="0" shapeId="0" xr:uid="{00000000-0006-0000-2300-000001000000}">
      <text>
        <r>
          <rPr>
            <sz val="9"/>
            <color indexed="81"/>
            <rFont val="Tahoma"/>
            <family val="2"/>
          </rPr>
          <t xml:space="preserve">inluye a Mario compró y pagó 40 lt
</t>
        </r>
      </text>
    </comment>
    <comment ref="D63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LANCER registra pagada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2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 xml:space="preserve">pagada en exceso por error en formula:
260*500*1,19  </t>
        </r>
      </text>
    </comment>
    <comment ref="B72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NO APARECE EN EL SII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00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Mall Plaza Norte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0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descuento por sobrepago anterior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72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 xml:space="preserve">abono por pago duplicado F6562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8" authorId="0" shapeId="0" xr:uid="{00000000-0006-0000-2900-000001000000}">
      <text>
        <r>
          <rPr>
            <b/>
            <sz val="9"/>
            <color indexed="81"/>
            <rFont val="Tahoma"/>
            <family val="2"/>
          </rPr>
          <t xml:space="preserve">SALDO PDTE 36401
por repactación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 xml:space="preserve">SALDO PDTE 36401
por repactación
</t>
        </r>
      </text>
    </comment>
    <comment ref="D12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 xml:space="preserve">saldo 59534 por repactación
</t>
        </r>
      </text>
    </comment>
    <comment ref="D6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solo saldo de $15470 por pago duplicado de F6562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6" authorId="0" shapeId="0" xr:uid="{00000000-0006-0000-2B00-000001000000}">
      <text>
        <r>
          <rPr>
            <b/>
            <sz val="9"/>
            <color indexed="81"/>
            <rFont val="Tahoma"/>
            <family val="2"/>
          </rPr>
          <t>Pagada el 14 de Abril</t>
        </r>
      </text>
    </comment>
    <comment ref="AM78" authorId="0" shapeId="0" xr:uid="{00000000-0006-0000-2B00-000002000000}">
      <text>
        <r>
          <rPr>
            <b/>
            <sz val="9"/>
            <color indexed="81"/>
            <rFont val="Tahoma"/>
            <family val="2"/>
          </rPr>
          <t>incluye $1200000 del Mutuo Cormoran de Abril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0" authorId="0" shapeId="0" xr:uid="{B42264DE-C6D1-4750-861E-B83C4A110CB8}">
      <text>
        <r>
          <rPr>
            <b/>
            <sz val="9"/>
            <color indexed="81"/>
            <rFont val="Tahoma"/>
            <family val="2"/>
          </rPr>
          <t>registrar tb en Nov</t>
        </r>
      </text>
    </comment>
    <comment ref="D54" authorId="0" shapeId="0" xr:uid="{23CC95CB-E53B-44DD-9A31-1158AD8A3038}">
      <text>
        <r>
          <rPr>
            <b/>
            <sz val="9"/>
            <color indexed="81"/>
            <rFont val="Tahoma"/>
            <family val="2"/>
          </rPr>
          <t>$122400 anticipo 13Dic</t>
        </r>
      </text>
    </comment>
    <comment ref="R54" authorId="0" shapeId="0" xr:uid="{3CC90153-BDA5-4012-AD6E-F95A2C1EA895}">
      <text>
        <r>
          <rPr>
            <b/>
            <sz val="9"/>
            <color indexed="81"/>
            <rFont val="Tahoma"/>
            <family val="2"/>
          </rPr>
          <t>Anticipo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15" authorId="0" shapeId="0" xr:uid="{B2B35EBD-B595-4A37-9A01-8CB07788E7CB}">
      <text>
        <r>
          <rPr>
            <b/>
            <sz val="9"/>
            <color indexed="81"/>
            <rFont val="Tahoma"/>
            <family val="2"/>
          </rPr>
          <t xml:space="preserve">saldo $190376
</t>
        </r>
      </text>
    </comment>
    <comment ref="D29" authorId="0" shapeId="0" xr:uid="{F8847D88-90A3-45D5-83B5-ACDD0A7D3C92}">
      <text>
        <r>
          <rPr>
            <b/>
            <sz val="9"/>
            <color indexed="81"/>
            <rFont val="Tahoma"/>
            <family val="2"/>
          </rPr>
          <t>anticipo $122400 13Dic</t>
        </r>
      </text>
    </comment>
    <comment ref="C31" authorId="0" shapeId="0" xr:uid="{BF515A83-8148-4B44-BFC2-E847F68645E9}">
      <text>
        <r>
          <rPr>
            <b/>
            <sz val="9"/>
            <color indexed="81"/>
            <rFont val="Tahoma"/>
            <family val="2"/>
          </rPr>
          <t>registrar tb en Nov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7" authorId="0" shapeId="0" xr:uid="{3DA2EDAD-EDCD-494E-8412-05AAC19F9B07}">
      <text>
        <r>
          <rPr>
            <b/>
            <sz val="9"/>
            <color indexed="81"/>
            <rFont val="Tahoma"/>
            <family val="2"/>
          </rPr>
          <t>ajuste por mayor pago anterior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2" authorId="0" shapeId="0" xr:uid="{67723C27-789C-45F8-8B9D-4E89091C7341}">
      <text>
        <r>
          <rPr>
            <b/>
            <sz val="9"/>
            <color indexed="81"/>
            <rFont val="Tahoma"/>
            <family val="2"/>
          </rPr>
          <t>Ajuste por $30 de exceso de pago 02Junio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F3E4C96B-1F22-4CC4-899A-9BCB79252CAB}">
      <text>
        <r>
          <rPr>
            <b/>
            <sz val="9"/>
            <color indexed="81"/>
            <rFont val="Tahoma"/>
            <family val="2"/>
          </rPr>
          <t>Ajuste por $30 de exceso de pago 02Junio</t>
        </r>
      </text>
    </comment>
    <comment ref="AD8" authorId="0" shapeId="0" xr:uid="{0CD44832-4964-4C5A-81EA-C9281E37CDE2}">
      <text>
        <r>
          <rPr>
            <b/>
            <sz val="9"/>
            <color indexed="81"/>
            <rFont val="Tahoma"/>
            <family val="2"/>
          </rPr>
          <t>Ajuste por $30 de exceso de pago 02Junio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Ernesto Mardones S</author>
  </authors>
  <commentList>
    <comment ref="D8" authorId="0" shapeId="0" xr:uid="{413977E8-2FB3-4A73-94E6-EFA1D7D3D9EE}">
      <text>
        <r>
          <rPr>
            <b/>
            <sz val="9"/>
            <color indexed="81"/>
            <rFont val="Tahoma"/>
            <family val="2"/>
          </rPr>
          <t>saldo pendiente $119200-$55455</t>
        </r>
      </text>
    </comment>
    <comment ref="R8" authorId="1" shapeId="0" xr:uid="{708BFB88-F8AE-46C4-8D6A-BF4D1B75B444}">
      <text>
        <r>
          <rPr>
            <b/>
            <sz val="9"/>
            <color indexed="81"/>
            <rFont val="Tahoma"/>
            <family val="2"/>
          </rPr>
          <t>saldo pendiente $119200-$55455=$63475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SURFACE</author>
    <author>Ernesto Mardones S</author>
  </authors>
  <commentList>
    <comment ref="Q7" authorId="0" shapeId="0" xr:uid="{958D8043-CF97-4267-860F-53141F070AEA}">
      <text>
        <r>
          <rPr>
            <b/>
            <sz val="9"/>
            <color indexed="81"/>
            <rFont val="Tahoma"/>
            <charset val="1"/>
          </rPr>
          <t>dos ultimos digitos invertidos</t>
        </r>
      </text>
    </comment>
    <comment ref="D8" authorId="1" shapeId="0" xr:uid="{6EB8D7DC-62DD-431E-9D6F-B7AE4F6725F5}">
      <text>
        <r>
          <rPr>
            <b/>
            <sz val="9"/>
            <color indexed="81"/>
            <rFont val="Tahoma"/>
            <family val="2"/>
          </rPr>
          <t>saldo pte: $87189-$35820=$51369</t>
        </r>
      </text>
    </comment>
    <comment ref="D10" authorId="0" shapeId="0" xr:uid="{C9125444-E35F-4707-9B87-C6BEA670780F}">
      <text>
        <r>
          <rPr>
            <b/>
            <sz val="9"/>
            <color indexed="81"/>
            <rFont val="Tahoma"/>
            <charset val="1"/>
          </rPr>
          <t>saldo 119200-56255=62945</t>
        </r>
      </text>
    </comment>
    <comment ref="D15" authorId="0" shapeId="0" xr:uid="{E08A3FAF-0DFB-4451-8352-BA7DCCA0982D}">
      <text>
        <r>
          <rPr>
            <b/>
            <sz val="9"/>
            <color indexed="81"/>
            <rFont val="Tahoma"/>
            <charset val="1"/>
          </rPr>
          <t xml:space="preserve">saldo: 87189-14922=72267
</t>
        </r>
      </text>
    </comment>
    <comment ref="AK32" authorId="0" shapeId="0" xr:uid="{69D09DB3-A0EB-4F0D-980F-3CF9E2422F5D}">
      <text>
        <r>
          <rPr>
            <b/>
            <sz val="9"/>
            <color indexed="81"/>
            <rFont val="Tahoma"/>
            <family val="2"/>
          </rPr>
          <t>saldo $900000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SURFACE</author>
  </authors>
  <commentList>
    <comment ref="D9" authorId="0" shapeId="0" xr:uid="{8C5EA682-7D01-494B-BC19-23ACEE5F3495}">
      <text>
        <r>
          <rPr>
            <sz val="9"/>
            <color indexed="81"/>
            <rFont val="Tahoma"/>
            <charset val="1"/>
          </rPr>
          <t xml:space="preserve">saldo $72267
</t>
        </r>
      </text>
    </comment>
    <comment ref="D34" authorId="0" shapeId="0" xr:uid="{82DD9C0D-6940-4CF2-8FC5-B81059854584}">
      <text>
        <r>
          <rPr>
            <b/>
            <sz val="9"/>
            <color indexed="81"/>
            <rFont val="Tahoma"/>
            <charset val="1"/>
          </rPr>
          <t>saldo $900.000</t>
        </r>
      </text>
    </comment>
    <comment ref="L46" authorId="0" shapeId="0" xr:uid="{32A9B583-1D93-484B-AC17-C641B8B86F80}">
      <text>
        <r>
          <rPr>
            <b/>
            <sz val="9"/>
            <color indexed="81"/>
            <rFont val="Tahoma"/>
            <charset val="1"/>
          </rPr>
          <t>Ajuste + $135 por error en transfer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D9" authorId="0" shapeId="0" xr:uid="{00000000-0006-0000-2D00-000001000000}">
      <text>
        <r>
          <rPr>
            <b/>
            <sz val="9"/>
            <color indexed="81"/>
            <rFont val="Tahoma"/>
            <family val="2"/>
          </rPr>
          <t>se suma Open Kennedy</t>
        </r>
      </text>
    </comment>
    <comment ref="AD31" authorId="0" shapeId="0" xr:uid="{00000000-0006-0000-2D00-000002000000}">
      <text>
        <r>
          <rPr>
            <b/>
            <sz val="9"/>
            <color indexed="81"/>
            <rFont val="Tahoma"/>
            <family val="2"/>
          </rPr>
          <t>se suma Open Kennedy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compra spot</t>
        </r>
      </text>
    </comment>
    <comment ref="E4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compra spot</t>
        </r>
      </text>
    </comment>
    <comment ref="I8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 xml:space="preserve">saldo oxidado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7" authorId="0" shapeId="0" xr:uid="{00000000-0006-0000-3000-000001000000}">
      <text>
        <r>
          <rPr>
            <b/>
            <sz val="9"/>
            <color indexed="81"/>
            <rFont val="Tahoma"/>
            <family val="2"/>
          </rPr>
          <t xml:space="preserve">remun Sept2020 a Marzo 2021 (Abr a Sept=$0) + 
 Antawara
</t>
        </r>
      </text>
    </comment>
    <comment ref="H17" authorId="0" shapeId="0" xr:uid="{00000000-0006-0000-3000-000002000000}">
      <text>
        <r>
          <rPr>
            <b/>
            <sz val="9"/>
            <color indexed="81"/>
            <rFont val="Tahoma"/>
            <family val="2"/>
          </rPr>
          <t xml:space="preserve">remun Sept2020 a Marzo 2021 (Abr a Sept=$0)
</t>
        </r>
      </text>
    </comment>
    <comment ref="N17" authorId="0" shapeId="0" xr:uid="{00000000-0006-0000-3000-000003000000}">
      <text>
        <r>
          <rPr>
            <b/>
            <sz val="9"/>
            <color indexed="81"/>
            <rFont val="Tahoma"/>
            <family val="2"/>
          </rPr>
          <t xml:space="preserve">remun Sept2020 a Marzo 2021 (Abr a Sept=$0) 
</t>
        </r>
      </text>
    </comment>
    <comment ref="N32" authorId="0" shapeId="0" xr:uid="{00000000-0006-0000-3000-000004000000}">
      <text>
        <r>
          <rPr>
            <b/>
            <sz val="9"/>
            <color indexed="81"/>
            <rFont val="Tahoma"/>
            <family val="2"/>
          </rPr>
          <t xml:space="preserve">remun Sept2020 a Marzo 2021 (Abr a Sept=$0) + 
 Antawara
</t>
        </r>
      </text>
    </comment>
    <comment ref="N54" authorId="0" shapeId="0" xr:uid="{00000000-0006-0000-3000-000005000000}">
      <text>
        <r>
          <rPr>
            <b/>
            <sz val="9"/>
            <color indexed="81"/>
            <rFont val="Tahoma"/>
            <family val="2"/>
          </rPr>
          <t xml:space="preserve">remun Sept2020 a Marzo 2021 (Abr a Sept=$0) + ´préstamos
 socio EMS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0" authorId="0" shapeId="0" xr:uid="{00000000-0006-0000-3100-000001000000}">
      <text>
        <r>
          <rPr>
            <b/>
            <sz val="9"/>
            <color indexed="81"/>
            <rFont val="Tahoma"/>
            <family val="2"/>
          </rPr>
          <t>codigo de canje:
086535f96bad42ff936500e6ca4d5e11</t>
        </r>
      </text>
    </comment>
    <comment ref="B40" authorId="0" shapeId="0" xr:uid="{00000000-0006-0000-3100-000002000000}">
      <text>
        <r>
          <rPr>
            <b/>
            <sz val="9"/>
            <color indexed="81"/>
            <rFont val="Tahoma"/>
            <family val="2"/>
          </rPr>
          <t xml:space="preserve">EMTIDA 30 NOV  $58.001  (tres meses desde 16 Oct 2019) los $6000 adicionales de gasto  son de Notaria con Boleta 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0" authorId="0" shapeId="0" xr:uid="{00000000-0006-0000-3200-000001000000}">
      <text>
        <r>
          <rPr>
            <b/>
            <sz val="9"/>
            <color indexed="81"/>
            <rFont val="Tahoma"/>
            <family val="2"/>
          </rPr>
          <t>codigo de canje:
086535f96bad42ff936500e6ca4d5e11</t>
        </r>
      </text>
    </comment>
    <comment ref="B40" authorId="0" shapeId="0" xr:uid="{00000000-0006-0000-3200-000002000000}">
      <text>
        <r>
          <rPr>
            <b/>
            <sz val="9"/>
            <color indexed="81"/>
            <rFont val="Tahoma"/>
            <family val="2"/>
          </rPr>
          <t xml:space="preserve">EMTIDA 30 NOV  $58.001  (tres meses desde 16 Oct 2019) los $6000 adicionales de gasto  son de Notaria con Boleta 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4" authorId="0" shapeId="0" xr:uid="{00000000-0006-0000-3300-000001000000}">
      <text>
        <r>
          <rPr>
            <b/>
            <sz val="9"/>
            <color indexed="81"/>
            <rFont val="Tahoma"/>
            <family val="2"/>
          </rPr>
          <t>PENDIENTE: NC POR $97767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3" authorId="0" shapeId="0" xr:uid="{00000000-0006-0000-3400-000001000000}">
      <text>
        <r>
          <rPr>
            <b/>
            <sz val="9"/>
            <color indexed="81"/>
            <rFont val="Tahoma"/>
            <family val="2"/>
          </rPr>
          <t>PENDIENTE: NC POR $97767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00000000-0006-0000-3500-000001000000}">
      <text>
        <r>
          <rPr>
            <b/>
            <sz val="12"/>
            <color indexed="81"/>
            <rFont val="Tahoma"/>
            <family val="2"/>
          </rPr>
          <t xml:space="preserve">corresponden solo 12 días del 19 al 30 de Nov 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9" authorId="0" shapeId="0" xr:uid="{00000000-0006-0000-3600-000001000000}">
      <text>
        <r>
          <rPr>
            <b/>
            <sz val="9"/>
            <color indexed="81"/>
            <rFont val="Tahoma"/>
            <family val="2"/>
          </rPr>
          <t xml:space="preserve"> 2 equipos+muebles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4" authorId="0" shapeId="0" xr:uid="{00000000-0006-0000-3700-000001000000}">
      <text>
        <r>
          <rPr>
            <b/>
            <sz val="9"/>
            <color indexed="81"/>
            <rFont val="Tahoma"/>
            <family val="2"/>
          </rPr>
          <t>PENDIENTE: NC POR $97767</t>
        </r>
      </text>
    </comment>
  </commentList>
</comments>
</file>

<file path=xl/sharedStrings.xml><?xml version="1.0" encoding="utf-8"?>
<sst xmlns="http://schemas.openxmlformats.org/spreadsheetml/2006/main" count="18400" uniqueCount="2606">
  <si>
    <t>INGRESOS</t>
  </si>
  <si>
    <t>Aporte ML</t>
  </si>
  <si>
    <t>EGRESOS</t>
  </si>
  <si>
    <t>GECORP compra 2 equipos</t>
  </si>
  <si>
    <t>TC EMS</t>
  </si>
  <si>
    <t>transferencia</t>
  </si>
  <si>
    <t>TOTAL INGRESOS</t>
  </si>
  <si>
    <t>SALDO INICIAL</t>
  </si>
  <si>
    <t>SALDO FINAL</t>
  </si>
  <si>
    <t>TOTAL EGRESOS</t>
  </si>
  <si>
    <t>Anticipo Oficina Virtual Pro</t>
  </si>
  <si>
    <t>F22584</t>
  </si>
  <si>
    <t>B115</t>
  </si>
  <si>
    <t xml:space="preserve"> </t>
  </si>
  <si>
    <t>Certificado Electronico Simple</t>
  </si>
  <si>
    <t>Forma Pago</t>
  </si>
  <si>
    <t>F267835</t>
  </si>
  <si>
    <t>Harry Plotter sticker equipos</t>
  </si>
  <si>
    <t xml:space="preserve">Total $470.000   I.V.A. 19% $  89.300   TOTAL $559.300 </t>
  </si>
  <si>
    <t>F7</t>
  </si>
  <si>
    <t>F32253</t>
  </si>
  <si>
    <t>SIDTECH OC 100001 2 muebles</t>
  </si>
  <si>
    <t>LIDER 3 camisas</t>
  </si>
  <si>
    <t>F 69885019</t>
  </si>
  <si>
    <t>TC</t>
  </si>
  <si>
    <t>Bordado 3 camisas</t>
  </si>
  <si>
    <t>Transferencia</t>
  </si>
  <si>
    <t>Monto Bruto</t>
  </si>
  <si>
    <t>transferencias</t>
  </si>
  <si>
    <t>Cilindro 9Kg CO2</t>
  </si>
  <si>
    <t>F2485</t>
  </si>
  <si>
    <t>F22146</t>
  </si>
  <si>
    <t>Clean Ice Carga 2Kg CO2</t>
  </si>
  <si>
    <t>RENDICION GASTOS</t>
  </si>
  <si>
    <t>B116</t>
  </si>
  <si>
    <t xml:space="preserve">Boleta N°115 EMS Remun. Julio </t>
  </si>
  <si>
    <t>Boleta N° 116   EMS Remun. Oct</t>
  </si>
  <si>
    <t>Factura N° 2 Sofía Jottar</t>
  </si>
  <si>
    <t>Factura N° 3 Sofía Jottar</t>
  </si>
  <si>
    <t>F2</t>
  </si>
  <si>
    <t>F3</t>
  </si>
  <si>
    <t>Boleta N° xxx EMS Remun Agosto</t>
  </si>
  <si>
    <t>Fecha</t>
  </si>
  <si>
    <t>N° doc</t>
  </si>
  <si>
    <t>cheque</t>
  </si>
  <si>
    <t>Equipo 25 lt/hra + accessorios</t>
  </si>
  <si>
    <t>Equipo 80 lt/hra + accessorios</t>
  </si>
  <si>
    <t>Boleta N° xxxx Brand Book</t>
  </si>
  <si>
    <t>Boleta N° 117 EMS Remun Nov</t>
  </si>
  <si>
    <t xml:space="preserve">Remun Variable Gerente </t>
  </si>
  <si>
    <t>neto</t>
  </si>
  <si>
    <t>bruto</t>
  </si>
  <si>
    <t>mueble grande</t>
  </si>
  <si>
    <t>mueble chico</t>
  </si>
  <si>
    <t>110x120x60 app</t>
  </si>
  <si>
    <t>F8</t>
  </si>
  <si>
    <t>SIDTECH OC 100002</t>
  </si>
  <si>
    <t>F 374</t>
  </si>
  <si>
    <t>F10</t>
  </si>
  <si>
    <t>Compra 2 equipos gr + muebles</t>
  </si>
  <si>
    <t>Aporte LV</t>
  </si>
  <si>
    <t>F29 NOV</t>
  </si>
  <si>
    <t>F29 OCT</t>
  </si>
  <si>
    <t>F9</t>
  </si>
  <si>
    <t>SIDTECH OC 100003</t>
  </si>
  <si>
    <t>SIDTECH OC 100002 100 lt</t>
  </si>
  <si>
    <t>SIDTECH OC 100004 200 lt</t>
  </si>
  <si>
    <t>F20</t>
  </si>
  <si>
    <t>F21</t>
  </si>
  <si>
    <t>SIDTECH OC 100006 2 muebles</t>
  </si>
  <si>
    <t xml:space="preserve">TC </t>
  </si>
  <si>
    <t>Clean Ice Carga 2x 9Kg CO2</t>
  </si>
  <si>
    <t>F22540</t>
  </si>
  <si>
    <t>F3087</t>
  </si>
  <si>
    <t>F22462</t>
  </si>
  <si>
    <t>SIDTECH OC 100007</t>
  </si>
  <si>
    <t>SIDTECH arr reactor Entregas 19 y 21 de Nov</t>
  </si>
  <si>
    <t>F4</t>
  </si>
  <si>
    <t>F5</t>
  </si>
  <si>
    <t>Factura N° 4 Sofía Jottar</t>
  </si>
  <si>
    <t>Factura N° 5 Sofía Jottar</t>
  </si>
  <si>
    <t>GAV</t>
  </si>
  <si>
    <t>AF</t>
  </si>
  <si>
    <t>CD</t>
  </si>
  <si>
    <t>PPM</t>
  </si>
  <si>
    <t>P</t>
  </si>
  <si>
    <t>SIDTECH OC 100003 200 t</t>
  </si>
  <si>
    <t>F22</t>
  </si>
  <si>
    <t>SIDTECH OC 100007 200 lt</t>
  </si>
  <si>
    <t>Factura N° 6 Sofía Jottar</t>
  </si>
  <si>
    <t>F6</t>
  </si>
  <si>
    <t>V</t>
  </si>
  <si>
    <t>VENTAS</t>
  </si>
  <si>
    <t>UT. BRUTA</t>
  </si>
  <si>
    <t>UT.NETA A/IMPTO</t>
  </si>
  <si>
    <t>B117</t>
  </si>
  <si>
    <t>Notaria Contrato Oficina Virtual</t>
  </si>
  <si>
    <t>B2293794</t>
  </si>
  <si>
    <t xml:space="preserve">  </t>
  </si>
  <si>
    <t>INVENTARIO :</t>
  </si>
  <si>
    <t>180 lt</t>
  </si>
  <si>
    <t>Margen Bruto</t>
  </si>
  <si>
    <t>Valor Contable</t>
  </si>
  <si>
    <t>Valor Financiero</t>
  </si>
  <si>
    <t>RESUMEN FLUJO DE CAJA al 21 Dic 2019</t>
  </si>
  <si>
    <t>Ingresos</t>
  </si>
  <si>
    <t>Egresos</t>
  </si>
  <si>
    <t>Saldo al 21 de Dic 2019</t>
  </si>
  <si>
    <t>EE.RR.</t>
  </si>
  <si>
    <t>DETALLE :</t>
  </si>
  <si>
    <t>Saldo Inicial al 16 Oct 2019</t>
  </si>
  <si>
    <t>VINO 60 lt uso pruebas demo</t>
  </si>
  <si>
    <r>
      <t xml:space="preserve">EERR                                                 </t>
    </r>
    <r>
      <rPr>
        <b/>
        <sz val="8"/>
        <color indexed="8"/>
        <rFont val="Calibri"/>
        <family val="2"/>
      </rPr>
      <t>(01 Junio al 21 de Dic 2019)</t>
    </r>
  </si>
  <si>
    <t>F12404</t>
  </si>
  <si>
    <t>INDURA REGULADOR PRESION</t>
  </si>
  <si>
    <t>Costo de Ventas</t>
  </si>
  <si>
    <t>COTIZACION 10693 MODIFICADA CON DATOS COTIZACION 10019</t>
  </si>
  <si>
    <t>Item</t>
  </si>
  <si>
    <t>Descripción</t>
  </si>
  <si>
    <t>Unidad</t>
  </si>
  <si>
    <t>Cantidad</t>
  </si>
  <si>
    <t>Precio_Unitario</t>
  </si>
  <si>
    <t>Descto.</t>
  </si>
  <si>
    <t>Total</t>
  </si>
  <si>
    <t>UNI</t>
  </si>
  <si>
    <t>LINDR</t>
  </si>
  <si>
    <t>CWP</t>
  </si>
  <si>
    <t>S</t>
  </si>
  <si>
    <t>Torre</t>
  </si>
  <si>
    <t>Cromada</t>
  </si>
  <si>
    <t>Tipo</t>
  </si>
  <si>
    <t>Cobra</t>
  </si>
  <si>
    <t>Grifo</t>
  </si>
  <si>
    <t>Porta</t>
  </si>
  <si>
    <t>Placa</t>
  </si>
  <si>
    <t>J-G</t>
  </si>
  <si>
    <t>Bandeja</t>
  </si>
  <si>
    <t>Acero</t>
  </si>
  <si>
    <t>Inox.</t>
  </si>
  <si>
    <t>x</t>
  </si>
  <si>
    <t>MTS</t>
  </si>
  <si>
    <t>Manguera</t>
  </si>
  <si>
    <t>Valpar</t>
  </si>
  <si>
    <t>(Verde)</t>
  </si>
  <si>
    <t>Cabezal</t>
  </si>
  <si>
    <t>Safety</t>
  </si>
  <si>
    <t>G</t>
  </si>
  <si>
    <t>MM</t>
  </si>
  <si>
    <t>Regulador</t>
  </si>
  <si>
    <t>CO2</t>
  </si>
  <si>
    <t>Premium</t>
  </si>
  <si>
    <t>GECORP compra 1 equipo</t>
  </si>
  <si>
    <t>F23501</t>
  </si>
  <si>
    <t>F23502</t>
  </si>
  <si>
    <t>GECORP compra accesorio equipo</t>
  </si>
  <si>
    <t xml:space="preserve">EASY PINTURA BLANCA MUEBLE </t>
  </si>
  <si>
    <t>F21509946</t>
  </si>
  <si>
    <t>F21519808</t>
  </si>
  <si>
    <t xml:space="preserve">EASY PINTURA BLANCA MUEBLE BROCHA </t>
  </si>
  <si>
    <t>HOMECENTER arriendo caladora</t>
  </si>
  <si>
    <t>F102451374</t>
  </si>
  <si>
    <t>LANCER 2 regul, cil CO2 2.3Kg, mang</t>
  </si>
  <si>
    <t>F1065034</t>
  </si>
  <si>
    <t>Boleta N° 1  Brand Book</t>
  </si>
  <si>
    <t>B1</t>
  </si>
  <si>
    <t>F24</t>
  </si>
  <si>
    <t>Factura N° 7 Sofía Jottar</t>
  </si>
  <si>
    <t>Boleta N° 120  EMS Remun Dic</t>
  </si>
  <si>
    <t>F29 DIC</t>
  </si>
  <si>
    <t>+</t>
  </si>
  <si>
    <t>=</t>
  </si>
  <si>
    <t>ESMAX flete La Raine a Chicureo Casa Huidobro a SIDTECH</t>
  </si>
  <si>
    <t>B168270027</t>
  </si>
  <si>
    <t>UBER Cilindro CO2 SIDTECH a JOTTAR</t>
  </si>
  <si>
    <t>Factura N° 8 Sofía Jottar</t>
  </si>
  <si>
    <r>
      <t xml:space="preserve">EERR                                                 </t>
    </r>
    <r>
      <rPr>
        <b/>
        <sz val="8"/>
        <color indexed="8"/>
        <rFont val="Calibri"/>
        <family val="2"/>
      </rPr>
      <t>(01 Junio al 31 de Dic 2019)</t>
    </r>
  </si>
  <si>
    <t>Boleta N° 119 EMS Remun Agosto</t>
  </si>
  <si>
    <t>B119</t>
  </si>
  <si>
    <t>B120</t>
  </si>
  <si>
    <r>
      <t xml:space="preserve">EERR                                                 </t>
    </r>
    <r>
      <rPr>
        <b/>
        <sz val="8"/>
        <color indexed="8"/>
        <rFont val="Calibri"/>
        <family val="2"/>
      </rPr>
      <t>(al 20 de Ene 2020)</t>
    </r>
  </si>
  <si>
    <t>Saldo al 31 de Dic 2019</t>
  </si>
  <si>
    <t>UBER flete Cilindro CO2 SIDTECH a JOTTAR</t>
  </si>
  <si>
    <t>ESMAX flete Casa Liberona a Huidobro a SIDTECH a Casa Mardones</t>
  </si>
  <si>
    <t>F23402</t>
  </si>
  <si>
    <t>NC1990</t>
  </si>
  <si>
    <t>GECORP compra 1 equipo 100 lt/min pinchadores devueltos</t>
  </si>
  <si>
    <t>F25</t>
  </si>
  <si>
    <t>SIDTECH OC 100008</t>
  </si>
  <si>
    <t>F23187</t>
  </si>
  <si>
    <t xml:space="preserve">COPEC flete a SIDTECH a JOTTAR a HUIDOBRO  </t>
  </si>
  <si>
    <t>Clean Ice Carga 9Kg CO2</t>
  </si>
  <si>
    <t>F23682</t>
  </si>
  <si>
    <t>B11294</t>
  </si>
  <si>
    <t>B856145</t>
  </si>
  <si>
    <t xml:space="preserve">Flete Vitacura-Sofia Jottar </t>
  </si>
  <si>
    <t>B249931041</t>
  </si>
  <si>
    <t>F26</t>
  </si>
  <si>
    <t>SIDTECH arr 2 reactor Entregas 19 y 21 de Nov</t>
  </si>
  <si>
    <t>SIDTECH arr 3 reactor Entregas 19 y 21 de Nov y 15 de Enero</t>
  </si>
  <si>
    <t>Factura N° 9 Sofía Jottar</t>
  </si>
  <si>
    <t>Prueba Mercatelli</t>
  </si>
  <si>
    <t>B255234562</t>
  </si>
  <si>
    <t>Boleta N° 121 EMS Remun Enero 2020</t>
  </si>
  <si>
    <t>Factura N° 10 Sofía Jottar</t>
  </si>
  <si>
    <t>Remanente IVA</t>
  </si>
  <si>
    <t>Compra a SIDTECH</t>
  </si>
  <si>
    <t>Perdida</t>
  </si>
  <si>
    <t>Factura N° 11 Sofía Jottar</t>
  </si>
  <si>
    <t>F11</t>
  </si>
  <si>
    <t>B255856778</t>
  </si>
  <si>
    <t>B255857604</t>
  </si>
  <si>
    <t>Flete Vitacura-S.Jottar-Vitacura</t>
  </si>
  <si>
    <t>B256141175</t>
  </si>
  <si>
    <t>10 botellas Sauvignon Blanc para test LANCER</t>
  </si>
  <si>
    <t>F31263917</t>
  </si>
  <si>
    <t>Clean Ice Carga 9Kg+9Kg+2Kg CO2</t>
  </si>
  <si>
    <t>F23989</t>
  </si>
  <si>
    <t>Flete Vitacura-Gecorp-C.Huid-Mercatelli-Vitacura</t>
  </si>
  <si>
    <t>Flete Vitacura-CleanIce-Mercatelli-C.Huid-Gecorp-Vitacura</t>
  </si>
  <si>
    <t>Flete Vitacura-El Establo-Cleanice-El Establo-S.Jottar-Vitacura</t>
  </si>
  <si>
    <t>(lt)</t>
  </si>
  <si>
    <r>
      <t xml:space="preserve">EERR                                                 </t>
    </r>
    <r>
      <rPr>
        <b/>
        <sz val="8"/>
        <color indexed="8"/>
        <rFont val="Calibri"/>
        <family val="2"/>
      </rPr>
      <t>(al 19 de Feb 2020)</t>
    </r>
  </si>
  <si>
    <t>F29 Enero</t>
  </si>
  <si>
    <t>RESUMEN FLUJO DE CAJA al 19 Feb 2020</t>
  </si>
  <si>
    <t>Saldo Inicial al 01 Ene 2020</t>
  </si>
  <si>
    <t>Saldo al 19 de Feb 2020</t>
  </si>
  <si>
    <t>F29 ENE</t>
  </si>
  <si>
    <t xml:space="preserve">Boleta N°122 Remun Variable Gerente </t>
  </si>
  <si>
    <t>B122</t>
  </si>
  <si>
    <t>B121</t>
  </si>
  <si>
    <t>Flete Vitacura-CasaGH-S.Jottar-Vitacura</t>
  </si>
  <si>
    <t>B256329633</t>
  </si>
  <si>
    <t>Flete Vitacura-SIDTECH-CasaGH-S.Jottar-Vitacura</t>
  </si>
  <si>
    <t>B256243695</t>
  </si>
  <si>
    <t>F12</t>
  </si>
  <si>
    <t>Factura N° 12 Sofía Jottar</t>
  </si>
  <si>
    <t>UBER flete 60lt  SIDTECH a JOTTAR</t>
  </si>
  <si>
    <t>CALENDULA 1 lt alcohol de cereal</t>
  </si>
  <si>
    <t>F3136</t>
  </si>
  <si>
    <t>F194283</t>
  </si>
  <si>
    <t>ANALAB preparación mezcla Aperol</t>
  </si>
  <si>
    <t xml:space="preserve">Boleta N°xxx Remun Variable Gerente </t>
  </si>
  <si>
    <t>Factura N° 13 Sofía Jottar</t>
  </si>
  <si>
    <t>F13</t>
  </si>
  <si>
    <t>Factura N° 14 Sofía Jottar</t>
  </si>
  <si>
    <t>F14</t>
  </si>
  <si>
    <t>F29 Febrero</t>
  </si>
  <si>
    <t>LANCER carbonatador</t>
  </si>
  <si>
    <t>Oficina Virtual</t>
  </si>
  <si>
    <t>AF ACUM</t>
  </si>
  <si>
    <t>Estado de Situacion al:</t>
  </si>
  <si>
    <t>Ctas x Cobrar</t>
  </si>
  <si>
    <t>Ctas x Pagar</t>
  </si>
  <si>
    <t>Activo Fijo</t>
  </si>
  <si>
    <t>subtotal</t>
  </si>
  <si>
    <t>saldo</t>
  </si>
  <si>
    <t xml:space="preserve">Aportes </t>
  </si>
  <si>
    <t>Pérdida prom 9 meses (Julio 2019 a  Marzo 2020)</t>
  </si>
  <si>
    <t>Equipo+mueble grande</t>
  </si>
  <si>
    <t>Equipo chico + mueble chico</t>
  </si>
  <si>
    <t>IVA incl.</t>
  </si>
  <si>
    <t>Cilindro CO2</t>
  </si>
  <si>
    <t>Mueble grande</t>
  </si>
  <si>
    <t>Carbonatador Lancer</t>
  </si>
  <si>
    <t>IVA incl</t>
  </si>
  <si>
    <t>Equipo Lancer +equipo frío+ Mueble:</t>
  </si>
  <si>
    <t>Sub total Equipo+mueble grande</t>
  </si>
  <si>
    <t>TOTAL Carbonatador+frio+mueble</t>
  </si>
  <si>
    <t>ACTIVO</t>
  </si>
  <si>
    <t>PASIVO</t>
  </si>
  <si>
    <t>Aporte necesario para deficit Marzo</t>
  </si>
  <si>
    <t>TOTAL Carbonatador LANCER+frio+mueble</t>
  </si>
  <si>
    <t>Carbonatador SIDTECH</t>
  </si>
  <si>
    <t>Flete Vitacura-SIDTECH-Vitacura</t>
  </si>
  <si>
    <t>B2237829</t>
  </si>
  <si>
    <t>Clean Ice Carga 9Kg+2Kg CO2</t>
  </si>
  <si>
    <t>F24588</t>
  </si>
  <si>
    <t>FERSOL tambor 60 lt una boca</t>
  </si>
  <si>
    <t>F3861</t>
  </si>
  <si>
    <t>CALENDULA 4 lt alcohol de cereal</t>
  </si>
  <si>
    <t>F3265</t>
  </si>
  <si>
    <t>Flete Vitacura-Cleanice-Wenco-Fersol-Sjottar-Vitacura</t>
  </si>
  <si>
    <t>B258222749</t>
  </si>
  <si>
    <t>UNIMARC 8X6 LT agua+5 kg azucar</t>
  </si>
  <si>
    <t>SABORES Ltda. Ingredientes Aperol</t>
  </si>
  <si>
    <t>F58956</t>
  </si>
  <si>
    <t>B258333151</t>
  </si>
  <si>
    <t>Flete Vitacura-SIDTECH-S.Jottar-Vitacura</t>
  </si>
  <si>
    <t>Flete Vitacura-SJottar-Vitacura</t>
  </si>
  <si>
    <t>B258279430</t>
  </si>
  <si>
    <t>AF:</t>
  </si>
  <si>
    <t>xxxx</t>
  </si>
  <si>
    <t>xxx</t>
  </si>
  <si>
    <t>F27</t>
  </si>
  <si>
    <t>SIDTECH mueble+vino</t>
  </si>
  <si>
    <t>F28</t>
  </si>
  <si>
    <t>SIDTECH arr 3 reactor Entregas 19 y 21 de Nov y 15 de Enero+vino</t>
  </si>
  <si>
    <t>F29</t>
  </si>
  <si>
    <t>SIDTECH vino</t>
  </si>
  <si>
    <t>Factura N° 15 Sofía Jottar</t>
  </si>
  <si>
    <t>F15</t>
  </si>
  <si>
    <t>Mes 1</t>
  </si>
  <si>
    <t>Mes 2</t>
  </si>
  <si>
    <t>Mes 3</t>
  </si>
  <si>
    <t>Mes 4</t>
  </si>
  <si>
    <t>Máquinas Operativas</t>
  </si>
  <si>
    <t>Yso por ventas</t>
  </si>
  <si>
    <t>Total GAV</t>
  </si>
  <si>
    <t>Costo máquinas (S/iva)</t>
  </si>
  <si>
    <t>Ebitda</t>
  </si>
  <si>
    <t>Ebitda acumulado</t>
  </si>
  <si>
    <t>Ebitda Acumulado</t>
  </si>
  <si>
    <t>NOV</t>
  </si>
  <si>
    <t>DEC</t>
  </si>
  <si>
    <t>JAN</t>
  </si>
  <si>
    <t>FEB</t>
  </si>
  <si>
    <t>Ut. Bruta</t>
  </si>
  <si>
    <t>lt</t>
  </si>
  <si>
    <t>REAL</t>
  </si>
  <si>
    <t>PLAN (hoja EERR2 Eventos cobro x lt)</t>
  </si>
  <si>
    <t>Máquinas Disponibles</t>
  </si>
  <si>
    <t>B258439138</t>
  </si>
  <si>
    <t>TOTTUS alargador electrico</t>
  </si>
  <si>
    <t>B484741684</t>
  </si>
  <si>
    <t>Boleta N° 123 EMS Remun Febrero 2020</t>
  </si>
  <si>
    <t>Cta Cte</t>
  </si>
  <si>
    <t>F30</t>
  </si>
  <si>
    <t>F31511712</t>
  </si>
  <si>
    <t>Flete Vitacura-Chicureo-Vitacura 18 y 20 Marzo</t>
  </si>
  <si>
    <t>B258613719</t>
  </si>
  <si>
    <t>Carbonatador Lancer solo</t>
  </si>
  <si>
    <t>F36</t>
  </si>
  <si>
    <t>SIDTECH vino+mezcla+llenado Spritz</t>
  </si>
  <si>
    <t>F32</t>
  </si>
  <si>
    <t>SIDTECH OC 100010 1000 lt vino abono 20%</t>
  </si>
  <si>
    <t>FERNAPET Balanza 500 +/- 1 gramo</t>
  </si>
  <si>
    <t>F84289</t>
  </si>
  <si>
    <t>Bxxx</t>
  </si>
  <si>
    <t>B123</t>
  </si>
  <si>
    <t>F29 Marzo</t>
  </si>
  <si>
    <t>Insumos 500 lt Laura Seyler Spritz</t>
  </si>
  <si>
    <t>100 Bolsas 10 lt</t>
  </si>
  <si>
    <t>2 Cilindro CO2 9Kg</t>
  </si>
  <si>
    <t>SIDTECH OC 100010 1000 lt vino saldo 80%</t>
  </si>
  <si>
    <t>FXX</t>
  </si>
  <si>
    <t>Factura N° XX Sofía Jottar   SPRITZ</t>
  </si>
  <si>
    <t>Equipo llenado de bolsas artesanal</t>
  </si>
  <si>
    <t xml:space="preserve">Equipo llenado de bolsas mecanizado </t>
  </si>
  <si>
    <t>cilindro CO2 2 Kg</t>
  </si>
  <si>
    <t>Boleta N° 2  saldo Brand Book</t>
  </si>
  <si>
    <t>B2</t>
  </si>
  <si>
    <t>Boleta N° 124  EMS Remun Marzo 2020</t>
  </si>
  <si>
    <t>B124</t>
  </si>
  <si>
    <t xml:space="preserve">Boleta N°125 Remun Variable Gerente </t>
  </si>
  <si>
    <t>B125</t>
  </si>
  <si>
    <t>F33</t>
  </si>
  <si>
    <t>Pyme Asesores  Declaracion Renta</t>
  </si>
  <si>
    <t>Honorarios anuales con retención</t>
  </si>
  <si>
    <t>Honorarios anuales sin retención</t>
  </si>
  <si>
    <t>Incremento por impuestos pagados o retenidos en el exterior</t>
  </si>
  <si>
    <t>Total ingresos brutos</t>
  </si>
  <si>
    <t>Participación en soc. de profesionales de 2ª Categoría.</t>
  </si>
  <si>
    <t>Monto ahorro previsional, según art. 42 bis inc. 1° LIR</t>
  </si>
  <si>
    <t>-</t>
  </si>
  <si>
    <t>Gastos por donaciones para fines sociales, según art. 1° bis Ley N° 19.885</t>
  </si>
  <si>
    <t>Gastos efectivos (solo rebajables del código 547)</t>
  </si>
  <si>
    <t>Gastos presuntos: 30% sobre el código 547, con tope de 15 UTA</t>
  </si>
  <si>
    <t>Rebaja por presunción de asignación de zona D.L. N° 889 de 1975</t>
  </si>
  <si>
    <t>Total Honorarios</t>
  </si>
  <si>
    <t>Total remuneraciones directores S.A.</t>
  </si>
  <si>
    <t>Total rentas y retenciones</t>
  </si>
  <si>
    <t>Gastos con Boleta</t>
  </si>
  <si>
    <t>F Ex 493</t>
  </si>
  <si>
    <t>Boleta N° xxx  EMS Remun Abril 2020</t>
  </si>
  <si>
    <t>equipo frio,torre cromada 2s,2 grifos, 2 portaplaca,bandeja AcInox30x18,fittings J-G</t>
  </si>
  <si>
    <t>Carbonatadores Lancer (2)</t>
  </si>
  <si>
    <t>Modificación Mueble</t>
  </si>
  <si>
    <t>Cilindro 9 Kg</t>
  </si>
  <si>
    <t>Fittings</t>
  </si>
  <si>
    <t>Stickers logo LS</t>
  </si>
  <si>
    <t>Zapatilla electrica</t>
  </si>
  <si>
    <t>TOTAL IVA incl.</t>
  </si>
  <si>
    <t>por facturar</t>
  </si>
  <si>
    <t>NC 1990</t>
  </si>
  <si>
    <t>GECORP N/C 1990</t>
  </si>
  <si>
    <t>SII DEVOLUCION PPM 2019</t>
  </si>
  <si>
    <t>F1130</t>
  </si>
  <si>
    <t>Corretajes Torres</t>
  </si>
  <si>
    <t>Adaptación Mueble mediano con 2 Carbonatadores Lancer para dispensar Espumante y Spritz</t>
  </si>
  <si>
    <t>Adaptación Mueble grande con 2 Carbonatadores Lancer para dispensar Espumante y Spritz</t>
  </si>
  <si>
    <t>Adaptación Mueble grande con 1 Carbonatador Lancer y torre postmix 2 valvulas para dispensar Espumante y Spritz</t>
  </si>
  <si>
    <t>Torre post mix 2 vallvulas</t>
  </si>
  <si>
    <t>Bomba Aperol T15000</t>
  </si>
  <si>
    <t>Carbonatador Lancer (1)</t>
  </si>
  <si>
    <t>Equipo Frío+torre+acc</t>
  </si>
  <si>
    <t>Mueble grande con 1 Carbonatador Lancer y torre postmix 2 valvulas para dispensar Espumante y Spritz</t>
  </si>
  <si>
    <t>Equipo Frío+bandeja+acc</t>
  </si>
  <si>
    <t>VIÑA STA. CAROLINA 1.5X9X12 lt Chardonnay</t>
  </si>
  <si>
    <t>Boleta N°xxx7282</t>
  </si>
  <si>
    <t>Av. Ricardo Mahn 2 bidones 30 lt</t>
  </si>
  <si>
    <t xml:space="preserve">sin boleta </t>
  </si>
  <si>
    <t>Transfer</t>
  </si>
  <si>
    <t>B181419</t>
  </si>
  <si>
    <t>Flete Vitacura-Viña Sta Carolina-Vitacura</t>
  </si>
  <si>
    <t>F31909557</t>
  </si>
  <si>
    <t>UNIMARC AGUA AZUCAR</t>
  </si>
  <si>
    <t>CLEAN ICE recarga 9 Kg CO2</t>
  </si>
  <si>
    <t>F26833</t>
  </si>
  <si>
    <t>Boleta N° xxx  EMS Remun Mayo 2020</t>
  </si>
  <si>
    <t>Boleta N° xxx  EMS Remun Junio 2020</t>
  </si>
  <si>
    <t>Boleta N° xxx  EMS Remun Julio 2020</t>
  </si>
  <si>
    <t>Boleta N° xxx  EMS Remun Agosto 2020</t>
  </si>
  <si>
    <t>2 muebles</t>
  </si>
  <si>
    <t>1 mueble</t>
  </si>
  <si>
    <t>0 lt</t>
  </si>
  <si>
    <t>SIDTECH  Arriendo 2 Equipos Entregas 19 y 21 de Nov</t>
  </si>
  <si>
    <t>SIDTECH OC 100006 FABRICACIÓN 2 muebles</t>
  </si>
  <si>
    <t>SIDTECH OC 100001 FABRICACIÓN 2 muebles</t>
  </si>
  <si>
    <t xml:space="preserve">SIDTECH OC 100002 VINO 100 lt  </t>
  </si>
  <si>
    <t>SIDTECH OC 100003 VINO 200 lt</t>
  </si>
  <si>
    <t>SIDTECH OC 100004 VINO 200 lt</t>
  </si>
  <si>
    <t>SIDTECH OC 100007 VINO 200 lt</t>
  </si>
  <si>
    <t>SIDTECH Arriendo 2 Equipos Entregas 19 y 21 de Nov</t>
  </si>
  <si>
    <t>SIDTECH Arriendo 3 Equipos Entregas 19 y 21 de Nov y 15 de Enero</t>
  </si>
  <si>
    <t>SIDTECH FABRICACIÓN 1 mueble chico + 60 lt VINO</t>
  </si>
  <si>
    <t>SIDTECH Arriendo 3 Equipos Entregas 19 y 21 de Nov y 15 de Enero + 60 lt VINO</t>
  </si>
  <si>
    <t>SIDTECH 100 lt VINO</t>
  </si>
  <si>
    <t>SIDTECH 10 lt VINO + mezcla + llenado 100 lt Spritz</t>
  </si>
  <si>
    <t>SIDTECH OC 100008 VINO 200 lt</t>
  </si>
  <si>
    <t>SIDTECH OC 100010 1000 lt VINO ANTICIPO</t>
  </si>
  <si>
    <t>Stock G-Huidobro y EM</t>
  </si>
  <si>
    <t>saldo a favor SIDTECH</t>
  </si>
  <si>
    <t>saldo a favor COM.LUX.</t>
  </si>
  <si>
    <t>Anticipo 1000 lt VINO</t>
  </si>
  <si>
    <t>Total arriendos facturados</t>
  </si>
  <si>
    <t>Real utilizado</t>
  </si>
  <si>
    <t>Total arriendos utilizados</t>
  </si>
  <si>
    <t>USD/$</t>
  </si>
  <si>
    <t>Total arriendo pagado</t>
  </si>
  <si>
    <t>TOTAL PAGOS A SIDTECH</t>
  </si>
  <si>
    <t>Flete Vitacura-Emb.La Colonia Peñaflor-Vitacura</t>
  </si>
  <si>
    <t>Oficina Virtual al 16 de Octubre</t>
  </si>
  <si>
    <t>Transfer Estado</t>
  </si>
  <si>
    <t>CREDITO BANCO ESTADO</t>
  </si>
  <si>
    <t>Flete Vitacura-SIDTECH San Joaquin-Vitacura</t>
  </si>
  <si>
    <t>Flete Vitacura-Renca-Requinoa-Recoleta-Vitacura</t>
  </si>
  <si>
    <t>LANCER  arriendo 1 equipo</t>
  </si>
  <si>
    <t>LANCER  embolsado+ caja 40 lt</t>
  </si>
  <si>
    <t xml:space="preserve">TAGLER </t>
  </si>
  <si>
    <t xml:space="preserve">firma.cl </t>
  </si>
  <si>
    <t>F1069201</t>
  </si>
  <si>
    <t>F11147260</t>
  </si>
  <si>
    <t>F34231</t>
  </si>
  <si>
    <t xml:space="preserve">HOMECENTER Pintura </t>
  </si>
  <si>
    <t>F107907716</t>
  </si>
  <si>
    <t>23-0ct</t>
  </si>
  <si>
    <t xml:space="preserve">Gastos no reembolsado  EMS acumuldo al 14 Oct </t>
  </si>
  <si>
    <t>Reembolso a EMS  gastos no reembolsados al 14Oct</t>
  </si>
  <si>
    <t>Factura N° 25 Marina</t>
  </si>
  <si>
    <t>Factura N° 26 Marina</t>
  </si>
  <si>
    <t>Flete Vitacura-Chicureo-Recoleta-Vitacura</t>
  </si>
  <si>
    <t>Clean Ice</t>
  </si>
  <si>
    <t>F28050</t>
  </si>
  <si>
    <t>F1069298</t>
  </si>
  <si>
    <t>LANCER  insumos</t>
  </si>
  <si>
    <t>F1069330</t>
  </si>
  <si>
    <t>Factura N° 27 Marina</t>
  </si>
  <si>
    <t>Factura N° 28 Marina</t>
  </si>
  <si>
    <t>Factura N° 29 Marina</t>
  </si>
  <si>
    <t>LANCER  arriendo equipo</t>
  </si>
  <si>
    <t>GoDaddy renovación anual dominio web</t>
  </si>
  <si>
    <t>F1774612869</t>
  </si>
  <si>
    <t>F1774166231</t>
  </si>
  <si>
    <t>GoDaddy renovación anual casilla email</t>
  </si>
  <si>
    <t>Flete Vitacura-Requinoa-Recoleta-Vitacura</t>
  </si>
  <si>
    <t>TRANSF A B. ESTADO CTA CLIENTE</t>
  </si>
  <si>
    <t>Flete Vitacura-Recoleta-Rest.Marina -Vitacura</t>
  </si>
  <si>
    <t>B126</t>
  </si>
  <si>
    <t xml:space="preserve">SENCE subsidio </t>
  </si>
  <si>
    <t>LANCER Servicio de embolsado u caja</t>
  </si>
  <si>
    <t>F1069495</t>
  </si>
  <si>
    <t>Factura N° 30 Marina</t>
  </si>
  <si>
    <t>LANCER Cilindro,recarga,regulador</t>
  </si>
  <si>
    <t>F1069553</t>
  </si>
  <si>
    <t>Flete Vitacura-Chicureo-Vitacura</t>
  </si>
  <si>
    <t>SABORES escencia ginger colorante caramelo</t>
  </si>
  <si>
    <t>SAG SPS 534539</t>
  </si>
  <si>
    <t>Factura N° 31 Marina</t>
  </si>
  <si>
    <t>F31</t>
  </si>
  <si>
    <t>Factura N° 32 Entretoros</t>
  </si>
  <si>
    <t>RENO alcohol 200 lt</t>
  </si>
  <si>
    <t>F388861</t>
  </si>
  <si>
    <t>Boleta N° xxx  EMS Remun Sept 2020</t>
  </si>
  <si>
    <t>Factura N° 33Marina</t>
  </si>
  <si>
    <t>Boleta N° xxx  EMS Remun Oct 2020</t>
  </si>
  <si>
    <t>Boleta N° xxx  EMS Remun Nov 2020</t>
  </si>
  <si>
    <t>Flete Vitacura-Marina-Chicureo-Vitacura</t>
  </si>
  <si>
    <t>SODIMAC aislante tuberias</t>
  </si>
  <si>
    <t>F108312903</t>
  </si>
  <si>
    <t>Boleta N° 126 EMS Remun Abril 2020</t>
  </si>
  <si>
    <t>HARRY PLOTTER</t>
  </si>
  <si>
    <t>F36586</t>
  </si>
  <si>
    <t>F6499</t>
  </si>
  <si>
    <t>transfer</t>
  </si>
  <si>
    <t>Rebeca Trincado 4 ruedas 10 cm + 4 con freno</t>
  </si>
  <si>
    <t>Elias Becerra modificación mueble chico</t>
  </si>
  <si>
    <t>Flete Vitacura Chicureo Vitacura</t>
  </si>
  <si>
    <t>Cleanice</t>
  </si>
  <si>
    <t>F1069066</t>
  </si>
  <si>
    <t>F28793</t>
  </si>
  <si>
    <t>LANCER Cilindro,recarga</t>
  </si>
  <si>
    <t>F1069820</t>
  </si>
  <si>
    <t>F1069822</t>
  </si>
  <si>
    <t>LANCER  arriendo equipo N°3</t>
  </si>
  <si>
    <t>F1069793</t>
  </si>
  <si>
    <t>LANCER  arriendo equipo N°1 y 2</t>
  </si>
  <si>
    <t>Flete Vitacura Recoleta -Marina Vitacura</t>
  </si>
  <si>
    <t>TC ems</t>
  </si>
  <si>
    <t>F108597127</t>
  </si>
  <si>
    <t>SODIMAC pintura spray + barniz spray</t>
  </si>
  <si>
    <t>F34</t>
  </si>
  <si>
    <t>Factura N° 34Marina</t>
  </si>
  <si>
    <t>F35</t>
  </si>
  <si>
    <t>Factura N° 35 Entretoros</t>
  </si>
  <si>
    <t>Boleta N° 127  EMS Remun Mayo 2020</t>
  </si>
  <si>
    <t>B127</t>
  </si>
  <si>
    <t>Flete Vitacura  Recoleta Vitacura</t>
  </si>
  <si>
    <t>Factura N° 36Marina</t>
  </si>
  <si>
    <t>Factura N° 37Marina</t>
  </si>
  <si>
    <t>F37</t>
  </si>
  <si>
    <t>F29156</t>
  </si>
  <si>
    <t>Cleanice recarga 2Kg</t>
  </si>
  <si>
    <t>Flete Mario Liberona Stgo Requinoa Stgo</t>
  </si>
  <si>
    <t>F29 Nov</t>
  </si>
  <si>
    <t>Factura N° 38Marina</t>
  </si>
  <si>
    <t>F38</t>
  </si>
  <si>
    <t>FRIGO torre 3grifos</t>
  </si>
  <si>
    <t xml:space="preserve">F108 </t>
  </si>
  <si>
    <t>Jorge Araya  plataforma bar + arreglo mueble chico</t>
  </si>
  <si>
    <t>F95603 Pedido 27963</t>
  </si>
  <si>
    <t xml:space="preserve">SABORES goma Xanthan escencia ginger colorante caramelo </t>
  </si>
  <si>
    <t>Boleta N° xxx  EMS Remun Dic2020</t>
  </si>
  <si>
    <t>SANGRIALEGRIA</t>
  </si>
  <si>
    <t>F48</t>
  </si>
  <si>
    <t>F1170013</t>
  </si>
  <si>
    <t>LANCER EMBOLSADO</t>
  </si>
  <si>
    <t>LANCER ULTIMA CUOTA 1ER EQUIPO</t>
  </si>
  <si>
    <t>LANCER arriendos equipos</t>
  </si>
  <si>
    <t>LANCER conector abrazaderas</t>
  </si>
  <si>
    <t>ANTAWARA</t>
  </si>
  <si>
    <t>Factura N° 40Marina</t>
  </si>
  <si>
    <t>Factura N° 41Marina</t>
  </si>
  <si>
    <t>F39</t>
  </si>
  <si>
    <t>F40</t>
  </si>
  <si>
    <t>F41</t>
  </si>
  <si>
    <t>Factura N° 39 Entretoros</t>
  </si>
  <si>
    <t>Factura N°42Marina ARRIENDO VAR DIC2020</t>
  </si>
  <si>
    <t>F42</t>
  </si>
  <si>
    <t>Factura N°43Marina</t>
  </si>
  <si>
    <t>F43</t>
  </si>
  <si>
    <t>F1070330</t>
  </si>
  <si>
    <t>LANCER bomba,regulador sec, varios</t>
  </si>
  <si>
    <t>Flete Vitacura Chicureo Providencia Vitacura</t>
  </si>
  <si>
    <t>F1070344</t>
  </si>
  <si>
    <t>F1070271</t>
  </si>
  <si>
    <t>F1070272</t>
  </si>
  <si>
    <t>F1070335</t>
  </si>
  <si>
    <t>F45</t>
  </si>
  <si>
    <t>Factura N°45Marina</t>
  </si>
  <si>
    <t>Factura N° 44 Entretoros</t>
  </si>
  <si>
    <t>F44</t>
  </si>
  <si>
    <t>UNIMARC azúcar+agua purificada</t>
  </si>
  <si>
    <t>LIDER Spritz Livenza</t>
  </si>
  <si>
    <t>B8190758004</t>
  </si>
  <si>
    <t>F32480830</t>
  </si>
  <si>
    <t>F32502972</t>
  </si>
  <si>
    <t>Boleta N° xxx  EMS Remun Ene2021</t>
  </si>
  <si>
    <t>F1070013</t>
  </si>
  <si>
    <t>Jorge Araya  50% arreglo mueble mediano</t>
  </si>
  <si>
    <t>TOTAL</t>
  </si>
  <si>
    <t>SUBTOTAL VENTAS</t>
  </si>
  <si>
    <t xml:space="preserve">Factura Gilberto </t>
  </si>
  <si>
    <t>Factura N° 46 Entretoros</t>
  </si>
  <si>
    <t>F46</t>
  </si>
  <si>
    <t>Factura N°47  Entretoros ARRIENDO VAR ENE2021</t>
  </si>
  <si>
    <t>F47</t>
  </si>
  <si>
    <t>UBER Vitacura -Marina</t>
  </si>
  <si>
    <t>Factura N°48  Marina</t>
  </si>
  <si>
    <t>Factura N°50  Marina ARRIENDO VAR ENE2020</t>
  </si>
  <si>
    <t>F50</t>
  </si>
  <si>
    <t xml:space="preserve">LIDER alargador eléctrico </t>
  </si>
  <si>
    <t>B812610383</t>
  </si>
  <si>
    <t>F1070817</t>
  </si>
  <si>
    <t>LANCER arriendo equipo N°2 3a cuota</t>
  </si>
  <si>
    <t>LANCER arriendo equipo N°3 2a cuota</t>
  </si>
  <si>
    <t>F1070818</t>
  </si>
  <si>
    <t>Flete Vitacura Marina Clean Ice  Vitacura</t>
  </si>
  <si>
    <t>CLEAN ICE carga 2 x2 kg 1 x 9 kg</t>
  </si>
  <si>
    <t>F30107</t>
  </si>
  <si>
    <t>Factura N°51 Marina</t>
  </si>
  <si>
    <t>F51</t>
  </si>
  <si>
    <t>F52</t>
  </si>
  <si>
    <t>Factura N°52 Marina</t>
  </si>
  <si>
    <t>ANTAWARA  2700 lt</t>
  </si>
  <si>
    <t>Boleta N°129 Remun Var. Gte. a Enero</t>
  </si>
  <si>
    <t>B129</t>
  </si>
  <si>
    <t>Factura N°53 Marina</t>
  </si>
  <si>
    <t>F53</t>
  </si>
  <si>
    <t>Flete Vitacura Chicureo Marina Vitacura</t>
  </si>
  <si>
    <t>F29 ENERO</t>
  </si>
  <si>
    <t>Factura N°54 Marina</t>
  </si>
  <si>
    <t>F54</t>
  </si>
  <si>
    <t>F66</t>
  </si>
  <si>
    <t>F63</t>
  </si>
  <si>
    <t>Jorge Araya  saldo 50% arreglo mueble mediano</t>
  </si>
  <si>
    <t>Factura N°55 Marina</t>
  </si>
  <si>
    <t>F55</t>
  </si>
  <si>
    <t>Flete Vitacura Marina  Vitacura</t>
  </si>
  <si>
    <t>Factura N° 57 Entretoros</t>
  </si>
  <si>
    <t>F57</t>
  </si>
  <si>
    <t>Factura N°56 Marina</t>
  </si>
  <si>
    <t>F56</t>
  </si>
  <si>
    <t>Flete Vitacura Marina  Chicureo Vitacura</t>
  </si>
  <si>
    <t>Flete Vitacura Mari na Vitacura</t>
  </si>
  <si>
    <t>Factura N°58 Marina</t>
  </si>
  <si>
    <t>F58</t>
  </si>
  <si>
    <t>Factura N°59  Marina ARRIENDO VAR FEB2020</t>
  </si>
  <si>
    <t>F59</t>
  </si>
  <si>
    <t>F69</t>
  </si>
  <si>
    <t>Boleta N° xxx  EMS Remun Feb2021</t>
  </si>
  <si>
    <t>F1071146</t>
  </si>
  <si>
    <t>LANCER embolsado 10x10 lt</t>
  </si>
  <si>
    <t>Flete Vitacura Jazz Corner  Recoleta  Vitacura</t>
  </si>
  <si>
    <t>LANCER arriendo equipo N°2 4a cuota</t>
  </si>
  <si>
    <t>F1071138</t>
  </si>
  <si>
    <t>LANCER arriendo equipo N°3 3a cuota</t>
  </si>
  <si>
    <t>F1071139</t>
  </si>
  <si>
    <t>A.FIJO</t>
  </si>
  <si>
    <t>F29 Feb</t>
  </si>
  <si>
    <t>Flete Vitacura Marina Jazz Corner  Entretoros Vitacura</t>
  </si>
  <si>
    <t>Flete Vitacura Marina Jazz Corner  Vitacura</t>
  </si>
  <si>
    <t>Idealbridge Contabilidad Abono Decl Renta, Rectif y Deecl.Juradas</t>
  </si>
  <si>
    <t>F70</t>
  </si>
  <si>
    <t>B130</t>
  </si>
  <si>
    <t>Boleta N°xxx Remun Var. Gte. Mar 2021</t>
  </si>
  <si>
    <t>Oficina Virtual (semestre)</t>
  </si>
  <si>
    <t>Boleta N° xxx  EMS Remun Marzo 2021</t>
  </si>
  <si>
    <t>Entrada</t>
  </si>
  <si>
    <t>Salida</t>
  </si>
  <si>
    <t xml:space="preserve">LIA </t>
  </si>
  <si>
    <t>MARIO</t>
  </si>
  <si>
    <t>APORTES CASH CAPITAL</t>
  </si>
  <si>
    <t>F11071495</t>
  </si>
  <si>
    <t>Credito FOGAPE</t>
  </si>
  <si>
    <t>Cuota N° 1 de 25</t>
  </si>
  <si>
    <t>Prioridad</t>
  </si>
  <si>
    <t>Idealbridge Contabilidad Saldo Decl Renta, Rectif y Decl.Juradas</t>
  </si>
  <si>
    <t>Flete Vitacura LANCER  Vitacura</t>
  </si>
  <si>
    <t>F20833</t>
  </si>
  <si>
    <t>Mundo Cervecero Deterg.desincrustante</t>
  </si>
  <si>
    <t>Cuota N° 2 de 25</t>
  </si>
  <si>
    <t>F60</t>
  </si>
  <si>
    <t>Factura N° 60 Jazz Corner</t>
  </si>
  <si>
    <t>Factura N° 61 Jazz Corner</t>
  </si>
  <si>
    <t>F61</t>
  </si>
  <si>
    <t>F29 Abril</t>
  </si>
  <si>
    <t>F29 Mayo</t>
  </si>
  <si>
    <t xml:space="preserve">TCL Group capilares </t>
  </si>
  <si>
    <t>Cuota N° 3 de 25</t>
  </si>
  <si>
    <t>Flete Vitacura Los Laureles Jazz Corner  Vitacura</t>
  </si>
  <si>
    <t>F4283</t>
  </si>
  <si>
    <t>Activo</t>
  </si>
  <si>
    <t>Pasivo</t>
  </si>
  <si>
    <t>Saldo Cuenta Bco Estado</t>
  </si>
  <si>
    <t>CxC clientes</t>
  </si>
  <si>
    <t>CXP proveedores</t>
  </si>
  <si>
    <t>Inventario</t>
  </si>
  <si>
    <t>Facturas Faltantes</t>
  </si>
  <si>
    <t>GECORP</t>
  </si>
  <si>
    <t>PROVEEDOR</t>
  </si>
  <si>
    <t>FACTURA</t>
  </si>
  <si>
    <t>MONTO NETO</t>
  </si>
  <si>
    <t>FECHA</t>
  </si>
  <si>
    <t>LANCER</t>
  </si>
  <si>
    <t>ACTIVO FIJO</t>
  </si>
  <si>
    <t>SIDTECH</t>
  </si>
  <si>
    <t>SANTORO THOMAS</t>
  </si>
  <si>
    <t>EASY</t>
  </si>
  <si>
    <t>HOMECENTER</t>
  </si>
  <si>
    <t xml:space="preserve">LANCER </t>
  </si>
  <si>
    <t>FERSOL</t>
  </si>
  <si>
    <t>FERNAPET</t>
  </si>
  <si>
    <t xml:space="preserve">LANCER  </t>
  </si>
  <si>
    <t xml:space="preserve">SODIMAC </t>
  </si>
  <si>
    <t>Rebeca Trincado</t>
  </si>
  <si>
    <t xml:space="preserve">FRIGO </t>
  </si>
  <si>
    <t>Saldo Credito FOGAPE</t>
  </si>
  <si>
    <t>Saldo en Viña</t>
  </si>
  <si>
    <t>Saldo en Lancer</t>
  </si>
  <si>
    <t>Saldo en Casa</t>
  </si>
  <si>
    <t>Saldo Total</t>
  </si>
  <si>
    <t>al 16 Junio</t>
  </si>
  <si>
    <t>Saldo Remuneracion Gerente (Jun 2020 a Marzo 2021)</t>
  </si>
  <si>
    <t>Estado de Situación al 16-6-2021</t>
  </si>
  <si>
    <t>Sub-totales</t>
  </si>
  <si>
    <t>cargo Cta Vista</t>
  </si>
  <si>
    <t>Transf</t>
  </si>
  <si>
    <t>LANCER Medidor TDS</t>
  </si>
  <si>
    <t>F1072123</t>
  </si>
  <si>
    <t>Cargadores CO2</t>
  </si>
  <si>
    <t>Oficina Virtual (semestre) (saldo)</t>
  </si>
  <si>
    <t>Factura N° 62 Sangria Alegria</t>
  </si>
  <si>
    <t>Factura N° 63 Sangria Alegria</t>
  </si>
  <si>
    <t>Factura N° 64 Los Laureles</t>
  </si>
  <si>
    <t>Factura N° 65 Los Laureles</t>
  </si>
  <si>
    <t>F62</t>
  </si>
  <si>
    <t>F64</t>
  </si>
  <si>
    <t>F65</t>
  </si>
  <si>
    <t>Cuota N° 4 de 25</t>
  </si>
  <si>
    <t xml:space="preserve">Imp. Johanna Balanza gramera </t>
  </si>
  <si>
    <t>F5234</t>
  </si>
  <si>
    <t>Flete Vitacura LANCER Vitacura</t>
  </si>
  <si>
    <t>Flete Vitacura  Los Laureles Vitacura</t>
  </si>
  <si>
    <t>Flete Vitacura  Lancer Vitacura</t>
  </si>
  <si>
    <t>F29 Junio</t>
  </si>
  <si>
    <t>Oficina Virtual (semestre) (abono)</t>
  </si>
  <si>
    <t>LANCER arriendo equipo N°3 4a cuota</t>
  </si>
  <si>
    <t xml:space="preserve">BONO PYME </t>
  </si>
  <si>
    <t>Factura N° 66 Sangria Alegria</t>
  </si>
  <si>
    <t>F31041</t>
  </si>
  <si>
    <t>GECORP Detergente DESANAMAX 2 unid</t>
  </si>
  <si>
    <t>Flete Vitacura  Lancer Clean Ice Vitacura</t>
  </si>
  <si>
    <t>Clean Ice recarga CO2 2x2kg + 1x9Kg</t>
  </si>
  <si>
    <t>F33807</t>
  </si>
  <si>
    <t>Factura N° 67 Jazz Corner</t>
  </si>
  <si>
    <t>F67</t>
  </si>
  <si>
    <t>F68</t>
  </si>
  <si>
    <t>Factura N° 68 Sangria Alegria</t>
  </si>
  <si>
    <t>Factura N° 69 Jazz Corner</t>
  </si>
  <si>
    <t>F269</t>
  </si>
  <si>
    <t>al 04 Agosto</t>
  </si>
  <si>
    <t xml:space="preserve">VIÑA </t>
  </si>
  <si>
    <t>CASA</t>
  </si>
  <si>
    <t>Inventario VINO</t>
  </si>
  <si>
    <t>Factura N° 70 Sangria Alegria</t>
  </si>
  <si>
    <t>Flete despacho cobrado Vitacura  Los Laureles Vitacura</t>
  </si>
  <si>
    <t>Factura N° 71 Jazz Corner</t>
  </si>
  <si>
    <t>F71</t>
  </si>
  <si>
    <t>F29 Julio</t>
  </si>
  <si>
    <t>Francisco Escobar Comision Apertura Los Laureles</t>
  </si>
  <si>
    <t>B31</t>
  </si>
  <si>
    <t>Boleta N° 131  EMS Remun Jun-Jul-Ago 2020</t>
  </si>
  <si>
    <t>B131</t>
  </si>
  <si>
    <t>Flete Vitacura  Cerrillos Vitacura</t>
  </si>
  <si>
    <t>76261982-2</t>
  </si>
  <si>
    <t>SOCIEDAD COMERCIAL CUTU-GOM LIMITADA</t>
  </si>
  <si>
    <t>Factura Electronica</t>
  </si>
  <si>
    <t>Documento Emitido</t>
  </si>
  <si>
    <t>76865145-0</t>
  </si>
  <si>
    <t>SANGRIA ALEGRIA SPA</t>
  </si>
  <si>
    <t>77238573-0</t>
  </si>
  <si>
    <t>PATIO LOS LAURELES SPA</t>
  </si>
  <si>
    <t>76269605-3</t>
  </si>
  <si>
    <t>LAMM SPA</t>
  </si>
  <si>
    <t>Nota de Credito Electronica</t>
  </si>
  <si>
    <t>77126823-4</t>
  </si>
  <si>
    <t>RESTAURANTE MARINA SPA</t>
  </si>
  <si>
    <t>76450120-9</t>
  </si>
  <si>
    <t>SOFIA JOTTAR BANQUETES Y EVENTOS LIMTADA</t>
  </si>
  <si>
    <t>DTE Recibido por Receptor</t>
  </si>
  <si>
    <t>Nota de Credito N°3 Jazz Corner</t>
  </si>
  <si>
    <t>NC03</t>
  </si>
  <si>
    <t>Flete despacho CO2 cobrado Vitacura  Los Laureles Vitacura</t>
  </si>
  <si>
    <t>Factura N° 72 Sangria Alegria</t>
  </si>
  <si>
    <t>F72</t>
  </si>
  <si>
    <t>Factura N° 73 Los Laureles</t>
  </si>
  <si>
    <t>F73</t>
  </si>
  <si>
    <t>SANGRIA ALEGRIA muestra botella</t>
  </si>
  <si>
    <t>F176</t>
  </si>
  <si>
    <t>Flete Vitacura  Jazz Corner  Vitacura</t>
  </si>
  <si>
    <t>F311</t>
  </si>
  <si>
    <t>Oficina Virtual Pro (trimestre inicio 16 Junio)</t>
  </si>
  <si>
    <t>F</t>
  </si>
  <si>
    <t>Factura N° 74 Sangria Alegria</t>
  </si>
  <si>
    <t>F74</t>
  </si>
  <si>
    <t>Stock Vino</t>
  </si>
  <si>
    <t>prom mes</t>
  </si>
  <si>
    <t>prom fijo</t>
  </si>
  <si>
    <t>ALTERNATIVA A:  ML-LV: 2 EQUIPOS, STOCK+DEUDA VINO+NUEVO RUT Y BRAND BOOK</t>
  </si>
  <si>
    <t xml:space="preserve">ALTERNATIVA B: </t>
  </si>
  <si>
    <r>
      <rPr>
        <b/>
        <sz val="11"/>
        <color indexed="8"/>
        <rFont val="Calibri"/>
        <family val="2"/>
      </rPr>
      <t>ML-LV</t>
    </r>
    <r>
      <rPr>
        <sz val="11"/>
        <color theme="1"/>
        <rFont val="Calibri"/>
        <family val="2"/>
        <scheme val="minor"/>
      </rPr>
      <t>: 2 equipos, stock/deuda vino+Nuevo RUT+B.Book</t>
    </r>
  </si>
  <si>
    <r>
      <rPr>
        <b/>
        <sz val="11"/>
        <color indexed="8"/>
        <rFont val="Calibri"/>
        <family val="2"/>
      </rPr>
      <t>EM</t>
    </r>
    <r>
      <rPr>
        <sz val="11"/>
        <color theme="1"/>
        <rFont val="Calibri"/>
        <family val="2"/>
        <scheme val="minor"/>
      </rPr>
      <t>: RUT, 1 equipo Los Laureles, deudas remun+Fogape</t>
    </r>
  </si>
  <si>
    <r>
      <rPr>
        <b/>
        <sz val="11"/>
        <color indexed="8"/>
        <rFont val="Calibri"/>
        <family val="2"/>
      </rPr>
      <t>ML-LV</t>
    </r>
    <r>
      <rPr>
        <sz val="11"/>
        <color theme="1"/>
        <rFont val="Calibri"/>
        <family val="2"/>
        <scheme val="minor"/>
      </rPr>
      <t>: RUT, 2 equipos, stock/deuda vino,remun+ deudaFogape</t>
    </r>
  </si>
  <si>
    <r>
      <rPr>
        <b/>
        <sz val="11"/>
        <color indexed="8"/>
        <rFont val="Calibri"/>
        <family val="2"/>
      </rPr>
      <t>EM</t>
    </r>
    <r>
      <rPr>
        <sz val="11"/>
        <color theme="1"/>
        <rFont val="Calibri"/>
        <family val="2"/>
        <scheme val="minor"/>
      </rPr>
      <t xml:space="preserve">: 1 equipo Los Laureles, pago de remun </t>
    </r>
  </si>
  <si>
    <t>saldo EMS</t>
  </si>
  <si>
    <t>saldo ML LV</t>
  </si>
  <si>
    <t>Nvo Inv</t>
  </si>
  <si>
    <t>% Nvo Inv</t>
  </si>
  <si>
    <t>F107311</t>
  </si>
  <si>
    <t>Sabores Esencia Sangria 1 Kg+Ac. Tartarico</t>
  </si>
  <si>
    <t>F107338</t>
  </si>
  <si>
    <t>SABORES enturbiante  1 Kg</t>
  </si>
  <si>
    <t>UNIMARC 5X2 lt Gato Tinto</t>
  </si>
  <si>
    <t>F33873476</t>
  </si>
  <si>
    <t>F75</t>
  </si>
  <si>
    <t>Factura N° 75 Sangria Alegria arriendo equipo</t>
  </si>
  <si>
    <t>F29 Sept</t>
  </si>
  <si>
    <t>"Abonos Varios" Bco Estado BONO ESTATAL IVA</t>
  </si>
  <si>
    <t>Flete Vitacura Los Laureles Recoleta Vitacura</t>
  </si>
  <si>
    <t>Flete Los Laureles cobrado a cliente</t>
  </si>
  <si>
    <t>Clean Ice 9kg+2Kg CO2</t>
  </si>
  <si>
    <t>F35914</t>
  </si>
  <si>
    <t xml:space="preserve">Factura N° 76 Sangria Alegria </t>
  </si>
  <si>
    <t>LV</t>
  </si>
  <si>
    <t>ML</t>
  </si>
  <si>
    <t>EM</t>
  </si>
  <si>
    <t xml:space="preserve">% LV </t>
  </si>
  <si>
    <t>% ML</t>
  </si>
  <si>
    <t>% EM</t>
  </si>
  <si>
    <t>ALTERNATIVA C</t>
  </si>
  <si>
    <t>Préstamo socio para pago Previred</t>
  </si>
  <si>
    <t>Previred Sept</t>
  </si>
  <si>
    <t>Préstamo socio para pago PPM Oct</t>
  </si>
  <si>
    <t>F29 Oct</t>
  </si>
  <si>
    <t>total recibido (lt, $)</t>
  </si>
  <si>
    <t>total abonado ($)</t>
  </si>
  <si>
    <t>total adeudado ($)</t>
  </si>
  <si>
    <t>F366</t>
  </si>
  <si>
    <t xml:space="preserve">GODADDY </t>
  </si>
  <si>
    <t>ALTERNATIVA D</t>
  </si>
  <si>
    <t>LIQUIDACION</t>
  </si>
  <si>
    <t xml:space="preserve">saldo </t>
  </si>
  <si>
    <t>cheque EMS</t>
  </si>
  <si>
    <t>Saldo Capital de Trabajo</t>
  </si>
  <si>
    <t>Préstamo socio EMS</t>
  </si>
  <si>
    <t>Cuota N°1 Credito FOGAPE repactado</t>
  </si>
  <si>
    <t>transfer EMS</t>
  </si>
  <si>
    <t>Abono EMS para pago credito FOGAPE</t>
  </si>
  <si>
    <t>F54148164</t>
  </si>
  <si>
    <t>LIDER  2x2 lt vino bl 1 lt vino tinto</t>
  </si>
  <si>
    <t>Carb+Frio+Acc</t>
  </si>
  <si>
    <t>Amort 12 meses</t>
  </si>
  <si>
    <t>Cuota N°2 Credito FOGAPE repactado</t>
  </si>
  <si>
    <t>Flete Santiago-I de Maipo-Santiago</t>
  </si>
  <si>
    <t>Flete Vitacura-Ñuñoa -Vitacura</t>
  </si>
  <si>
    <t>F34988</t>
  </si>
  <si>
    <t>CASA TRINIDAD 4 torres 1s 4bandejas</t>
  </si>
  <si>
    <t>UNIMARC AZUCAR AGUA</t>
  </si>
  <si>
    <t>F34513008</t>
  </si>
  <si>
    <t>UNIMARC AZUCAR VINO</t>
  </si>
  <si>
    <t>F34409459</t>
  </si>
  <si>
    <t>F82342</t>
  </si>
  <si>
    <t>FERRETERIA CAVEM abrazaderas</t>
  </si>
  <si>
    <t>LAS PIRCAS</t>
  </si>
  <si>
    <t>MUTUO CORMORAN</t>
  </si>
  <si>
    <t>UNIMARC AGUA 6x6.5 lt</t>
  </si>
  <si>
    <t>F34552020</t>
  </si>
  <si>
    <t>Flete Vitacura- Bellavista -Vitacura</t>
  </si>
  <si>
    <t>Estacionamiento</t>
  </si>
  <si>
    <t>Notaria+impuesto Mutuo</t>
  </si>
  <si>
    <t>ISAPRE EMS</t>
  </si>
  <si>
    <t>AFP</t>
  </si>
  <si>
    <t>OFICINA VIRTUAL PRO</t>
  </si>
  <si>
    <t>previred</t>
  </si>
  <si>
    <t>F1074625</t>
  </si>
  <si>
    <t>LANCER 3 bombas +acc+bolsas</t>
  </si>
  <si>
    <t>PAC CREDITO CUOTA 3 DE 36</t>
  </si>
  <si>
    <t>NAHUEL probeta +pipetas</t>
  </si>
  <si>
    <t>F38859</t>
  </si>
  <si>
    <t>Bolsas para ingredientes</t>
  </si>
  <si>
    <t>b154937</t>
  </si>
  <si>
    <t>F36934</t>
  </si>
  <si>
    <t>GECORP detergente</t>
  </si>
  <si>
    <t>M.LIBERONA</t>
  </si>
  <si>
    <t> 942.147</t>
  </si>
  <si>
    <t> 902.933</t>
  </si>
  <si>
    <t> 805.193</t>
  </si>
  <si>
    <t>al 31 Dic 2021</t>
  </si>
  <si>
    <t>COTIZACIONES  SALUD Feb</t>
  </si>
  <si>
    <t>AFP Feb</t>
  </si>
  <si>
    <t xml:space="preserve">Mutuo </t>
  </si>
  <si>
    <t>EMS</t>
  </si>
  <si>
    <t>F86</t>
  </si>
  <si>
    <t>F87</t>
  </si>
  <si>
    <t>F88</t>
  </si>
  <si>
    <t>F89</t>
  </si>
  <si>
    <t>F90</t>
  </si>
  <si>
    <t>F92</t>
  </si>
  <si>
    <t>F93</t>
  </si>
  <si>
    <t>NC 04</t>
  </si>
  <si>
    <t>Factura N° 86 Fukai Mañio</t>
  </si>
  <si>
    <t>NC  N° 04 Fukai Mañio</t>
  </si>
  <si>
    <t>Factura N° 87 Fukai Mañio</t>
  </si>
  <si>
    <t>Factura N° 88 Rosita Mañio</t>
  </si>
  <si>
    <t>Factura N° 89 Rosita Ñuñoa</t>
  </si>
  <si>
    <t>Factura N° 90 Los Laureles</t>
  </si>
  <si>
    <t>Factura N° 92 Rosita Bellavista</t>
  </si>
  <si>
    <t>Factura N° 93 Fulai Bellavista</t>
  </si>
  <si>
    <t>F76</t>
  </si>
  <si>
    <t>Estado de Situación al 14-03-2022</t>
  </si>
  <si>
    <t>K de T</t>
  </si>
  <si>
    <t>HORAS</t>
  </si>
  <si>
    <t>F40626</t>
  </si>
  <si>
    <t>Clean Ice  3 X 2 Kg CO2</t>
  </si>
  <si>
    <t>LANCER John Guest 1/4 x 3/8</t>
  </si>
  <si>
    <t>F1074745</t>
  </si>
  <si>
    <t>F34648565</t>
  </si>
  <si>
    <t>Flete Vitacura- Recoleta -Vitacura</t>
  </si>
  <si>
    <t>Flete Vitacura- El Mañío-Vitacura</t>
  </si>
  <si>
    <t xml:space="preserve">Pago Mutuo 1 de 8 CORMORAN UF 95,69 </t>
  </si>
  <si>
    <t>SABORES Enturbiante</t>
  </si>
  <si>
    <t>F114563</t>
  </si>
  <si>
    <t>B132</t>
  </si>
  <si>
    <t>Boleta N°133  EMS Remun Sept 2020</t>
  </si>
  <si>
    <t>F54244476</t>
  </si>
  <si>
    <t>UNIMARC AGUA +10 X 2LT VINO TETRA+AZUCAR</t>
  </si>
  <si>
    <t>LIDER AGUA +10 X 2LT VINO TETRA+AZUCAR</t>
  </si>
  <si>
    <t>LAS PIRCAS 240 lt genérico</t>
  </si>
  <si>
    <t>Clean Ice  2 X 2 Kg CO2</t>
  </si>
  <si>
    <t>F40891</t>
  </si>
  <si>
    <t>UNIMARC AGUA +AZUCAR</t>
  </si>
  <si>
    <t>F34686907</t>
  </si>
  <si>
    <t>OSCAR POO plataforma para torre</t>
  </si>
  <si>
    <t>F94</t>
  </si>
  <si>
    <t>F95</t>
  </si>
  <si>
    <t>F98</t>
  </si>
  <si>
    <t>F99</t>
  </si>
  <si>
    <t>Factura N° 95 Rosita Mañio</t>
  </si>
  <si>
    <t>Factura N° 94 Fulai Mañio</t>
  </si>
  <si>
    <t>Factura N° 98 Fukai Mañio</t>
  </si>
  <si>
    <t>Factura N° 99 Rosita Mañio</t>
  </si>
  <si>
    <t>F2928</t>
  </si>
  <si>
    <t>F34725734</t>
  </si>
  <si>
    <t>UF</t>
  </si>
  <si>
    <t>SALUD</t>
  </si>
  <si>
    <t>PAC CREDITO CUOTA 4 DE 36</t>
  </si>
  <si>
    <t>Freddy Quintana retorno 6 bolsas</t>
  </si>
  <si>
    <t>F34604402</t>
  </si>
  <si>
    <t>LANCER 10  bolsas 10lt</t>
  </si>
  <si>
    <t>F1074910</t>
  </si>
  <si>
    <t>F100</t>
  </si>
  <si>
    <t>F101</t>
  </si>
  <si>
    <t>F102</t>
  </si>
  <si>
    <t>Factura N° 102 Rosita Bellavista</t>
  </si>
  <si>
    <t>Factura N° 101 Fukai Bellavista</t>
  </si>
  <si>
    <t>Factura N° 100 Rosita Ñuñoa</t>
  </si>
  <si>
    <t xml:space="preserve">F29 Marzo </t>
  </si>
  <si>
    <t>Boleta N°130 Remun Var. Gte. Feb 2021</t>
  </si>
  <si>
    <t>Remuneración Fija Gte Sept 2021</t>
  </si>
  <si>
    <t>Remuneración Gte. Sept-Oct 2021</t>
  </si>
  <si>
    <t>Remuneración Gte. Sept-Oct-Nov 2021</t>
  </si>
  <si>
    <t>Remuneración Gte. Sept a Dic 2021</t>
  </si>
  <si>
    <t>Remuneración Fija Gte. Sept a Dic 2021</t>
  </si>
  <si>
    <t>Remuneración Fija Gte. Ene 2022</t>
  </si>
  <si>
    <t>Remuneración Fija Gte. Ene- Feb 2022</t>
  </si>
  <si>
    <t>Remuneración Fija Gte. Ene- Feb-Mar 2022</t>
  </si>
  <si>
    <t>F103</t>
  </si>
  <si>
    <t>F104</t>
  </si>
  <si>
    <t>F105</t>
  </si>
  <si>
    <t>Factura N° 103 Fukai Bellavista</t>
  </si>
  <si>
    <t>Factura N° 104 Fukai Mañio</t>
  </si>
  <si>
    <t>Factura N° 105 Rosita Mañio</t>
  </si>
  <si>
    <t>F34802162</t>
  </si>
  <si>
    <t>F34744883</t>
  </si>
  <si>
    <t>OFICINA VIRTUAL</t>
  </si>
  <si>
    <t>CLEAN ICE 2X2 KG</t>
  </si>
  <si>
    <t>F41674</t>
  </si>
  <si>
    <t>Estado de Situación al 22-04-2022</t>
  </si>
  <si>
    <t>compra acciones socios</t>
  </si>
  <si>
    <t>EMS gastos</t>
  </si>
  <si>
    <t>Factura N° 106 Rosita Ñuñoa</t>
  </si>
  <si>
    <t>F106</t>
  </si>
  <si>
    <t>F34822137</t>
  </si>
  <si>
    <t>CLEAN ICE 1X2 KG</t>
  </si>
  <si>
    <t>F41803</t>
  </si>
  <si>
    <t>F480</t>
  </si>
  <si>
    <t xml:space="preserve">Pago Mutuo 2 de 8 CORMORAN UF 95,69 </t>
  </si>
  <si>
    <t>F34851076</t>
  </si>
  <si>
    <t>F107</t>
  </si>
  <si>
    <t>F108</t>
  </si>
  <si>
    <t>F109</t>
  </si>
  <si>
    <t>F110</t>
  </si>
  <si>
    <t>Factura N° 107 Fukai El Mañío</t>
  </si>
  <si>
    <t>Factura N° 108 RositaEl Mañío</t>
  </si>
  <si>
    <t>Factura N° 109 Rosita Bellavista</t>
  </si>
  <si>
    <t>Factura N° 110 Fukai Bellavista</t>
  </si>
  <si>
    <t>F34822151</t>
  </si>
  <si>
    <t>F12617</t>
  </si>
  <si>
    <t>Superm Diez muestra</t>
  </si>
  <si>
    <t xml:space="preserve">Mutuo  </t>
  </si>
  <si>
    <t>F111</t>
  </si>
  <si>
    <t>F112</t>
  </si>
  <si>
    <t>F113</t>
  </si>
  <si>
    <t>Factura N° 111 Fukai Bellavista</t>
  </si>
  <si>
    <t>Factura N° 112 Rosita Bellavista</t>
  </si>
  <si>
    <t>Factura N° 113 Marina</t>
  </si>
  <si>
    <t>PAC CREDITO CUOTA 5 DE 36</t>
  </si>
  <si>
    <t>Flete Vitacura-Tegualda- Bellavista -Vitacura</t>
  </si>
  <si>
    <t>FRIGO 3 grifos,sellos regulador, cilindro 4Kg</t>
  </si>
  <si>
    <t>F266</t>
  </si>
  <si>
    <t>F34857768</t>
  </si>
  <si>
    <t>LIDER AGUA, AZUCAR</t>
  </si>
  <si>
    <t>F54392945</t>
  </si>
  <si>
    <t>UNIMARC VINO BLANCO 5X2LT</t>
  </si>
  <si>
    <t>SODIMAC mesa lateral para base torre clavos</t>
  </si>
  <si>
    <t>F118254584</t>
  </si>
  <si>
    <t>Supermercado DIEZ 27 bot sin alcohol</t>
  </si>
  <si>
    <t>F12636</t>
  </si>
  <si>
    <t>Remuneración Fija Gte. Ene- Feb-Mar-Abr-May 2022</t>
  </si>
  <si>
    <t>Supermercado DIEZ 1 bot sin alcohol</t>
  </si>
  <si>
    <t>F12662</t>
  </si>
  <si>
    <t xml:space="preserve">F29 Abril </t>
  </si>
  <si>
    <t>bomba  neumática</t>
  </si>
  <si>
    <t>mangueras fittings</t>
  </si>
  <si>
    <t>Cooler</t>
  </si>
  <si>
    <t>Reactor</t>
  </si>
  <si>
    <t>cilindro gas</t>
  </si>
  <si>
    <t>regulador simple</t>
  </si>
  <si>
    <t>regulador doble</t>
  </si>
  <si>
    <t>Vino tinto tirado</t>
  </si>
  <si>
    <t>Sangría A</t>
  </si>
  <si>
    <t>Sangría B</t>
  </si>
  <si>
    <t>Vino bl tirado A</t>
  </si>
  <si>
    <t>Vino bl tirado B</t>
  </si>
  <si>
    <t>Espumante A</t>
  </si>
  <si>
    <t>Espumante B</t>
  </si>
  <si>
    <t>Espumante C</t>
  </si>
  <si>
    <t>Spritz A</t>
  </si>
  <si>
    <t>Spritz B</t>
  </si>
  <si>
    <t>Gastos Mutuo</t>
  </si>
  <si>
    <t>Sangría C</t>
  </si>
  <si>
    <t>Rosita Ñuñoa, Bellavista</t>
  </si>
  <si>
    <t>Fukai y Rosita Mañio, Fukai Bellavista</t>
  </si>
  <si>
    <t>Marina</t>
  </si>
  <si>
    <t xml:space="preserve">Espumante, Vino </t>
  </si>
  <si>
    <t>Spritz</t>
  </si>
  <si>
    <t>Sangría</t>
  </si>
  <si>
    <t>Costo</t>
  </si>
  <si>
    <t>Precio</t>
  </si>
  <si>
    <t>Margen</t>
  </si>
  <si>
    <t>CONFIGURACIÓN</t>
  </si>
  <si>
    <t>Esp+Spritz A</t>
  </si>
  <si>
    <t>Esp+sangria A</t>
  </si>
  <si>
    <t>Esp+Spritz B</t>
  </si>
  <si>
    <t>Esp+sangria B</t>
  </si>
  <si>
    <t xml:space="preserve">Pago Mutuo 3 de 8 CORMORAN UF 95,69 </t>
  </si>
  <si>
    <t>Factura N° 114 Rosita Ñuñoa</t>
  </si>
  <si>
    <t>F114</t>
  </si>
  <si>
    <t>Factura N° 115 Rosita Bellavista</t>
  </si>
  <si>
    <t>F115</t>
  </si>
  <si>
    <t>Factura N° 116 Fukai El Mañío</t>
  </si>
  <si>
    <t>F116</t>
  </si>
  <si>
    <t>Factura N° 117 RositaEl Mañío</t>
  </si>
  <si>
    <t>F117</t>
  </si>
  <si>
    <t>Freddy Quintana retorno 9 bolsas</t>
  </si>
  <si>
    <t>Carlos Da silva retorno 4 bolsas</t>
  </si>
  <si>
    <t>F119</t>
  </si>
  <si>
    <t>F120</t>
  </si>
  <si>
    <t>Factura N° 119 Fukai El Mañío</t>
  </si>
  <si>
    <t>Factura N° 120 RositaEl Mañío</t>
  </si>
  <si>
    <t>F34918205</t>
  </si>
  <si>
    <t>F34919005</t>
  </si>
  <si>
    <t>Reembolso Pago Duplicado AFP</t>
  </si>
  <si>
    <t>Boleta N° 135  EMS Remun Oct 2020</t>
  </si>
  <si>
    <t>Boleta N° 135  EMS Remun Nov 2020</t>
  </si>
  <si>
    <t>Boleta N° 135  EMS Remun Dic2020</t>
  </si>
  <si>
    <t>Boleta N° 135  EMS Remun Ene2021</t>
  </si>
  <si>
    <t>CLEAN ICE 2 KG</t>
  </si>
  <si>
    <t>F42796</t>
  </si>
  <si>
    <t>F10323</t>
  </si>
  <si>
    <t>FUKAI SpA  almuerzo J.Nazal</t>
  </si>
  <si>
    <t>Factura N° 121 Rosita Bellavista</t>
  </si>
  <si>
    <t>F121</t>
  </si>
  <si>
    <t>Factura N° 122 Fukai Bellavista</t>
  </si>
  <si>
    <t>F122</t>
  </si>
  <si>
    <t>Factura N° 123 Rosita Ñuñoa</t>
  </si>
  <si>
    <t>F123</t>
  </si>
  <si>
    <t>B135</t>
  </si>
  <si>
    <t xml:space="preserve">Pago Mutuo 4 de 8 CORMORAN UF 95,69 </t>
  </si>
  <si>
    <t>F5132</t>
  </si>
  <si>
    <t>Flete muestra Tagler San Bdo-Vitacura</t>
  </si>
  <si>
    <t>Previred</t>
  </si>
  <si>
    <t>PAC CREDITO CUOTA 6 DE 36</t>
  </si>
  <si>
    <t>CLEAN ICE 2X9 KG</t>
  </si>
  <si>
    <t>F1075297</t>
  </si>
  <si>
    <t>F43184</t>
  </si>
  <si>
    <t>B136</t>
  </si>
  <si>
    <t>F124</t>
  </si>
  <si>
    <t>F125</t>
  </si>
  <si>
    <t>Factura N° 124 Fukai El Mañío</t>
  </si>
  <si>
    <t>Factura N° 125 RositaEl Mañío</t>
  </si>
  <si>
    <t>F1075347</t>
  </si>
  <si>
    <t>LANCER Valvula cilindro 9Kg accesorios</t>
  </si>
  <si>
    <t>LANCER 10 bib 10lt</t>
  </si>
  <si>
    <t xml:space="preserve">F29 Mayo </t>
  </si>
  <si>
    <t>Factura N° 126 Rosita Bellavista</t>
  </si>
  <si>
    <t>F126</t>
  </si>
  <si>
    <t>F35049260</t>
  </si>
  <si>
    <t>LIDER AGUA +AZUCAR</t>
  </si>
  <si>
    <t>F54464485</t>
  </si>
  <si>
    <t>F2899</t>
  </si>
  <si>
    <t>Qatar Shop SpA Calentador eléctrico</t>
  </si>
  <si>
    <t>Danus Conexiones</t>
  </si>
  <si>
    <t>F260707</t>
  </si>
  <si>
    <t xml:space="preserve">Sabores </t>
  </si>
  <si>
    <t>F127</t>
  </si>
  <si>
    <t>F128</t>
  </si>
  <si>
    <t>Factura N° 127 Rosita Ñuñoa</t>
  </si>
  <si>
    <t>Factura N° 128 Rosita Bellavista</t>
  </si>
  <si>
    <t>Factura N° 129 RositaEl Mañío</t>
  </si>
  <si>
    <t>F129</t>
  </si>
  <si>
    <t>LAS PIRCAS 200 lt genérico 20 lt BL</t>
  </si>
  <si>
    <t>F35113400</t>
  </si>
  <si>
    <t>F118078</t>
  </si>
  <si>
    <t xml:space="preserve">Pago Mutuo 1 de 8 CORMORAN UF 92,58 </t>
  </si>
  <si>
    <t>Factura N° 130 Fukai Bellavista</t>
  </si>
  <si>
    <t>Factura N° 131 Rosita Bellavista</t>
  </si>
  <si>
    <t>F130</t>
  </si>
  <si>
    <t>F131</t>
  </si>
  <si>
    <t>F35155155</t>
  </si>
  <si>
    <t>SODIMAC conctor rápido+macho maguera 1/2"</t>
  </si>
  <si>
    <t>F119359103</t>
  </si>
  <si>
    <t>PAC CREDITO CUOTA 7 DE 36</t>
  </si>
  <si>
    <t xml:space="preserve">Pago Mutuo 5 de 8 CORMORAN UF 95,69 </t>
  </si>
  <si>
    <t xml:space="preserve">Pago Mutuo 2 de 8 CORMORAN UF 92,58 </t>
  </si>
  <si>
    <t>Factura N° 132 RositaEl Mañío</t>
  </si>
  <si>
    <t>Factura N° 133 FukaiEl Mañío</t>
  </si>
  <si>
    <t>Factura N° 135 Rosita Ñuñoa</t>
  </si>
  <si>
    <t>F132</t>
  </si>
  <si>
    <t>F133</t>
  </si>
  <si>
    <t>F135</t>
  </si>
  <si>
    <t>LANCER TJ.Guest 3/8 + 10 bolsas</t>
  </si>
  <si>
    <t>F1075446</t>
  </si>
  <si>
    <t>Boleta N°xxx Remun Var. Gte. a Sept 2021</t>
  </si>
  <si>
    <t>Boleta N°xxx Remun Var. Gte. a Dic 2021</t>
  </si>
  <si>
    <t>Boleta N°xxx Remun Var. Gte.Ene a Mar 2022</t>
  </si>
  <si>
    <t>Boleta N°xxx Remun Var. Gte.Ene  a Dic 2021</t>
  </si>
  <si>
    <t>Boleta N°xxx Remun Var. Gte.a Abr 2022</t>
  </si>
  <si>
    <t>Boleta N°xxx Remun Var. Gte. May  2022</t>
  </si>
  <si>
    <t>Boleta N°xxx Remun Var. Gte.May a Jun 2022</t>
  </si>
  <si>
    <t>Boleta N°xxx Remun Var. Gte.Ene  a Abr 2022</t>
  </si>
  <si>
    <t>Boleta N°xxx Remun Var. Gte.May a Jul 2022</t>
  </si>
  <si>
    <t>F35175478</t>
  </si>
  <si>
    <t>F3496005</t>
  </si>
  <si>
    <t>F35032094</t>
  </si>
  <si>
    <t>F35169031</t>
  </si>
  <si>
    <t>F3102</t>
  </si>
  <si>
    <t>F526</t>
  </si>
  <si>
    <t>Oficina Virtual S&amp;T SpA</t>
  </si>
  <si>
    <t>Factura N° 136 Fukai Bellavista</t>
  </si>
  <si>
    <t>F136</t>
  </si>
  <si>
    <t>Factura N° 137 Rosita Bellavista</t>
  </si>
  <si>
    <t>F137</t>
  </si>
  <si>
    <t>$(bruto)</t>
  </si>
  <si>
    <t>Factura N° 138 Fukai El Mañío</t>
  </si>
  <si>
    <t>F138</t>
  </si>
  <si>
    <t>Factura N° 139 RositaEl Mañío</t>
  </si>
  <si>
    <t>F139</t>
  </si>
  <si>
    <t>Factura N° 140 Rosita Ñuñoa</t>
  </si>
  <si>
    <t>F140</t>
  </si>
  <si>
    <t>F35243710</t>
  </si>
  <si>
    <t>LIDER AGUA+AZUCAR</t>
  </si>
  <si>
    <t>F54539836</t>
  </si>
  <si>
    <t>Freddy Quintana retorno 10 bolsas</t>
  </si>
  <si>
    <t>F141</t>
  </si>
  <si>
    <t>F142</t>
  </si>
  <si>
    <t>F143</t>
  </si>
  <si>
    <t>F144</t>
  </si>
  <si>
    <t>Factura N° 141 Rosita Bellavista</t>
  </si>
  <si>
    <t>Factura N° 142 Fukai Bellavista</t>
  </si>
  <si>
    <t>Factura N° 143 RositaEl Mañío</t>
  </si>
  <si>
    <t>Factura N° 144 Fukai El Mañío</t>
  </si>
  <si>
    <t>F35290454</t>
  </si>
  <si>
    <t xml:space="preserve">Pago Mutuo Feb22 cuota 6 de 8 CORMORAN UF 95,69 </t>
  </si>
  <si>
    <t xml:space="preserve">Pago Mutuo Feb22 cuota 5 de 8 CORMORAN UF 95,69 </t>
  </si>
  <si>
    <t xml:space="preserve">Pago Mutuo Mayo cuota 2 de 8 CORMORAN UF 92,58 </t>
  </si>
  <si>
    <t>PAC CREDITO CUOTA 8 DE 36</t>
  </si>
  <si>
    <t>Factura N° 145 Rosita Bellavista</t>
  </si>
  <si>
    <t>F145</t>
  </si>
  <si>
    <t>Sangria Alegría 4x5 lt</t>
  </si>
  <si>
    <t>F376</t>
  </si>
  <si>
    <t>B137</t>
  </si>
  <si>
    <t>Sabores 3kg Enturb 1 Kg Esencia Sangria</t>
  </si>
  <si>
    <t>F11288</t>
  </si>
  <si>
    <t>Factura N° 149 Rosita Bellavista</t>
  </si>
  <si>
    <t>Factura N° 148 Rosita Ñuñoa</t>
  </si>
  <si>
    <t>Factura N° 150 Fukai Bellavista</t>
  </si>
  <si>
    <t>Factura N° 151 Fukai El Mañío</t>
  </si>
  <si>
    <t>Factura N° 152 RositaEl Mañío</t>
  </si>
  <si>
    <t>F148</t>
  </si>
  <si>
    <t>F149</t>
  </si>
  <si>
    <t>F150</t>
  </si>
  <si>
    <t>F151</t>
  </si>
  <si>
    <t>F152</t>
  </si>
  <si>
    <t>F74347365</t>
  </si>
  <si>
    <t>SODIMAC TALADRO</t>
  </si>
  <si>
    <t>F120220369</t>
  </si>
  <si>
    <t>Casa TRINIDAD 2 torres 2v 4 grifos</t>
  </si>
  <si>
    <t>F37973</t>
  </si>
  <si>
    <t>Factura N° 153 Mall Dominicos</t>
  </si>
  <si>
    <t>F153</t>
  </si>
  <si>
    <t>SODIMAC ALARGADOR Y SUJECIONES</t>
  </si>
  <si>
    <t>F120220377</t>
  </si>
  <si>
    <t>SODIMAC CANCAMOS</t>
  </si>
  <si>
    <t>B668646598</t>
  </si>
  <si>
    <t>Lancer Bomba mangueras fittings</t>
  </si>
  <si>
    <t>F1075676</t>
  </si>
  <si>
    <t>Flete Santiago-Peñaflor-I de Maipo-Santiago</t>
  </si>
  <si>
    <t>Las Pircas</t>
  </si>
  <si>
    <t>Factura N° 154 RositaEl Mañío</t>
  </si>
  <si>
    <t>F154</t>
  </si>
  <si>
    <t>Factura N° 155 Fukai El Mañío</t>
  </si>
  <si>
    <t>F155</t>
  </si>
  <si>
    <t>Factura N° 156 Rosita Bellavista</t>
  </si>
  <si>
    <t>F156</t>
  </si>
  <si>
    <t>Factura N° 157 Fukai Bellavista</t>
  </si>
  <si>
    <t>F157</t>
  </si>
  <si>
    <t>F73447150</t>
  </si>
  <si>
    <t>Casa&amp;Ideas balanza gramos</t>
  </si>
  <si>
    <t>F227439</t>
  </si>
  <si>
    <t>B10850666</t>
  </si>
  <si>
    <t>Casa Royal baterias</t>
  </si>
  <si>
    <t xml:space="preserve">Pago Mutuo May22 cuota 3 de 8 CORMORAN UF 92,58 </t>
  </si>
  <si>
    <t>Factura N° 158 Rosita Ñuñoa</t>
  </si>
  <si>
    <t>F158</t>
  </si>
  <si>
    <t xml:space="preserve">Pago Mutuo Feb22 cuota 7 de 8 CORMORAN UF 95,69 </t>
  </si>
  <si>
    <t xml:space="preserve">Pago Mutuo May22 cuota 4 de 8 CORMORAN UF 92,58 </t>
  </si>
  <si>
    <t>Factura N° 159 Rosita Bellavista</t>
  </si>
  <si>
    <t>F159</t>
  </si>
  <si>
    <t>Factura N° 160 Fukai Bellavista</t>
  </si>
  <si>
    <t>F160</t>
  </si>
  <si>
    <t>Factura N° 161 RositaEl Mañío</t>
  </si>
  <si>
    <t>F161</t>
  </si>
  <si>
    <t>Factura N° 162 Fukai El Mañío</t>
  </si>
  <si>
    <t>F162</t>
  </si>
  <si>
    <t>F73502257</t>
  </si>
  <si>
    <t>F35415412</t>
  </si>
  <si>
    <t>F1075668</t>
  </si>
  <si>
    <t>Freddy Quintana  8 bolsas al 7 de Sept</t>
  </si>
  <si>
    <t>Carlos Da Silva 8 bolsas al 7 de Sept</t>
  </si>
  <si>
    <t>Factura N° 164 Rosita Ñuñoa</t>
  </si>
  <si>
    <t>F164</t>
  </si>
  <si>
    <t>Factura N° 165 Rosita Bellavista</t>
  </si>
  <si>
    <t>F165</t>
  </si>
  <si>
    <t>Factura N° 166 Fukai Bellavista</t>
  </si>
  <si>
    <t>F166</t>
  </si>
  <si>
    <t>F163</t>
  </si>
  <si>
    <t>Factura N° 163 Mall Dominicos</t>
  </si>
  <si>
    <t>F73535635</t>
  </si>
  <si>
    <t>Antawara 40 lt Sirah Reserva</t>
  </si>
  <si>
    <t>PAC CREDITO CUOTA 9 DE 36</t>
  </si>
  <si>
    <t>Flete Vitacura-Bellavista-Ñuñoa-P.Hurtado-Vitacura</t>
  </si>
  <si>
    <t>B598658489</t>
  </si>
  <si>
    <t>TOTTUS 2X2LT VINO BL</t>
  </si>
  <si>
    <t>F29 Agosto</t>
  </si>
  <si>
    <t>Factura N° 168 Rosita Bellavista</t>
  </si>
  <si>
    <t>F168</t>
  </si>
  <si>
    <t>Factura N° 169 Fukai Bellavista</t>
  </si>
  <si>
    <t>F169</t>
  </si>
  <si>
    <t>Factura N° 170 RositaEl Mañío</t>
  </si>
  <si>
    <t>F170</t>
  </si>
  <si>
    <t>Factura N° 171 Fukai El Mañío</t>
  </si>
  <si>
    <t>F171</t>
  </si>
  <si>
    <t>Factura N° 172 Rosita Bellavista</t>
  </si>
  <si>
    <t>F172</t>
  </si>
  <si>
    <t>Factura N° 173 Fukai Bellavista</t>
  </si>
  <si>
    <t>F173</t>
  </si>
  <si>
    <t>Factura N° 174 Rosita Ñuñoa</t>
  </si>
  <si>
    <t>F174</t>
  </si>
  <si>
    <t>Informe de compatibilidad para INGRESOS EGRESOS 2021-2022.xls</t>
  </si>
  <si>
    <t>Ejecutar el 28-09-2022 16:06</t>
  </si>
  <si>
    <t>Si el libro se guarda o se abre en un formato de archivo de una versión anterior de Microsoft Excel, las características indicadas no estarán disponibles.</t>
  </si>
  <si>
    <t>Pérdida significativa de funcionalidad</t>
  </si>
  <si>
    <t>Nº de apariciones</t>
  </si>
  <si>
    <t>Versión</t>
  </si>
  <si>
    <t>Algunas celdas de este libro usan tipos de formato condicional como barras de datos, escalas de color o conjuntos de iconos. Estos tipos de formato no se mostrarán en versiones anteriores de Microsoft Excel.</t>
  </si>
  <si>
    <t>Valor Equipos'!O8</t>
  </si>
  <si>
    <t>Excel 97-2003</t>
  </si>
  <si>
    <t>Parte del formato de los gráficos de este libro no es compatible con versiones anteriores de Excel y no se mostrará.</t>
  </si>
  <si>
    <t>ES-Ventas'!A1:T73</t>
  </si>
  <si>
    <t>Pérdida menor de fidelidad</t>
  </si>
  <si>
    <t>Algunas fórmulas de este libro están vinculadas a otros libros que están cerrados. Cuando estas fórmulas se vuelven a calcular en versiones anteriores de Excel sin abrir los libros vinculados, los caracteres que exceden el límite de 255 caracteres no se pueden devolver.</t>
  </si>
  <si>
    <t>NOV-19'!AF25</t>
  </si>
  <si>
    <t>NOV-19'!AI25</t>
  </si>
  <si>
    <t>Algunas celdas o estilos de este libro contienen un formato no admitido en el formato de archivo seleccionado. Estos formatos se convertirán al formato más cercano disponible.</t>
  </si>
  <si>
    <t>LANCER 10 bib 10lt + 10 cajas</t>
  </si>
  <si>
    <t>F6101</t>
  </si>
  <si>
    <t>F6562</t>
  </si>
  <si>
    <t>F1076197</t>
  </si>
  <si>
    <t>Alejandro Mankewitz</t>
  </si>
  <si>
    <t>F73610310</t>
  </si>
  <si>
    <t>TD EMS</t>
  </si>
  <si>
    <t>F73593196</t>
  </si>
  <si>
    <t>TD AMR</t>
  </si>
  <si>
    <t>F perdida</t>
  </si>
  <si>
    <t>HIDRATOS 10 bib 10lt + 10 cajas</t>
  </si>
  <si>
    <t>HIDRATOS 10 bib 10lt</t>
  </si>
  <si>
    <t>F177</t>
  </si>
  <si>
    <t>Factura N° 177 Mall Dominicos</t>
  </si>
  <si>
    <t>Factura N° 178 Rosita Bellavista</t>
  </si>
  <si>
    <t>F178</t>
  </si>
  <si>
    <t>Factura N° 179 Fukai Bellavista</t>
  </si>
  <si>
    <t>F179</t>
  </si>
  <si>
    <t>Factura N° 180 Mall Dominicos</t>
  </si>
  <si>
    <t>F180</t>
  </si>
  <si>
    <t>F167</t>
  </si>
  <si>
    <t>Factura N° 167 Mall Dominicos</t>
  </si>
  <si>
    <t>Factura N° 181 Mall Dominicos</t>
  </si>
  <si>
    <t>F181</t>
  </si>
  <si>
    <t>LANCER equipos</t>
  </si>
  <si>
    <t>F1075733</t>
  </si>
  <si>
    <t> F1075734</t>
  </si>
  <si>
    <t> F1075735</t>
  </si>
  <si>
    <t>F6877</t>
  </si>
  <si>
    <t>LANCER 10 bolsas BIB</t>
  </si>
  <si>
    <t>PAC CREDITO CUOTA 10 DE 36</t>
  </si>
  <si>
    <t>Alejandro Mankewitz Maquila y gastos</t>
  </si>
  <si>
    <t>SIEGEL vinos 20 lt sblanc 20 lt cab sauv</t>
  </si>
  <si>
    <t>F5299</t>
  </si>
  <si>
    <t>F73610746</t>
  </si>
  <si>
    <t>Factura N° 182 Mall Dominicos</t>
  </si>
  <si>
    <t>F182</t>
  </si>
  <si>
    <t>Factura N° 183 Rosita Bellavista</t>
  </si>
  <si>
    <t>F183</t>
  </si>
  <si>
    <t>Factura N° 184 Fukai Bellavista</t>
  </si>
  <si>
    <t>F184</t>
  </si>
  <si>
    <t>F185</t>
  </si>
  <si>
    <t>Factura N° 185 Rosita Ñuñoa</t>
  </si>
  <si>
    <t>F29 Sep</t>
  </si>
  <si>
    <t>S &amp;T Oficina Virtual Pro</t>
  </si>
  <si>
    <t>F73644272</t>
  </si>
  <si>
    <t>F73665424</t>
  </si>
  <si>
    <t>LIDER AGUA+AZUCAR+VINO TINTO</t>
  </si>
  <si>
    <t>F73679934</t>
  </si>
  <si>
    <t>Factura N° 187 RositaEl Mañío</t>
  </si>
  <si>
    <t>F187</t>
  </si>
  <si>
    <t>Factura N° 190 Fukai El Mañío</t>
  </si>
  <si>
    <t>F190</t>
  </si>
  <si>
    <t>CLEAN ICE recarga 2 Kg</t>
  </si>
  <si>
    <t>F47191</t>
  </si>
  <si>
    <t>F73680226</t>
  </si>
  <si>
    <t>Factura N° 191 Mall Dominicos</t>
  </si>
  <si>
    <t>F191</t>
  </si>
  <si>
    <t>FUKAI</t>
  </si>
  <si>
    <t>MALL DOMINICOS</t>
  </si>
  <si>
    <t>MD</t>
  </si>
  <si>
    <t>F192</t>
  </si>
  <si>
    <t>F193</t>
  </si>
  <si>
    <t>Factura N° 192 Rosita Bellavista</t>
  </si>
  <si>
    <t>Factura N° 193 Fukai Bellavista</t>
  </si>
  <si>
    <t>Estado de Situación al 15-10-2022</t>
  </si>
  <si>
    <t>F73574905</t>
  </si>
  <si>
    <t>cxc</t>
  </si>
  <si>
    <t>CXC</t>
  </si>
  <si>
    <t>LAS PIRCAS 220 lt genérico 20 lt BL</t>
  </si>
  <si>
    <t>F3142</t>
  </si>
  <si>
    <t>Flete Vitacura Isla de Maipo</t>
  </si>
  <si>
    <t>F614</t>
  </si>
  <si>
    <t>B1857031254</t>
  </si>
  <si>
    <t>F73736445</t>
  </si>
  <si>
    <t>Factura N° 194 Rosita Ñuñoa</t>
  </si>
  <si>
    <t>F194</t>
  </si>
  <si>
    <t>Factura N° 195 RositaEl Mañío</t>
  </si>
  <si>
    <t>F195</t>
  </si>
  <si>
    <t>Factura N° 196 Fukai El Mañío</t>
  </si>
  <si>
    <t>F196</t>
  </si>
  <si>
    <t>Factura N° 197 Rosita Bellavista</t>
  </si>
  <si>
    <t>F197</t>
  </si>
  <si>
    <t>Factura N° 198 Fukai Bellavista</t>
  </si>
  <si>
    <t>F198</t>
  </si>
  <si>
    <t>Factura N° 199 Mall Dominicos</t>
  </si>
  <si>
    <t>F199</t>
  </si>
  <si>
    <t>a.     Espumante</t>
  </si>
  <si>
    <t>F7159</t>
  </si>
  <si>
    <t>F7320</t>
  </si>
  <si>
    <t>LANCER 20 bolsas BIB</t>
  </si>
  <si>
    <t>F200</t>
  </si>
  <si>
    <t>F201</t>
  </si>
  <si>
    <t>Factura N° 202 Mall Dominicos</t>
  </si>
  <si>
    <t>Factura N° 200 Rosita Bellavista</t>
  </si>
  <si>
    <t>Factura N° 201 Fukai Bellavista</t>
  </si>
  <si>
    <t>Factura N° 203 Rosita Ñuñoa</t>
  </si>
  <si>
    <t>F203</t>
  </si>
  <si>
    <t>Factura N° 204 RositaEl Mañío</t>
  </si>
  <si>
    <t>Factura N° 205 Fukai El Mañío</t>
  </si>
  <si>
    <t>F204</t>
  </si>
  <si>
    <t>F205</t>
  </si>
  <si>
    <t>F202</t>
  </si>
  <si>
    <t>cxp</t>
  </si>
  <si>
    <t xml:space="preserve">Pago Mutuo Feb22 cuota 8 de 8 CORMORAN UF 95,69 </t>
  </si>
  <si>
    <t xml:space="preserve">Pago Mutuo May22 cuota 5 de 8 CORMORAN UF 92,58 </t>
  </si>
  <si>
    <t>F5341</t>
  </si>
  <si>
    <t>SIEGEL vinos 22 lt sblanc 22 lt cab sauv</t>
  </si>
  <si>
    <t>Vino bl 5x2 lt</t>
  </si>
  <si>
    <t>F73736755</t>
  </si>
  <si>
    <t>F73755657</t>
  </si>
  <si>
    <t>d.      Vino Cabernet Sauvignon, Reserva, Valle Colchagua</t>
  </si>
  <si>
    <t>e.      Vino Sauvignon Blanc , Reserva, Valle Leyda</t>
  </si>
  <si>
    <t>c.       Sangría    </t>
  </si>
  <si>
    <t>Costo por 750 ml IVA incl</t>
  </si>
  <si>
    <t>Costo por copa 190 ml IVA  incl</t>
  </si>
  <si>
    <t xml:space="preserve">b.     aperol spritz </t>
  </si>
  <si>
    <t>FUKAI ACUM</t>
  </si>
  <si>
    <t>MALL DOMINICOS ACUM</t>
  </si>
  <si>
    <t>Factura N° 206 Mall Dominicos</t>
  </si>
  <si>
    <t>F206</t>
  </si>
  <si>
    <t>|</t>
  </si>
  <si>
    <t>Factura N° 208 RositaEl Mañío</t>
  </si>
  <si>
    <t>F208</t>
  </si>
  <si>
    <t>Factura N° 209 Fukai El Mañío</t>
  </si>
  <si>
    <t>F209</t>
  </si>
  <si>
    <t>F212</t>
  </si>
  <si>
    <t>Factura N° 212 Mall Dominicos</t>
  </si>
  <si>
    <t>F73797749</t>
  </si>
  <si>
    <t>F73755715</t>
  </si>
  <si>
    <t>Sabores S.A. acidos,enturbiante</t>
  </si>
  <si>
    <t>PAC CREDITO CUOTA 11 DE 36</t>
  </si>
  <si>
    <t>Freddy Quintana  12 bolsas al 7 de Nov</t>
  </si>
  <si>
    <t>Reembolso FONASA</t>
  </si>
  <si>
    <t>Factura N° 213 Rosita Bellavista</t>
  </si>
  <si>
    <t>F213</t>
  </si>
  <si>
    <t>Factura N° 214 Fukai Bellavista</t>
  </si>
  <si>
    <t>F214</t>
  </si>
  <si>
    <t>F215</t>
  </si>
  <si>
    <t>Factura N° 215 Mall Dominicos</t>
  </si>
  <si>
    <t>F3197</t>
  </si>
  <si>
    <t>F73778081</t>
  </si>
  <si>
    <t>SODIMAC broca metal 35 mm</t>
  </si>
  <si>
    <t>SODIMAC adaptador copa bimetal + broca guia</t>
  </si>
  <si>
    <t>F122112342</t>
  </si>
  <si>
    <t>sup/def</t>
  </si>
  <si>
    <t>SODIMAC  ointura spray negro</t>
  </si>
  <si>
    <t>F122048505</t>
  </si>
  <si>
    <t>F122220107</t>
  </si>
  <si>
    <t>flete Vitacura-Mall Dominicos-OpenKennedy-Vitacura</t>
  </si>
  <si>
    <t>Factura N° 216 Mall Dominicos</t>
  </si>
  <si>
    <t>F216</t>
  </si>
  <si>
    <t>LANCER 10 bolsas,10 abrazaderas,conector Schole, tapa</t>
  </si>
  <si>
    <t>F1076789</t>
  </si>
  <si>
    <t>Factura N° 217 Mercado Kennedy</t>
  </si>
  <si>
    <t>F217</t>
  </si>
  <si>
    <t>MK</t>
  </si>
  <si>
    <t>LIDER VINO BL+AGUA+AZUCAR</t>
  </si>
  <si>
    <t>F73856678</t>
  </si>
  <si>
    <t>LIDER VINO BL</t>
  </si>
  <si>
    <t>F73817018</t>
  </si>
  <si>
    <t>flete Vitacura-OpenKennedy-Vitacura</t>
  </si>
  <si>
    <t>Jerry Ruiz  20 bolsas al 18 de Nov</t>
  </si>
  <si>
    <t>Factura N° 218 Rosita Ñuñoa</t>
  </si>
  <si>
    <t>F218</t>
  </si>
  <si>
    <t>Factura N° 219 Rosita Bellavista</t>
  </si>
  <si>
    <t>Factura N° 220 Fukai Bellavista</t>
  </si>
  <si>
    <t>F219</t>
  </si>
  <si>
    <t>F220</t>
  </si>
  <si>
    <t>Factura N° 221 RositaEl Mañío</t>
  </si>
  <si>
    <t>Factura N° 222 Fukai El Mañío</t>
  </si>
  <si>
    <t>F221</t>
  </si>
  <si>
    <t>F222</t>
  </si>
  <si>
    <t>Sabores S.A. esencia sangria</t>
  </si>
  <si>
    <t>F12380</t>
  </si>
  <si>
    <t>F73857121</t>
  </si>
  <si>
    <t>Factura N° 223 Rosita Bellavista</t>
  </si>
  <si>
    <t>F223</t>
  </si>
  <si>
    <t>Factura N° 224 Fukai Bellavista</t>
  </si>
  <si>
    <t>F224</t>
  </si>
  <si>
    <t>Factura N° 226 Mall Dominicos</t>
  </si>
  <si>
    <t>F226</t>
  </si>
  <si>
    <t xml:space="preserve">Pago Mutuo May22 cuota 6 de 8 CORMORAN UF 92,58 </t>
  </si>
  <si>
    <t>Mega Tools Bomba Manual</t>
  </si>
  <si>
    <t>F1143</t>
  </si>
  <si>
    <t>Estacionamiento 29-30 Nov</t>
  </si>
  <si>
    <t>Factura N° 227 RositaEl Mañío</t>
  </si>
  <si>
    <t>F227</t>
  </si>
  <si>
    <t>F228</t>
  </si>
  <si>
    <t>Factura N° 228 Fukai El Mañío</t>
  </si>
  <si>
    <t>Factura N° 229 Rosita Bellavista</t>
  </si>
  <si>
    <t>Factura N° 231 Fukai Bellavista</t>
  </si>
  <si>
    <t>F229</t>
  </si>
  <si>
    <t>F231</t>
  </si>
  <si>
    <t>F232</t>
  </si>
  <si>
    <t>Factura N° 232 Mall Dominicos</t>
  </si>
  <si>
    <t>F73840011</t>
  </si>
  <si>
    <t>F73892863</t>
  </si>
  <si>
    <t>F73909849</t>
  </si>
  <si>
    <t>F73927307</t>
  </si>
  <si>
    <t>F73856679</t>
  </si>
  <si>
    <t>Factura N° 233 Mall Dominicos</t>
  </si>
  <si>
    <t>Factura N° 234 Mercado Kennedy</t>
  </si>
  <si>
    <t>F233</t>
  </si>
  <si>
    <t>F234</t>
  </si>
  <si>
    <t>OPEN KENNEDY</t>
  </si>
  <si>
    <t>Clean Ice 9+5 kg CO2</t>
  </si>
  <si>
    <t>F49177</t>
  </si>
  <si>
    <t>flete Vitacura-OpenKennedy-Mall PlNorte-Vitacura</t>
  </si>
  <si>
    <t>flete Vitacura--Mall Pl Norte-Vitacura</t>
  </si>
  <si>
    <t>LANCER 10 bolsas</t>
  </si>
  <si>
    <t>LANCER 10 abrazaderas</t>
  </si>
  <si>
    <t>F8056</t>
  </si>
  <si>
    <t>F1076942</t>
  </si>
  <si>
    <t>Factura N° 235 Mall Dominicos</t>
  </si>
  <si>
    <t>F235</t>
  </si>
  <si>
    <t>Factura N° 236 Mercado Kennedy</t>
  </si>
  <si>
    <t>F236</t>
  </si>
  <si>
    <t>Factura N° 237 Mall Pza. Norte</t>
  </si>
  <si>
    <t>F237</t>
  </si>
  <si>
    <t>PN</t>
  </si>
  <si>
    <t>Grupo Mil Sab</t>
  </si>
  <si>
    <t>LITROS SANGRIA</t>
  </si>
  <si>
    <t>LANCER regulador doble</t>
  </si>
  <si>
    <t>F1076948</t>
  </si>
  <si>
    <t>Falabella.com 12 jarras 1,5 lt</t>
  </si>
  <si>
    <t>Factura N° 238 Rosita Bellavista</t>
  </si>
  <si>
    <t>Factura N° 239 Fukai Bellavista</t>
  </si>
  <si>
    <t>F238</t>
  </si>
  <si>
    <t>F239</t>
  </si>
  <si>
    <t>Factura N° 240 Mall Dominicos</t>
  </si>
  <si>
    <t>F240</t>
  </si>
  <si>
    <t>EASY PORTAL 6 jarras 1,5 lt</t>
  </si>
  <si>
    <t>Factura N° 241 Rosita Bellavista</t>
  </si>
  <si>
    <t>Factura N° 242 Fukai Bellavista</t>
  </si>
  <si>
    <t>F241</t>
  </si>
  <si>
    <t>F242</t>
  </si>
  <si>
    <t>Easy Alto Las Condes 7 jarras 1,3 lt</t>
  </si>
  <si>
    <t>F28059058</t>
  </si>
  <si>
    <t>F28127605</t>
  </si>
  <si>
    <t>F28059058 NC10950045</t>
  </si>
  <si>
    <t>SODIMAC  Tenaza Carpinteria</t>
  </si>
  <si>
    <t>B682230233 NC53943330</t>
  </si>
  <si>
    <t>LAS PIRCAS 240 lt tinto 60 lt bl</t>
  </si>
  <si>
    <t>GD4222</t>
  </si>
  <si>
    <t>F123364</t>
  </si>
  <si>
    <t>F244</t>
  </si>
  <si>
    <t>Factura N° 244 Rosita Bellavista</t>
  </si>
  <si>
    <t>Factura N° 245 Fukai Bellavista</t>
  </si>
  <si>
    <t>F245</t>
  </si>
  <si>
    <t>Factura N° 246 RositaEl Mañío</t>
  </si>
  <si>
    <t>Factura N° 247 Fukai El Mañío</t>
  </si>
  <si>
    <t>Factura N° 248 Mall Dominicos</t>
  </si>
  <si>
    <t>Factura N° 249 Mercado Kennedy</t>
  </si>
  <si>
    <t>F248</t>
  </si>
  <si>
    <t>F249</t>
  </si>
  <si>
    <t>LANCER 20 bolsas</t>
  </si>
  <si>
    <t>F8228</t>
  </si>
  <si>
    <t>F125451</t>
  </si>
  <si>
    <t>SABORES insumos</t>
  </si>
  <si>
    <t>F49623</t>
  </si>
  <si>
    <t>F250</t>
  </si>
  <si>
    <t>Factura N° 250 Rosita Ñuñoa</t>
  </si>
  <si>
    <t>F73966144</t>
  </si>
  <si>
    <t xml:space="preserve">LIDER bitter </t>
  </si>
  <si>
    <t>F73965731</t>
  </si>
  <si>
    <t>F73982560</t>
  </si>
  <si>
    <t>Alejandro Mankewitz Maquila y gastos E.P N°9</t>
  </si>
  <si>
    <t>F73942374</t>
  </si>
  <si>
    <t>F73947542</t>
  </si>
  <si>
    <t>F73942463</t>
  </si>
  <si>
    <t>Flete Vitacura Isla de Maipo Vitacura</t>
  </si>
  <si>
    <t>GF</t>
  </si>
  <si>
    <t>CV</t>
  </si>
  <si>
    <t>UB</t>
  </si>
  <si>
    <t>MB</t>
  </si>
  <si>
    <t>EBITDA</t>
  </si>
  <si>
    <t>V  E  N  T  A  S                B  R  U  T  A  S</t>
  </si>
  <si>
    <t>GF+amort</t>
  </si>
  <si>
    <t>F251</t>
  </si>
  <si>
    <t>Factura N° 251 Mall Pza. Norte</t>
  </si>
  <si>
    <t>F252</t>
  </si>
  <si>
    <t>Factura N° 252 Rosita Bellavista</t>
  </si>
  <si>
    <t>F253</t>
  </si>
  <si>
    <t>Factura N° 253 Fukai Bellavista</t>
  </si>
  <si>
    <t>F254</t>
  </si>
  <si>
    <t>Factura N° 254 Mall Dominicos</t>
  </si>
  <si>
    <t>F255</t>
  </si>
  <si>
    <t>F29 Nov 2022</t>
  </si>
  <si>
    <t>Clean Ice 2 kg CO2</t>
  </si>
  <si>
    <t>F49881</t>
  </si>
  <si>
    <t>Factura N° 255 Mall Dominicos</t>
  </si>
  <si>
    <t>F246</t>
  </si>
  <si>
    <t>F247</t>
  </si>
  <si>
    <t>Alejandro Mankewitz Maquila y gastos E.P N°10</t>
  </si>
  <si>
    <t>F74036767</t>
  </si>
  <si>
    <t>AP</t>
  </si>
  <si>
    <t>DIC</t>
  </si>
  <si>
    <t>ENE</t>
  </si>
  <si>
    <t>FB</t>
  </si>
  <si>
    <t>RB</t>
  </si>
  <si>
    <t>RÑ</t>
  </si>
  <si>
    <t>FM</t>
  </si>
  <si>
    <t>RM</t>
  </si>
  <si>
    <t>BIB 10 lt neto</t>
  </si>
  <si>
    <t>F8440</t>
  </si>
  <si>
    <t>TOTAL ACUM</t>
  </si>
  <si>
    <t>CO2 5Kg</t>
  </si>
  <si>
    <t>F256</t>
  </si>
  <si>
    <t>Factura N° 256 Mercado Kennedy</t>
  </si>
  <si>
    <t>F257</t>
  </si>
  <si>
    <t>Factura N° 257 Fukai Bellavista</t>
  </si>
  <si>
    <t>F258</t>
  </si>
  <si>
    <t>Factura N° 258 Rosita Ñuñoa</t>
  </si>
  <si>
    <t>F259</t>
  </si>
  <si>
    <t>Factura N° 259 Mall Pza. Norte</t>
  </si>
  <si>
    <t>Factura N° 260 Fukai El Mañío</t>
  </si>
  <si>
    <t>F260</t>
  </si>
  <si>
    <t>Factura N° 261 RositaEl Mañío</t>
  </si>
  <si>
    <t>F261</t>
  </si>
  <si>
    <t>flete Vitacura-Mall Dominicos-Mañío- Vitacura</t>
  </si>
  <si>
    <t>CO2 2 Kg</t>
  </si>
  <si>
    <t>SABORES bitter</t>
  </si>
  <si>
    <t>F126038</t>
  </si>
  <si>
    <t>Factura N° 263 Rosita Bellavista</t>
  </si>
  <si>
    <t>F263</t>
  </si>
  <si>
    <t>Factura N° 264 Fukai Bellavista</t>
  </si>
  <si>
    <t>F264</t>
  </si>
  <si>
    <t>Factura N° 262 Mall Dominicos</t>
  </si>
  <si>
    <t>F262</t>
  </si>
  <si>
    <t xml:space="preserve">Pago Mutuo May22 cuota 7 de 8 CORMORAN UF 92,58 </t>
  </si>
  <si>
    <t>Boleta N°xxx Remun Var. Gte. Sept 2022</t>
  </si>
  <si>
    <t>Boleta N°xxx Remun Var. Gte. Oct 2022</t>
  </si>
  <si>
    <t>PAC CREDITO CUOTA 13 DE 36</t>
  </si>
  <si>
    <t>Hernán Mankewitz Maquila y gastos</t>
  </si>
  <si>
    <t>PAC CREDITO CUOTA 12 DE 36</t>
  </si>
  <si>
    <t>F265</t>
  </si>
  <si>
    <t>F267</t>
  </si>
  <si>
    <t>F268</t>
  </si>
  <si>
    <t>Factura N° 265 Rosita Bellavista</t>
  </si>
  <si>
    <t>Factura N° 266 Fukai Bellavista</t>
  </si>
  <si>
    <t>Factura N° 267 Rosita Ñuñoa</t>
  </si>
  <si>
    <t>Factura N° 268 Mercado Kennedy</t>
  </si>
  <si>
    <t>F43191</t>
  </si>
  <si>
    <t>LAS PIRCAS 180 lt tinto 100 lt bl</t>
  </si>
  <si>
    <t>F74088690</t>
  </si>
  <si>
    <t>F3243</t>
  </si>
  <si>
    <t>F74088771</t>
  </si>
  <si>
    <t>Factura N° 269 Rosita Bellavista</t>
  </si>
  <si>
    <t>Factura N° 270 Fukai Bellavista</t>
  </si>
  <si>
    <t>F270</t>
  </si>
  <si>
    <t>F271</t>
  </si>
  <si>
    <t>Factura N° 271 Mall Dominicos</t>
  </si>
  <si>
    <t>F272</t>
  </si>
  <si>
    <t>F273</t>
  </si>
  <si>
    <t>F274</t>
  </si>
  <si>
    <t>Factura N° 272 Fukai Mañío</t>
  </si>
  <si>
    <t>Factura N° 273 Rosita Mañío</t>
  </si>
  <si>
    <t>Factura N° 274 Rosita Ñuñoa</t>
  </si>
  <si>
    <t>F74088903</t>
  </si>
  <si>
    <t>F797</t>
  </si>
  <si>
    <t>S&amp;T Oficina Virtual desde 16 Dic2022</t>
  </si>
  <si>
    <t>Parking Mall PN</t>
  </si>
  <si>
    <t>B61036869</t>
  </si>
  <si>
    <t>LITROS TOTALES</t>
  </si>
  <si>
    <t>Factura N° 275 Mercado Kennedy</t>
  </si>
  <si>
    <t>F275</t>
  </si>
  <si>
    <t>F276</t>
  </si>
  <si>
    <t>F277</t>
  </si>
  <si>
    <t>Factura N° 276 Mall Dominicos</t>
  </si>
  <si>
    <t>Factura N° 277 Mall Pza. Norte</t>
  </si>
  <si>
    <t>F29 Diciembre</t>
  </si>
  <si>
    <t>Factura N° 281 Mercado Kennedy</t>
  </si>
  <si>
    <t>F281</t>
  </si>
  <si>
    <t>Hernán Mankewitz Maquila y gastos E.P N°2</t>
  </si>
  <si>
    <t>NC?</t>
  </si>
  <si>
    <t>Factura N° 282 Mall Dominicos</t>
  </si>
  <si>
    <t>F282</t>
  </si>
  <si>
    <t>Ago-Dic</t>
  </si>
  <si>
    <t>Factura N° 284 Rosita Ñuñoa</t>
  </si>
  <si>
    <t>F284</t>
  </si>
  <si>
    <t>Factura N° 283 Mercado Kennedy</t>
  </si>
  <si>
    <t>F283</t>
  </si>
  <si>
    <t>Factura N° 278 Rosita Ñuñoa</t>
  </si>
  <si>
    <t>F278</t>
  </si>
  <si>
    <t>F279</t>
  </si>
  <si>
    <t>F280</t>
  </si>
  <si>
    <t>Factura N° 279 Rosita Bellavista</t>
  </si>
  <si>
    <t>Factura N° 280 Fukai Bellavista</t>
  </si>
  <si>
    <t>MD MK</t>
  </si>
  <si>
    <t>MDMK</t>
  </si>
  <si>
    <t>TOTAL VENTAS DEL MES</t>
  </si>
  <si>
    <t>TOTAL VENTAS DEL MES+ CXC apertura</t>
  </si>
  <si>
    <t>F3225</t>
  </si>
  <si>
    <t>F8732</t>
  </si>
  <si>
    <t>Hernán Mankewitz Maquila y gastos E.P N°3</t>
  </si>
  <si>
    <t>F74089156</t>
  </si>
  <si>
    <t>Factura N° 287 Mall Dominicos</t>
  </si>
  <si>
    <t>F287</t>
  </si>
  <si>
    <t>Factura N° 288 Mercado Kennedy</t>
  </si>
  <si>
    <t>F288</t>
  </si>
  <si>
    <t>Factura N° 289 Fukai Mañío</t>
  </si>
  <si>
    <t>Factura N° 290 Rosita Mañío</t>
  </si>
  <si>
    <t>F289</t>
  </si>
  <si>
    <t>F290</t>
  </si>
  <si>
    <t>Factura N° 291 Mercado Kennedy</t>
  </si>
  <si>
    <t>F291</t>
  </si>
  <si>
    <t>Freddy Quinatana 11 bolsas al 30 de Enero</t>
  </si>
  <si>
    <t>Jerry Ruiz 20 bolsas al 30 Ene 23</t>
  </si>
  <si>
    <t>F74051158</t>
  </si>
  <si>
    <t>F74131944</t>
  </si>
  <si>
    <t>F74151697</t>
  </si>
  <si>
    <t>Marco Chavez 19 bolsas al 30 Ene 23</t>
  </si>
  <si>
    <t>Andrés Riderelli Maquila y gastos E.P N°1</t>
  </si>
  <si>
    <t>F51194</t>
  </si>
  <si>
    <t>Clean Ice 2x 9Kg CO2</t>
  </si>
  <si>
    <t xml:space="preserve">Pago Mutuo May22 cuota 8 de 8 CORMORAN UF 92,58 </t>
  </si>
  <si>
    <t>Factura N° 292 Mercado Kennedy</t>
  </si>
  <si>
    <t>F292</t>
  </si>
  <si>
    <t>TD LUX</t>
  </si>
  <si>
    <t>F74151907</t>
  </si>
  <si>
    <t>SODIMAC Tenaza</t>
  </si>
  <si>
    <t>F123574638 NC 54357123</t>
  </si>
  <si>
    <t>COPEC diesel Stgo Isla de Maipo Santiago</t>
  </si>
  <si>
    <t>B2192777</t>
  </si>
  <si>
    <t>LANCER 100 bolsas</t>
  </si>
  <si>
    <t>F9115</t>
  </si>
  <si>
    <t>LAS PIRCAS 240 lt tinto 120 lt bl</t>
  </si>
  <si>
    <t>F74152004</t>
  </si>
  <si>
    <t>Factura N° 293 Fukai Mañío</t>
  </si>
  <si>
    <t>Factura N° 294 Rosita Mañío</t>
  </si>
  <si>
    <t>F293</t>
  </si>
  <si>
    <t>F294</t>
  </si>
  <si>
    <t>F295</t>
  </si>
  <si>
    <t>Factura N° 295 Mercado Kennedy</t>
  </si>
  <si>
    <t>deposito</t>
  </si>
  <si>
    <t>Factura N° 296 Rosita Bellavista</t>
  </si>
  <si>
    <t>Factura N° 297 Fukai Bellavista</t>
  </si>
  <si>
    <t>Factura N° 298 Rosita Ñuñoa</t>
  </si>
  <si>
    <t>F298</t>
  </si>
  <si>
    <t>LIDER AGUA</t>
  </si>
  <si>
    <t>F74152173</t>
  </si>
  <si>
    <t>F299</t>
  </si>
  <si>
    <t>Factura N° 299 Mall Dominicos</t>
  </si>
  <si>
    <t>OPEN KENNEDY ACUM</t>
  </si>
  <si>
    <t>PAC CREDITO CUOTA 14 DE 36</t>
  </si>
  <si>
    <t>Andrés Riderelli Maquila y gastos E.P N°2 ABONO</t>
  </si>
  <si>
    <t>F300</t>
  </si>
  <si>
    <t>Factura N° 300 Mercado Kennedy</t>
  </si>
  <si>
    <t>Andrés Riderelli Maquila y gastos E.P N°2 SALDO</t>
  </si>
  <si>
    <t>F74152174</t>
  </si>
  <si>
    <t>Club Repostero Esencias platano,durazno,canela</t>
  </si>
  <si>
    <t>Boleta N°xxx Remun Var. Gte. Ene 2023</t>
  </si>
  <si>
    <t>Factura N° 285 Rosita Bellavista</t>
  </si>
  <si>
    <t>Factura N° 286 Fukai Bellavista</t>
  </si>
  <si>
    <t>F285</t>
  </si>
  <si>
    <t>F286</t>
  </si>
  <si>
    <t>F296</t>
  </si>
  <si>
    <t>F297</t>
  </si>
  <si>
    <t>F301</t>
  </si>
  <si>
    <t>F302</t>
  </si>
  <si>
    <t>F303</t>
  </si>
  <si>
    <t>Factura N° 301 Mall Dominicos</t>
  </si>
  <si>
    <t>Factura N° 302 Mall Pza. Norte</t>
  </si>
  <si>
    <t>Factura N° 303 Mercado Kennedy</t>
  </si>
  <si>
    <t>F5061</t>
  </si>
  <si>
    <t>GoDaddy casilla correo año 2022</t>
  </si>
  <si>
    <t>GoDaddy casilla correo Ene Feb 2023</t>
  </si>
  <si>
    <t>F3250</t>
  </si>
  <si>
    <t>F4729</t>
  </si>
  <si>
    <t>RENO Chile S.A. 200 lt alcohol melaza</t>
  </si>
  <si>
    <t>F304</t>
  </si>
  <si>
    <t>F305</t>
  </si>
  <si>
    <t>F306</t>
  </si>
  <si>
    <t>F308</t>
  </si>
  <si>
    <t>Factura N° 304 Mercado Kennedy</t>
  </si>
  <si>
    <t>Factura N° 305 Fukai Mañío</t>
  </si>
  <si>
    <t>Factura N° 306 Mall Dominicos</t>
  </si>
  <si>
    <t>Factura N° 308 Rosita Mañío</t>
  </si>
  <si>
    <t>Factura N° 309 Rosita Ñuñoa</t>
  </si>
  <si>
    <t>F309</t>
  </si>
  <si>
    <t>F74191046</t>
  </si>
  <si>
    <t>Factura N° 310 Rosita Bellavista</t>
  </si>
  <si>
    <t>Factura N° 311 Fukai Bellavista</t>
  </si>
  <si>
    <t>F310</t>
  </si>
  <si>
    <t>F127914</t>
  </si>
  <si>
    <t>F74191165</t>
  </si>
  <si>
    <t>Andrés Riderelli Maquila y gastos E.P N°3</t>
  </si>
  <si>
    <t>Factura N° 312 Rosita Bellavista</t>
  </si>
  <si>
    <t>F312</t>
  </si>
  <si>
    <t>Factura N° 313 Fukai Bellavista</t>
  </si>
  <si>
    <t>F313</t>
  </si>
  <si>
    <t>F74191317</t>
  </si>
  <si>
    <t>Factura N° 314 Mall Dominicos</t>
  </si>
  <si>
    <t>F314</t>
  </si>
  <si>
    <t>TOTAL VENTAS DEL MES + CXC apertura</t>
  </si>
  <si>
    <t>F74191319</t>
  </si>
  <si>
    <t>F29ENE</t>
  </si>
  <si>
    <t>Mercado Libre Balanza Gramera 0-200 g</t>
  </si>
  <si>
    <t>F315</t>
  </si>
  <si>
    <t>Factura N° 315 Rosita Ñuñoa</t>
  </si>
  <si>
    <t>Factura N° 316 Mercado Kennedy</t>
  </si>
  <si>
    <t>F316</t>
  </si>
  <si>
    <t>F317</t>
  </si>
  <si>
    <t>Factura N° 317 Rosita Ñuñoa</t>
  </si>
  <si>
    <t>F74213198</t>
  </si>
  <si>
    <t>F74213017</t>
  </si>
  <si>
    <t>Flete Vitacura-Isla de Maipo-Vitacura</t>
  </si>
  <si>
    <t>Las Pircas 260 lt tinto 60 lt bl</t>
  </si>
  <si>
    <t>adq</t>
  </si>
  <si>
    <t xml:space="preserve">Factura 17 Feb </t>
  </si>
  <si>
    <t>foto</t>
  </si>
  <si>
    <t>prod</t>
  </si>
  <si>
    <t>bidon sin agua</t>
  </si>
  <si>
    <t>trapero limpiar</t>
  </si>
  <si>
    <t>costo reemplazo mío</t>
  </si>
  <si>
    <t>reciclaje</t>
  </si>
  <si>
    <t>EP</t>
  </si>
  <si>
    <t>celdas sin cer</t>
  </si>
  <si>
    <t>texto de otros EP</t>
  </si>
  <si>
    <t>Cliente Mirada de Largo Plazo entrega</t>
  </si>
  <si>
    <t>F74168505</t>
  </si>
  <si>
    <t>F318</t>
  </si>
  <si>
    <t>Factura N° 318 Mercado Kennedy</t>
  </si>
  <si>
    <t>Factura N° 319 Mall Dominicos</t>
  </si>
  <si>
    <t>F319</t>
  </si>
  <si>
    <t>Factura N° 320 Rosita Bellavista</t>
  </si>
  <si>
    <t>Factura N° 321 Fukai Bellavista</t>
  </si>
  <si>
    <t>F320</t>
  </si>
  <si>
    <t>F321</t>
  </si>
  <si>
    <t>SABORES esencia Sangria</t>
  </si>
  <si>
    <t>F3257</t>
  </si>
  <si>
    <t>Factura N° 323 Rosita Ñuñoa</t>
  </si>
  <si>
    <t>F323</t>
  </si>
  <si>
    <t>F74213380</t>
  </si>
  <si>
    <t>F74238651</t>
  </si>
  <si>
    <t>F128394</t>
  </si>
  <si>
    <t>Andrés Riderelli Maquila y gastos E.P N°4</t>
  </si>
  <si>
    <t>F74238777</t>
  </si>
  <si>
    <t>TD</t>
  </si>
  <si>
    <t>Andres Riderelli</t>
  </si>
  <si>
    <t>entrega directa a otro sin aviso</t>
  </si>
  <si>
    <t>ESIGN S.A. 1 año</t>
  </si>
  <si>
    <t>F327</t>
  </si>
  <si>
    <t>Factura N° 327 Mall Dominicos</t>
  </si>
  <si>
    <t>F359157</t>
  </si>
  <si>
    <t>Factura N° 328 Rosita Bellavista</t>
  </si>
  <si>
    <t>F328</t>
  </si>
  <si>
    <t>Factura N° 329 Fukai Bellavista</t>
  </si>
  <si>
    <t>F329</t>
  </si>
  <si>
    <t>Factura N° 330 Rosita Ñuñoa</t>
  </si>
  <si>
    <t>F330</t>
  </si>
  <si>
    <t>Factura N° 331 Rosita Mañío</t>
  </si>
  <si>
    <t>F331</t>
  </si>
  <si>
    <t>PAC CREDITO CUOTA 15 DE 36</t>
  </si>
  <si>
    <t>Boleta N°xxx Remun Var. Gte. Feb 2023</t>
  </si>
  <si>
    <t>Boleta N°xxx Remun Var. Gte. Nov 2022</t>
  </si>
  <si>
    <t>Boleta N°xxx Remun Var. Gte. Dic 2022</t>
  </si>
  <si>
    <t>Boleta N°xxx Remun Var. Gte.  Ago 2022</t>
  </si>
  <si>
    <t>Boleta N°xxx Remun Var. Gte. Ago 2022</t>
  </si>
  <si>
    <t>Boleta N°xxx Remun Var. Gte. Mar 2023</t>
  </si>
  <si>
    <t>REM</t>
  </si>
  <si>
    <t>Remuneración Fija Gte. Sept  2021</t>
  </si>
  <si>
    <t>Remuneración Fija Gte. Oct a Dic 2021</t>
  </si>
  <si>
    <t>65% JMS</t>
  </si>
  <si>
    <t>GoDaddy renovacion casilla</t>
  </si>
  <si>
    <t>Factura N° 332 Mall Dominicos</t>
  </si>
  <si>
    <t>F332</t>
  </si>
  <si>
    <t>Factura N° 333 Rosita Bellavista</t>
  </si>
  <si>
    <t>F333</t>
  </si>
  <si>
    <t>Factura N° 334 Fukai Bellavista</t>
  </si>
  <si>
    <t>F334</t>
  </si>
  <si>
    <t>Factura N° 335 Mall Dominicos</t>
  </si>
  <si>
    <t>F335</t>
  </si>
  <si>
    <t>Factura N° 336 Mercado Kennedy</t>
  </si>
  <si>
    <t>F336</t>
  </si>
  <si>
    <t>Factura N° 337 Mercado Kennedy</t>
  </si>
  <si>
    <t>F338</t>
  </si>
  <si>
    <t>Factura N° 338 Rosita Ñuñoa</t>
  </si>
  <si>
    <t>F337</t>
  </si>
  <si>
    <t>F74337526</t>
  </si>
  <si>
    <t>F74312562</t>
  </si>
  <si>
    <t>F74238750</t>
  </si>
  <si>
    <t>E.P. N°11</t>
  </si>
  <si>
    <t xml:space="preserve">Alejandro Mankewitz Maquila y gastos </t>
  </si>
  <si>
    <t xml:space="preserve">Andrés Riderelli Maquila y gastos </t>
  </si>
  <si>
    <t>E.P. N°5</t>
  </si>
  <si>
    <t>Factura N° 339 Rosita Bellavista</t>
  </si>
  <si>
    <t>F339</t>
  </si>
  <si>
    <t>Factura N° 340 Fukai Mañío</t>
  </si>
  <si>
    <t>Factura N° 341 Rosita Mañío</t>
  </si>
  <si>
    <t>F340</t>
  </si>
  <si>
    <t>F341</t>
  </si>
  <si>
    <t>F52882</t>
  </si>
  <si>
    <t>ICE CLEAN 1X2 + 1X9  kG</t>
  </si>
  <si>
    <t>Factura N° 342 Mercado Kennedy</t>
  </si>
  <si>
    <t>F342</t>
  </si>
  <si>
    <t>Factura N° 343 Rosita Bellavista</t>
  </si>
  <si>
    <t>F343</t>
  </si>
  <si>
    <t>Factura N° 344 Fukai Bellavista</t>
  </si>
  <si>
    <t>F344</t>
  </si>
  <si>
    <t>F74380960</t>
  </si>
  <si>
    <t xml:space="preserve">F29 Enero </t>
  </si>
  <si>
    <t>Factura N° 345 Mall Dominicos</t>
  </si>
  <si>
    <t>F345</t>
  </si>
  <si>
    <t>Factura N° 346 Rosita Ñuñoa</t>
  </si>
  <si>
    <t>F346</t>
  </si>
  <si>
    <t>Factura N° 347 Rosita Bellavista</t>
  </si>
  <si>
    <t>Factura N° 348 Fukai Bellavista</t>
  </si>
  <si>
    <t>F347</t>
  </si>
  <si>
    <t>F348</t>
  </si>
  <si>
    <t>SODIMAC kit portón</t>
  </si>
  <si>
    <t>F124822095</t>
  </si>
  <si>
    <t>Factura N° 349 Fukai Mañío</t>
  </si>
  <si>
    <t>Factura N° 350 Rosita Mañío</t>
  </si>
  <si>
    <t>F349</t>
  </si>
  <si>
    <t>F350</t>
  </si>
  <si>
    <t>F419941</t>
  </si>
  <si>
    <t>F74337520</t>
  </si>
  <si>
    <t>F74363174</t>
  </si>
  <si>
    <t>F74415468</t>
  </si>
  <si>
    <t>E.P. N°12</t>
  </si>
  <si>
    <t>F74398146</t>
  </si>
  <si>
    <t>Factura N° 351 Mall Dominicos</t>
  </si>
  <si>
    <t>F351</t>
  </si>
  <si>
    <t>F352</t>
  </si>
  <si>
    <t>F353</t>
  </si>
  <si>
    <t>F354</t>
  </si>
  <si>
    <t>Factura N° 352 Rosita Bellavista</t>
  </si>
  <si>
    <t>Factura N° 353 Fukai Bellavista</t>
  </si>
  <si>
    <t>Factura N° 354 Rosita Ñuñoa</t>
  </si>
  <si>
    <t>Factura N° 355 Mercado Kennedy</t>
  </si>
  <si>
    <t>F355</t>
  </si>
  <si>
    <t>Factura N° 356 Fukai Bellavista</t>
  </si>
  <si>
    <t>F356</t>
  </si>
  <si>
    <t>PAC CREDITO CUOTA 16 DE 36</t>
  </si>
  <si>
    <t>LANCER Kit repar Regulador + M.O.</t>
  </si>
  <si>
    <t>F74398281</t>
  </si>
  <si>
    <t>E.P. N°13</t>
  </si>
  <si>
    <t>Boleta N°xxx Remun Var. Gte. Abr 2023</t>
  </si>
  <si>
    <t>F10540</t>
  </si>
  <si>
    <t>HIDRATOS 10 cajas</t>
  </si>
  <si>
    <t>Factura N° 357 Fukai Mañío</t>
  </si>
  <si>
    <t>Factura N° 358 Rosita Mañío</t>
  </si>
  <si>
    <t>F357</t>
  </si>
  <si>
    <t>F358</t>
  </si>
  <si>
    <t>Factura N° 359 Rosita Ñuñoa</t>
  </si>
  <si>
    <t>F359</t>
  </si>
  <si>
    <t>GD 1441</t>
  </si>
  <si>
    <t>Olavarría y Rojas S.A. 220 lt Maipo</t>
  </si>
  <si>
    <t>F74469896</t>
  </si>
  <si>
    <t>Factura N° 360 Mall Dominicos</t>
  </si>
  <si>
    <t>F360</t>
  </si>
  <si>
    <t>Factura N° 361 Rosita Bellavista</t>
  </si>
  <si>
    <t>F361</t>
  </si>
  <si>
    <t>Factura N° 362 Fukai Bellavista</t>
  </si>
  <si>
    <t>F362</t>
  </si>
  <si>
    <t>F74451920</t>
  </si>
  <si>
    <t>F74469920</t>
  </si>
  <si>
    <t>F74485048</t>
  </si>
  <si>
    <t>F74451544</t>
  </si>
  <si>
    <t>F74485180</t>
  </si>
  <si>
    <t>E.P. N°14</t>
  </si>
  <si>
    <t>F987</t>
  </si>
  <si>
    <t>CGM LTDA Gastos e impto Mutuo Cormoran</t>
  </si>
  <si>
    <t>Factura N° 363 Mall Dominicos</t>
  </si>
  <si>
    <t>F363</t>
  </si>
  <si>
    <t>Factura N° 364 Mercado Kennedy</t>
  </si>
  <si>
    <t>F364</t>
  </si>
  <si>
    <t>Factura N° 365 Mall Dominicos</t>
  </si>
  <si>
    <t>F365</t>
  </si>
  <si>
    <t>Factura N° 366 Mercado Kennedy</t>
  </si>
  <si>
    <t>F744</t>
  </si>
  <si>
    <t>GoDaddy email</t>
  </si>
  <si>
    <t>F74288569</t>
  </si>
  <si>
    <t>ac.desde Ago-22</t>
  </si>
  <si>
    <t>ac.desde Ene-23</t>
  </si>
  <si>
    <t>Ingresos x Venta</t>
  </si>
  <si>
    <t>F74540197</t>
  </si>
  <si>
    <t>Factura N° 367 Fukai Mañío</t>
  </si>
  <si>
    <t>Factura N° 368 Rosita Mañío</t>
  </si>
  <si>
    <t>F367</t>
  </si>
  <si>
    <t>F368</t>
  </si>
  <si>
    <t>Factura N° 369 Rosita Bellavista</t>
  </si>
  <si>
    <t>Factura N° 370 Fukai Bellavista</t>
  </si>
  <si>
    <t>F369</t>
  </si>
  <si>
    <t>F370</t>
  </si>
  <si>
    <t>F371</t>
  </si>
  <si>
    <t>F372</t>
  </si>
  <si>
    <t>Factura N° 371 Rosita Bellavista</t>
  </si>
  <si>
    <t>Factura N° 372 Fukai Bellavista</t>
  </si>
  <si>
    <t>PAC CREDITO CUOTA 17 DE 36</t>
  </si>
  <si>
    <t>Boleta N°xxx Remun Var. Gte. May 2023</t>
  </si>
  <si>
    <t>F74561413</t>
  </si>
  <si>
    <t>F74561693</t>
  </si>
  <si>
    <t>Factura N° 375 Mall Dominicos</t>
  </si>
  <si>
    <t>F375</t>
  </si>
  <si>
    <t>Marco Chavez 14 bolsas reciclaje</t>
  </si>
  <si>
    <t>Jerry Ruiz 35 bolsas reciclaje</t>
  </si>
  <si>
    <t>Freddy Quintana 14 bolsas reciclaje</t>
  </si>
  <si>
    <t>F74599959</t>
  </si>
  <si>
    <t>Factura N° 373 Fukai Mañío</t>
  </si>
  <si>
    <t>Factura N° 374 Rosita Mañío</t>
  </si>
  <si>
    <t>F373</t>
  </si>
  <si>
    <t>F374</t>
  </si>
  <si>
    <t>F377</t>
  </si>
  <si>
    <t>Factura N° 376 Rosita Bellavista</t>
  </si>
  <si>
    <t>Factura N° 377 Fukai Bellavista</t>
  </si>
  <si>
    <t>José Villegas 11 bolsas reciclaje al 9Mayo</t>
  </si>
  <si>
    <t>Factura N° 378 Mall Dominicos</t>
  </si>
  <si>
    <t>F378</t>
  </si>
  <si>
    <t>Hernán  Mankewitz E.P. N°4</t>
  </si>
  <si>
    <t>F22 devolución</t>
  </si>
  <si>
    <t>FONASA devolución</t>
  </si>
  <si>
    <t>F55069</t>
  </si>
  <si>
    <t>Factura N° 379 Rosita Ñuñoa</t>
  </si>
  <si>
    <t>F379</t>
  </si>
  <si>
    <t>Factura N° 380 Rosita Bellavista</t>
  </si>
  <si>
    <t>Factura N° 381 Fukai Bellavista</t>
  </si>
  <si>
    <t>F380</t>
  </si>
  <si>
    <t>F381</t>
  </si>
  <si>
    <t>Factura N° 382 Fukai Mañío</t>
  </si>
  <si>
    <t>Factura N° 383 Rosita Mañío</t>
  </si>
  <si>
    <t>F382</t>
  </si>
  <si>
    <t>F383</t>
  </si>
  <si>
    <t>F14261</t>
  </si>
  <si>
    <t>F14290</t>
  </si>
  <si>
    <t>Factura N° 384 Mall Dominicos</t>
  </si>
  <si>
    <t>F384</t>
  </si>
  <si>
    <t>Factura N° 385 Rosita Bellavista</t>
  </si>
  <si>
    <t>F385</t>
  </si>
  <si>
    <t>LITROS SPRITZ</t>
  </si>
  <si>
    <t>P.O.P</t>
  </si>
  <si>
    <t>P.O.P.</t>
  </si>
  <si>
    <t>lt/P.O.P.</t>
  </si>
  <si>
    <t>Nota de Credito N°8</t>
  </si>
  <si>
    <t>NC8</t>
  </si>
  <si>
    <t>PAC CREDITO CUOTA 18 DE 36</t>
  </si>
  <si>
    <t xml:space="preserve">Pago Mutuo Abr23 cuota 1 de 8 CORMORAN UF 84,052 </t>
  </si>
  <si>
    <t>F74686646</t>
  </si>
  <si>
    <t>F386</t>
  </si>
  <si>
    <t>F387</t>
  </si>
  <si>
    <t>F388</t>
  </si>
  <si>
    <t>Factura N° 386 Rosita Mañío</t>
  </si>
  <si>
    <t>Factura N° 387 Fukai Mañío</t>
  </si>
  <si>
    <t>Factura N° 388 Mall Dominicos</t>
  </si>
  <si>
    <t>F389</t>
  </si>
  <si>
    <t>Factura N° 389 Rosita Bellavista</t>
  </si>
  <si>
    <t>F390</t>
  </si>
  <si>
    <t>F391</t>
  </si>
  <si>
    <t>Factura N° 390 Rosita Ñuñoa</t>
  </si>
  <si>
    <t>F392</t>
  </si>
  <si>
    <t>F393</t>
  </si>
  <si>
    <t>F394</t>
  </si>
  <si>
    <t>Factura N° 393 Mercado Kennedy</t>
  </si>
  <si>
    <t>Factura N° 391 Mall Dominicos</t>
  </si>
  <si>
    <t>Factura N° 392 Mall Dominicos</t>
  </si>
  <si>
    <t>Factura N° 394 Mercado Kennedy</t>
  </si>
  <si>
    <t>F74703480</t>
  </si>
  <si>
    <t>Olavarría y Rojas S.A. 300 lt Maipo</t>
  </si>
  <si>
    <t>Hernán  Mankewitz E.P. N°5</t>
  </si>
  <si>
    <t>Almuerzo 2 pax</t>
  </si>
  <si>
    <t>PESALFE instalación termostato</t>
  </si>
  <si>
    <t>F395</t>
  </si>
  <si>
    <t>F396</t>
  </si>
  <si>
    <t>F397</t>
  </si>
  <si>
    <t>Factura N° 397 Rosita Ñuñoa</t>
  </si>
  <si>
    <t>Factura N° 395 Rosita Bellavista</t>
  </si>
  <si>
    <t>Factura N° 396 Fukai Bellavista</t>
  </si>
  <si>
    <t>F475</t>
  </si>
  <si>
    <t>Gecorp termaostato AS80</t>
  </si>
  <si>
    <t>F46665</t>
  </si>
  <si>
    <t>F398</t>
  </si>
  <si>
    <t>Factura N° 398 Mercado Kennedy</t>
  </si>
  <si>
    <t>F74750627</t>
  </si>
  <si>
    <t>F399</t>
  </si>
  <si>
    <t>F400</t>
  </si>
  <si>
    <t>F401</t>
  </si>
  <si>
    <t>F402</t>
  </si>
  <si>
    <t>F403</t>
  </si>
  <si>
    <t>Factura N° 399 Rosita Mañío</t>
  </si>
  <si>
    <t>Factura N° 400 Fukai Mañío</t>
  </si>
  <si>
    <t>Factura N° 401 Rosita Bellavista</t>
  </si>
  <si>
    <t>Factura N° 402 Fukai Bellavista</t>
  </si>
  <si>
    <t>Factura N° 403 Mall Dominicos</t>
  </si>
  <si>
    <t>2 SS-1023 Servicio de instalación equipos varios 1 $ 133,437 $ 0 $ 133,437</t>
  </si>
  <si>
    <t>3 85-192400 Carbonatador 220 V flujo rapido 1 $ 623,700 $ 0 $ 623,700</t>
  </si>
  <si>
    <t>4 FJ-G551022A Bomba de gas para Jarabe G-55 1 $ 85,665 $ 0 $ 85,665</t>
  </si>
  <si>
    <t>5 CH-1310 Kit de Instalacion 1 $ 100,000 $ 0 $ 100,000</t>
  </si>
  <si>
    <t>6 SS-2002 Servicio de Despacho 2 $ 10,000 $ 0 $ 20,000</t>
  </si>
  <si>
    <t>2022 (IVA incl)</t>
  </si>
  <si>
    <t>2023 (IVA incl)</t>
  </si>
  <si>
    <t>Esp+Spritz+sangria B</t>
  </si>
  <si>
    <t>F74768172</t>
  </si>
  <si>
    <t>F404</t>
  </si>
  <si>
    <t>F405</t>
  </si>
  <si>
    <t>F406</t>
  </si>
  <si>
    <t>Factura N° 404 Rosita Ñuñoa</t>
  </si>
  <si>
    <t>Factura N° 405 Rosita Bellavista</t>
  </si>
  <si>
    <t>Factura N° 406 Fukai Bellavista</t>
  </si>
  <si>
    <t>F407</t>
  </si>
  <si>
    <t>Factura N° 407 Mall Dominicos</t>
  </si>
  <si>
    <t>Factura N° 408 Fukai Mañío</t>
  </si>
  <si>
    <t>F408</t>
  </si>
  <si>
    <t>F409</t>
  </si>
  <si>
    <t>F74806066</t>
  </si>
  <si>
    <t>F1058</t>
  </si>
  <si>
    <t>F74666975</t>
  </si>
  <si>
    <t>F74598503</t>
  </si>
  <si>
    <t>F74633782</t>
  </si>
  <si>
    <t>F74719068</t>
  </si>
  <si>
    <t>Factura N° 409 Rosita Mañío</t>
  </si>
  <si>
    <t>F410</t>
  </si>
  <si>
    <t>F411</t>
  </si>
  <si>
    <t>F412</t>
  </si>
  <si>
    <t>Factura N° 410 Rosita Ñuñoa</t>
  </si>
  <si>
    <t>Factura N° 411 Rosita Bellavista</t>
  </si>
  <si>
    <t>Factura N° 412 Fukai Bellavista</t>
  </si>
  <si>
    <t>F413</t>
  </si>
  <si>
    <t>F414</t>
  </si>
  <si>
    <t>Factura N° 413 Fukai Mañío</t>
  </si>
  <si>
    <t>Factura N° 414 Rosita Mañío</t>
  </si>
  <si>
    <t>Boleta N°xxx Remun Var. Gte. Jun 2023</t>
  </si>
  <si>
    <t>Andres Riderelli EP 6</t>
  </si>
  <si>
    <t>Factura N° 415 Mall Dominicos</t>
  </si>
  <si>
    <t>F415</t>
  </si>
  <si>
    <t>Boleta N°xxx Remun Var. Gte. Jul 2023</t>
  </si>
  <si>
    <t>Factura N° 417 Rosita Ñuñoa</t>
  </si>
  <si>
    <t>F417</t>
  </si>
  <si>
    <t>PAC CREDITO CUOTA 19 DE 36</t>
  </si>
  <si>
    <t>F74841888</t>
  </si>
  <si>
    <t>F74862574</t>
  </si>
  <si>
    <t>Factura N° 420 Mall Dominicos</t>
  </si>
  <si>
    <t>F420</t>
  </si>
  <si>
    <t>F418</t>
  </si>
  <si>
    <t>F419</t>
  </si>
  <si>
    <t>Factura N° 419 Fukai Bellavista</t>
  </si>
  <si>
    <t>Factura N° 418 Rosita Bellavista</t>
  </si>
  <si>
    <t>Fondo por Rendir</t>
  </si>
  <si>
    <t>Hernán  Mankewitz E.P. N°6</t>
  </si>
  <si>
    <t>Hernán  Mankewitz E.P. N°7</t>
  </si>
  <si>
    <t>GoDaddy</t>
  </si>
  <si>
    <t>BPO Advisors firma digital</t>
  </si>
  <si>
    <t>Factura N° 421 Fukai Mañío</t>
  </si>
  <si>
    <t>Factura N° 422 Rosita Mañío</t>
  </si>
  <si>
    <t>F421</t>
  </si>
  <si>
    <t>F422</t>
  </si>
  <si>
    <t>F423</t>
  </si>
  <si>
    <t>Factura N° 423 Rosita Bellavista</t>
  </si>
  <si>
    <t>F20 Junio</t>
  </si>
  <si>
    <t>F74885957</t>
  </si>
  <si>
    <t>Devolución Fondo por Rendir 14Jul</t>
  </si>
  <si>
    <t>SABORES Insumos</t>
  </si>
  <si>
    <t>F14926</t>
  </si>
  <si>
    <t>Factura N° 424 Rosita Ñuñoa</t>
  </si>
  <si>
    <t>F424</t>
  </si>
  <si>
    <t>F426</t>
  </si>
  <si>
    <t>F427</t>
  </si>
  <si>
    <t>F428</t>
  </si>
  <si>
    <t>F429</t>
  </si>
  <si>
    <t>Factura N° 426 Rosita Bellavista</t>
  </si>
  <si>
    <t>Factura N° 427 Fukai Bellavista</t>
  </si>
  <si>
    <t>Factura N° 428 Fukai Mañío</t>
  </si>
  <si>
    <t>Factura N° 429 Rosita Mañío</t>
  </si>
  <si>
    <t>Andrés Riderelli E.P.N°7</t>
  </si>
  <si>
    <t>F430</t>
  </si>
  <si>
    <t>Factura N° 430 Mall Dominicos</t>
  </si>
  <si>
    <t>F74904160</t>
  </si>
  <si>
    <t xml:space="preserve">Pago Mutuo Abr23 cuota 4-5-6 de 8 CORMORAN UF 84,052 </t>
  </si>
  <si>
    <t>F74904162</t>
  </si>
  <si>
    <t>Muestra Pisco Sour Pizca</t>
  </si>
  <si>
    <t>Copia de Llave</t>
  </si>
  <si>
    <t>B730745</t>
  </si>
  <si>
    <t>TD ARD</t>
  </si>
  <si>
    <t>Olavarría y Rojas S.A. 280 lt Maipo</t>
  </si>
  <si>
    <t>Andrés Riderelli E.P.N°8</t>
  </si>
  <si>
    <t>F431</t>
  </si>
  <si>
    <t>Factura N° 431 Rosita Ñuñoa</t>
  </si>
  <si>
    <t>EMS Pagos x emitir Boleta</t>
  </si>
  <si>
    <t>F432</t>
  </si>
  <si>
    <t>F433</t>
  </si>
  <si>
    <t>F434</t>
  </si>
  <si>
    <t>F435</t>
  </si>
  <si>
    <t>F436</t>
  </si>
  <si>
    <t>Factura N° 432 Rosita Mañío</t>
  </si>
  <si>
    <t>Factura N° 433 Rosita Bellavista</t>
  </si>
  <si>
    <t>Factura N° 434 Fukai Bellavista</t>
  </si>
  <si>
    <t>Factura N° 435 Mall Dominicos</t>
  </si>
  <si>
    <t>Factura N° 436 Rosita Ñuñoa</t>
  </si>
  <si>
    <t>F749</t>
  </si>
  <si>
    <t>Imp.Lakshmin pop 60 llaveros</t>
  </si>
  <si>
    <t>Parking Patio Bellavista</t>
  </si>
  <si>
    <t>Flete Vitacura-El Mañío-Vitacura</t>
  </si>
  <si>
    <t>Flete Vitacura-Ñuñoa-Vitacura</t>
  </si>
  <si>
    <t>Flete Vitacura-Bellavista-Vitacura</t>
  </si>
  <si>
    <t>Flete Vitacura-Mall Dominicos-Vitacura</t>
  </si>
  <si>
    <t>PAC CREDITO CUOTA 20 DE 36</t>
  </si>
  <si>
    <t>F29 Mayo 2020</t>
  </si>
  <si>
    <t>F29 Abril 2020</t>
  </si>
  <si>
    <t>Boleta N°xxx Remun Var. Gte. Ago 2023</t>
  </si>
  <si>
    <t>Andrés Riderelli E.P.N°9</t>
  </si>
  <si>
    <t>Giros DDJJ Renta 2023</t>
  </si>
  <si>
    <t>Factura N° 437 Rosita Bellavista</t>
  </si>
  <si>
    <t>F437</t>
  </si>
  <si>
    <t>F2242438</t>
  </si>
  <si>
    <t>E.Cert Firma avanzada 1 año</t>
  </si>
  <si>
    <t>F74979787</t>
  </si>
  <si>
    <t>F74996574</t>
  </si>
  <si>
    <t>F438</t>
  </si>
  <si>
    <t>F439</t>
  </si>
  <si>
    <t>Factura N° 438 Fukai Mañío</t>
  </si>
  <si>
    <t>Factura N° 439 Rosita Mañío</t>
  </si>
  <si>
    <t>F440</t>
  </si>
  <si>
    <t>Factura N° 440 Rosita Ñuñoa</t>
  </si>
  <si>
    <t>Freddy Quintana 27 bolsas reciclaje</t>
  </si>
  <si>
    <t>Jerry Ruiz 17 bolsas reciclaje</t>
  </si>
  <si>
    <t>Clean Ice 2 x 2 Kg gas</t>
  </si>
  <si>
    <t>F58027</t>
  </si>
  <si>
    <t>Lancer 100 bib 10 lt</t>
  </si>
  <si>
    <t>F13428</t>
  </si>
  <si>
    <t>CD EMS</t>
  </si>
  <si>
    <t>F441</t>
  </si>
  <si>
    <t>F442</t>
  </si>
  <si>
    <t>Factura N° 441 Rosita Bellavista</t>
  </si>
  <si>
    <t>Factura N° 442 Fukai Bellavista</t>
  </si>
  <si>
    <t>F443</t>
  </si>
  <si>
    <t>Factura N° 443 Rosita Ñuñoa</t>
  </si>
  <si>
    <t>F444</t>
  </si>
  <si>
    <t>Factura N° 444 Mall Dominicos</t>
  </si>
  <si>
    <t>F29 Jul 23</t>
  </si>
  <si>
    <t>Jose Villegas 17 bolsas reciclaje</t>
  </si>
  <si>
    <t xml:space="preserve">Pago Mutuo Abr23 cuota 1-2-3 de 8 CORMORAN UF 84,052 </t>
  </si>
  <si>
    <t>F75086737</t>
  </si>
  <si>
    <t>PAC CREDITO CUOTA 21 DE 36</t>
  </si>
  <si>
    <t>F29 Ago 23</t>
  </si>
  <si>
    <t>F445</t>
  </si>
  <si>
    <t>F446</t>
  </si>
  <si>
    <t>F447</t>
  </si>
  <si>
    <t>F450</t>
  </si>
  <si>
    <t>F451</t>
  </si>
  <si>
    <t>Factura N° 445 Fukai Bellavista</t>
  </si>
  <si>
    <t>Factura N° 446 Fukai Mañío</t>
  </si>
  <si>
    <t>Factura N° 447 Rosita Mañío</t>
  </si>
  <si>
    <t>Factura N° 450 Rosita Bellavista</t>
  </si>
  <si>
    <t>Factura N° 451 Fukai Bellavista</t>
  </si>
  <si>
    <t>Andrés Riderelli E.P.N°10</t>
  </si>
  <si>
    <t>Factura N° 452 Rosita Ñuñoa</t>
  </si>
  <si>
    <t>F452</t>
  </si>
  <si>
    <t>F453</t>
  </si>
  <si>
    <t>F454</t>
  </si>
  <si>
    <t>Factura N° 453 Fukai Mañío</t>
  </si>
  <si>
    <t>Factura N° 454 Rosita Mañío</t>
  </si>
  <si>
    <t>Clean Ice 2 Kg CO2</t>
  </si>
  <si>
    <t>F75126943</t>
  </si>
  <si>
    <t>Factura N° 455 Mall Dominicos</t>
  </si>
  <si>
    <t>F455</t>
  </si>
  <si>
    <t>F456</t>
  </si>
  <si>
    <t>F457</t>
  </si>
  <si>
    <t>F458</t>
  </si>
  <si>
    <t>Factura N° 456 Rosita Bellavista</t>
  </si>
  <si>
    <t>Factura N° 457 Fukai Bellavista</t>
  </si>
  <si>
    <t>Hernán Mankewitz E.P.N°8</t>
  </si>
  <si>
    <t>F75158830</t>
  </si>
  <si>
    <t>Factura N° 458 Rosita Ñuñoa</t>
  </si>
  <si>
    <t>F459</t>
  </si>
  <si>
    <t>F460</t>
  </si>
  <si>
    <t>Factura N° 459 Fukai Bellavista</t>
  </si>
  <si>
    <t>Factura N° 460 Rosita Bellavista</t>
  </si>
  <si>
    <t>F461</t>
  </si>
  <si>
    <t>F462</t>
  </si>
  <si>
    <t>Factura N° 461 Fukai Mañío</t>
  </si>
  <si>
    <t>Factura N° 462 Rosita Mañío</t>
  </si>
  <si>
    <t>AC ´23 MDMK</t>
  </si>
  <si>
    <t>AC Ago22</t>
  </si>
  <si>
    <t>Ac Ago22</t>
  </si>
  <si>
    <t>REVISAR</t>
  </si>
  <si>
    <t>VENTA MD-MK</t>
  </si>
  <si>
    <t>Boleta N°xxx Remun Var. Gte. 65% EBITDA Ago22- Ago 2023 MD MK</t>
  </si>
  <si>
    <t>PAGADO 28SEP23</t>
  </si>
  <si>
    <t>F75234078</t>
  </si>
  <si>
    <t>LIDER AGUA+AZUCAR+PILA BALANZA</t>
  </si>
  <si>
    <t>F463</t>
  </si>
  <si>
    <t>F464</t>
  </si>
  <si>
    <t>F465</t>
  </si>
  <si>
    <t>F466</t>
  </si>
  <si>
    <t>Factura N° 463 Mall Dominicos</t>
  </si>
  <si>
    <t>Boleta N°xxx Remun Var. Gte. Sep 2023</t>
  </si>
  <si>
    <t>Olavarria y Rojas S.A. 300 lt tinto</t>
  </si>
  <si>
    <t>Hernán Mankewitz E.P.N°9</t>
  </si>
  <si>
    <t>F75249902</t>
  </si>
  <si>
    <t>F467</t>
  </si>
  <si>
    <t>F468</t>
  </si>
  <si>
    <t>F469</t>
  </si>
  <si>
    <t>F470</t>
  </si>
  <si>
    <t>F471</t>
  </si>
  <si>
    <t>Factura N° 467 Mall Dominicos</t>
  </si>
  <si>
    <t>Factura N° 468 Fukai Mañío</t>
  </si>
  <si>
    <t>Factura N° 469 Rosita Mañío</t>
  </si>
  <si>
    <t>Factura N° 471 Rosita Bellavista</t>
  </si>
  <si>
    <t>Factura N° 470 Fukai Bellavista</t>
  </si>
  <si>
    <t>F75286385</t>
  </si>
  <si>
    <t>Factura N° 472 Fukai Bellavista</t>
  </si>
  <si>
    <t>F472</t>
  </si>
  <si>
    <t>Factura N° 473 Rosita Bellavista</t>
  </si>
  <si>
    <t>F473</t>
  </si>
  <si>
    <t>Factura N° 474 Fukai Mañío</t>
  </si>
  <si>
    <t>F474</t>
  </si>
  <si>
    <t>Factura N° 475 Rosita Mañío</t>
  </si>
  <si>
    <t>Factura N° 476 Rosita Ñuñoa</t>
  </si>
  <si>
    <t>F476</t>
  </si>
  <si>
    <t>F75307283</t>
  </si>
  <si>
    <t>Rosita Ñuñoa</t>
  </si>
  <si>
    <t>El Mañío</t>
  </si>
  <si>
    <t>PAC CREDITO CUOTA 22 DE 36</t>
  </si>
  <si>
    <t>Boleta N°xxx Remun Var. Gte. Sept 2023</t>
  </si>
  <si>
    <t>Boleta N°xxx Remun Var. Gte. Oct 2023</t>
  </si>
  <si>
    <t>Boleta N°xxx Remun Var. Gte. Nov 2023</t>
  </si>
  <si>
    <t>Factura N° 464 Fukai Bellavista</t>
  </si>
  <si>
    <t>Factura N° 465 Rosita Bellavista</t>
  </si>
  <si>
    <t>Factura N° 466 Rosita Ñuñoa</t>
  </si>
  <si>
    <t>Factura N° 477 Rosita Ñuñoa</t>
  </si>
  <si>
    <t>F477</t>
  </si>
  <si>
    <t>Factura N° 478 Mall Dominicos</t>
  </si>
  <si>
    <t>F478</t>
  </si>
  <si>
    <t>Ronald Reategui 20 BIB reciclaje</t>
  </si>
  <si>
    <t>Sabores insumos P.Sour y Sangría</t>
  </si>
  <si>
    <t>Factura N° 479 Rosita Ñuñoa</t>
  </si>
  <si>
    <t>F479</t>
  </si>
  <si>
    <t>Andrés Riderelli EP 11</t>
  </si>
  <si>
    <t>Factura N° 480 Rosita Ñuñoa</t>
  </si>
  <si>
    <t>Vitivinícola Los Tilos 100 lt bl</t>
  </si>
  <si>
    <t>F75509227</t>
  </si>
  <si>
    <t>Flete Vitacura-Buin-Vitacura</t>
  </si>
  <si>
    <t>F7550</t>
  </si>
  <si>
    <t>Sabores&amp;Frangancias Es Sangría</t>
  </si>
  <si>
    <t>F16449</t>
  </si>
  <si>
    <t xml:space="preserve">Pago Mutuo Abr23 cuota 7-8 de 8 CORMORAN UF 84,052 </t>
  </si>
  <si>
    <t>PAC CREDITO CUOTA 23 DE 36</t>
  </si>
  <si>
    <t>F481</t>
  </si>
  <si>
    <t>F482</t>
  </si>
  <si>
    <t>BMB</t>
  </si>
  <si>
    <t>Factura N° 481 Bar Sublime</t>
  </si>
  <si>
    <t>Factura N° 482 Bar Sublime</t>
  </si>
  <si>
    <t>Andres Riderelli EP 12</t>
  </si>
  <si>
    <t>Supermercado DIEZ 1 Aperol</t>
  </si>
  <si>
    <t>F66228</t>
  </si>
  <si>
    <t>F75644142</t>
  </si>
  <si>
    <t>F75657524</t>
  </si>
  <si>
    <t>F66254</t>
  </si>
  <si>
    <t>Boleta N°xxx Remun Var. Gte. Dic 2023</t>
  </si>
  <si>
    <t>Boleta N°xxx Remun Var. Gte. Ene 2024</t>
  </si>
  <si>
    <t>F16534</t>
  </si>
  <si>
    <t>F1079524</t>
  </si>
  <si>
    <t>HIDRATOS cajas</t>
  </si>
  <si>
    <t>LANCER mangueras</t>
  </si>
  <si>
    <t>HAULMER SpA Chilefirmas</t>
  </si>
  <si>
    <t>F316198</t>
  </si>
  <si>
    <t>PAC CREDITO CUOTA 24 DE 36</t>
  </si>
  <si>
    <t>Rafael SUBLIME 9 Bolsas reciclaje</t>
  </si>
  <si>
    <t>Factura N° 483 Bar Sublime</t>
  </si>
  <si>
    <t>F483</t>
  </si>
  <si>
    <t>Factura N° 484 Bar Sublime</t>
  </si>
  <si>
    <t>F484</t>
  </si>
  <si>
    <t>F75730967</t>
  </si>
  <si>
    <t>Patio Bellavista parking</t>
  </si>
  <si>
    <t>Flete Equipo Mall Pl Los Dominicos-Pza. P.deValdivia-P.Bellavista-Vitacura</t>
  </si>
  <si>
    <t>Andres Riderelli EP 13</t>
  </si>
  <si>
    <t>F29 Dic</t>
  </si>
  <si>
    <t>F75731422</t>
  </si>
  <si>
    <t>F485</t>
  </si>
  <si>
    <t>F486</t>
  </si>
  <si>
    <t>Factura N° 485 Bar Sublime</t>
  </si>
  <si>
    <t>Factura N° 486 Bar Sublime</t>
  </si>
  <si>
    <t>Factura N° 487 Bar Sublime</t>
  </si>
  <si>
    <t>F487</t>
  </si>
  <si>
    <t>PAC CREDITO CUOTA 25 DE 36</t>
  </si>
  <si>
    <t>F29 Ene</t>
  </si>
  <si>
    <t>F75807120</t>
  </si>
  <si>
    <t>Factura N° 488 Bar Sublime</t>
  </si>
  <si>
    <t>F488</t>
  </si>
  <si>
    <t>Rafael Bar Sublime reciclaje 7  BIB</t>
  </si>
  <si>
    <t>Flete equipo Bilbao a Carmencita</t>
  </si>
  <si>
    <t>F75…....</t>
  </si>
  <si>
    <t>Clean Ice 9 , 7 y 2 KG de gas</t>
  </si>
  <si>
    <t>F65010</t>
  </si>
  <si>
    <t>Sabores Ac. Tartarico Enturbiante</t>
  </si>
  <si>
    <t>Olavarria &amp; Rojas 240 lt tinto</t>
  </si>
  <si>
    <t>Andres Riderelli EP 14</t>
  </si>
  <si>
    <t>Factura N° 492 Bar Sublime</t>
  </si>
  <si>
    <t>F492</t>
  </si>
  <si>
    <t>PAC CREDITO CUOTA 26 DE 36</t>
  </si>
  <si>
    <t>Factura N° 490 Bar Sublime</t>
  </si>
  <si>
    <t>F490</t>
  </si>
  <si>
    <t>Boleta N°xxx Remun Var. Gte. Feb 2024</t>
  </si>
  <si>
    <t>Factura N° 493 Bar Sublime</t>
  </si>
  <si>
    <t>F493</t>
  </si>
  <si>
    <t>Factura N° 494 Bar Sublime</t>
  </si>
  <si>
    <t>F494</t>
  </si>
  <si>
    <t>Rafael Bar Sublime reciclaje 11 BIB</t>
  </si>
  <si>
    <t>F75981832</t>
  </si>
  <si>
    <t>F76005348</t>
  </si>
  <si>
    <t>Factura N° 495 Bar Sublime</t>
  </si>
  <si>
    <t>F495</t>
  </si>
  <si>
    <t>SODIMAC Cable puente</t>
  </si>
  <si>
    <t>F130642257</t>
  </si>
  <si>
    <t>Imp. Johanna balanza gramera</t>
  </si>
  <si>
    <t>F7533</t>
  </si>
  <si>
    <t>F76062505</t>
  </si>
  <si>
    <t>Factura N° 496 Bar Sublime</t>
  </si>
  <si>
    <t>F496</t>
  </si>
  <si>
    <t>F29 Mar</t>
  </si>
  <si>
    <t>PAC CREDITO CUOTA 27 DE 36</t>
  </si>
  <si>
    <t>Boleta N°xxx Remun Var. Gte. Mar 2024</t>
  </si>
  <si>
    <t>Boleta N°xxx Remun Var. Gte. Abr 2024</t>
  </si>
  <si>
    <t>F76119849</t>
  </si>
  <si>
    <t>Factura N° 491 Chi Fan</t>
  </si>
  <si>
    <t>F491</t>
  </si>
  <si>
    <t>CH</t>
  </si>
  <si>
    <t>F497</t>
  </si>
  <si>
    <t>Factura N° 497 Chi Fan</t>
  </si>
  <si>
    <t>Factura N° 498 Bar Sublime</t>
  </si>
  <si>
    <t>F498</t>
  </si>
  <si>
    <t>Factura N° 500 Bar Sublime</t>
  </si>
  <si>
    <t>F500</t>
  </si>
  <si>
    <t>F76196118</t>
  </si>
  <si>
    <t>Hernán  Mankewitz E.P. N°10</t>
  </si>
  <si>
    <t>F76159437</t>
  </si>
  <si>
    <t>Factura N° 501 Bar Sublime</t>
  </si>
  <si>
    <t>F501</t>
  </si>
  <si>
    <t>Factura N° 503 Bar Sublime</t>
  </si>
  <si>
    <t>F503</t>
  </si>
  <si>
    <t>Boleta N°xxx Remun Var. Gte. May 2024</t>
  </si>
  <si>
    <t>cuadros Luz</t>
  </si>
  <si>
    <t>Factura N° 504 Bar Sublime</t>
  </si>
  <si>
    <t>F504</t>
  </si>
  <si>
    <t>Andres Riderelli EP N°15</t>
  </si>
  <si>
    <t>Factura N° 505 Bar Sublime</t>
  </si>
  <si>
    <t>F505</t>
  </si>
  <si>
    <t>Clean ice 2x9 1x2 recarga gas</t>
  </si>
  <si>
    <t>F68598</t>
  </si>
  <si>
    <t>Andres Riderelli EP N°16</t>
  </si>
  <si>
    <t>Factura N° 506 Bar Sublime</t>
  </si>
  <si>
    <t>F506</t>
  </si>
  <si>
    <t>Factura N° 507 Bar Sublime</t>
  </si>
  <si>
    <t>F507</t>
  </si>
  <si>
    <t>Factura N° 509 Bar Sublime</t>
  </si>
  <si>
    <t>F509</t>
  </si>
  <si>
    <t>F76312118</t>
  </si>
  <si>
    <t>F76346249</t>
  </si>
  <si>
    <t>PAC CREDITO CUOTA 28 DE 36</t>
  </si>
  <si>
    <t>F29Ago2021</t>
  </si>
  <si>
    <t>Rafael Bar Sublime 20 bolsas reciclaje al 7 de Junio</t>
  </si>
  <si>
    <t>Factura N° 510 Bar Sublime</t>
  </si>
  <si>
    <t>F510</t>
  </si>
  <si>
    <t>F511</t>
  </si>
  <si>
    <t>Factura N° 511 Bar Sublime</t>
  </si>
  <si>
    <t>F76425751</t>
  </si>
  <si>
    <t>F29 May</t>
  </si>
  <si>
    <t>Boleta N°xxx Remun Var. Gte. Jun 2024</t>
  </si>
  <si>
    <t>PAC CREDITO CUOTA 29 DE 36</t>
  </si>
  <si>
    <t>F76521511</t>
  </si>
  <si>
    <t>F512</t>
  </si>
  <si>
    <t>Factura N° 512 Bar Sublime</t>
  </si>
  <si>
    <t>F76544474</t>
  </si>
  <si>
    <t>F76544385</t>
  </si>
  <si>
    <t>Andres Riderelli EP N°17</t>
  </si>
  <si>
    <t>Factura N° 513 Bar Sublime</t>
  </si>
  <si>
    <t>F513</t>
  </si>
  <si>
    <t>Factura N° 516 Bar Sublime</t>
  </si>
  <si>
    <t>F516</t>
  </si>
  <si>
    <t>Factura N° 517 Bar Sublime</t>
  </si>
  <si>
    <t>F517</t>
  </si>
  <si>
    <t>flete Vitacura-I.Maipo-Vitacura</t>
  </si>
  <si>
    <t>F489</t>
  </si>
  <si>
    <t>CPV</t>
  </si>
  <si>
    <t>Factura N° 489 Hac. Gaucha</t>
  </si>
  <si>
    <t>Andres Riderelli EP N°18</t>
  </si>
  <si>
    <t>PAC CREDITO CUOTA 30 DE 36</t>
  </si>
  <si>
    <t>Boleta N°xxx Remun Var. Gte. Jul 2024</t>
  </si>
  <si>
    <t>Boleta N°xxx Remun Var. Gte. Ago 2024</t>
  </si>
  <si>
    <t>Factura N° 518 Bar Sublime</t>
  </si>
  <si>
    <t>F518</t>
  </si>
  <si>
    <t>F520</t>
  </si>
  <si>
    <t>Factura N° 520 Bar Sublime</t>
  </si>
  <si>
    <t>F76583144</t>
  </si>
  <si>
    <t>LIDER VINO BL + FRASCOS MUESTRA</t>
  </si>
  <si>
    <t>F76658074</t>
  </si>
  <si>
    <t>Olavarría y Rojas compra 24 de Julio</t>
  </si>
  <si>
    <t>F76773240</t>
  </si>
  <si>
    <t>CASH</t>
  </si>
  <si>
    <t>SODIMAC Pintura negra+carrete alargador</t>
  </si>
  <si>
    <t>F134680020</t>
  </si>
  <si>
    <t>Worldquery SpA  4x5 lt SauvBlanc reserva</t>
  </si>
  <si>
    <t>F40622</t>
  </si>
  <si>
    <t>Factura N° 521 Marina</t>
  </si>
  <si>
    <t>F521</t>
  </si>
  <si>
    <t>MAR</t>
  </si>
  <si>
    <t>Factura N° 522 Bar Sublime</t>
  </si>
  <si>
    <t>F522</t>
  </si>
  <si>
    <t>Factura N° 524 Marina</t>
  </si>
  <si>
    <t>F29 Jun</t>
  </si>
  <si>
    <t>F29 Jul</t>
  </si>
  <si>
    <t>F29 Ago</t>
  </si>
  <si>
    <t>Rafael Bar Sublime reciclaje 21 bolsas</t>
  </si>
  <si>
    <t>PAC CREDITO CUOTA 31 DE 36</t>
  </si>
  <si>
    <t>F76842840</t>
  </si>
  <si>
    <t>Olavarría y Rojas 200 lt bl</t>
  </si>
  <si>
    <t>F527</t>
  </si>
  <si>
    <t>F528</t>
  </si>
  <si>
    <t>F529</t>
  </si>
  <si>
    <t>F530</t>
  </si>
  <si>
    <t>F524</t>
  </si>
  <si>
    <t>Factura N° 526 Bar Sublime</t>
  </si>
  <si>
    <t>Factura N° 528 Bar Sublime</t>
  </si>
  <si>
    <t>Factura N° 529 Bar Sublime</t>
  </si>
  <si>
    <t>Factura N° 527 Marina</t>
  </si>
  <si>
    <t>Factura N° 530 Marina</t>
  </si>
  <si>
    <t>Andres Riderelli EP N°19</t>
  </si>
  <si>
    <t>Factura N° 531 Bar Sublime</t>
  </si>
  <si>
    <t>F531</t>
  </si>
  <si>
    <t>Factura N° 532 Marina</t>
  </si>
  <si>
    <t>F532</t>
  </si>
  <si>
    <t>F768915345</t>
  </si>
  <si>
    <t>PAC CREDITO CUOTA 32 DE 36</t>
  </si>
  <si>
    <t>Boleta N°xxx Remun Var. Gte. Sep 2024</t>
  </si>
  <si>
    <t>F533</t>
  </si>
  <si>
    <t>F534</t>
  </si>
  <si>
    <t>F535</t>
  </si>
  <si>
    <t>F536</t>
  </si>
  <si>
    <t>Factura N° 533 Bar Sublime</t>
  </si>
  <si>
    <t>Factura N° 534 Bar Sublime</t>
  </si>
  <si>
    <t>Factura N° 535 Bar Sublime</t>
  </si>
  <si>
    <t>Factura N° 536 Marina</t>
  </si>
  <si>
    <t>Factura N° 538 Bar Sublime</t>
  </si>
  <si>
    <t>F538</t>
  </si>
  <si>
    <t>F56727372</t>
  </si>
  <si>
    <t>Factura N° 539 Marina</t>
  </si>
  <si>
    <t>F539</t>
  </si>
  <si>
    <t>Factura N° 540 Bar Sublime</t>
  </si>
  <si>
    <t>F540</t>
  </si>
  <si>
    <t>Sabores&amp;Fragancias insumos</t>
  </si>
  <si>
    <t>F19861</t>
  </si>
  <si>
    <t>PAC CREDITO CUOTA 33 DE 36</t>
  </si>
  <si>
    <t>Boleta N°xxx Remun Var. Gte. Oct 2024</t>
  </si>
  <si>
    <t>Boleta N°xxx Remun Var. Gte. Nov 2024</t>
  </si>
  <si>
    <t>Boleta N°xxx Remun Var. Gte. Sept 2024</t>
  </si>
  <si>
    <t>Factura N° 542 Bar Sublime</t>
  </si>
  <si>
    <t>F542</t>
  </si>
  <si>
    <t>Factura N° 543 Bar Sublime</t>
  </si>
  <si>
    <t>F543</t>
  </si>
  <si>
    <t>Factura N° 544 Bar Sublime</t>
  </si>
  <si>
    <t>F544</t>
  </si>
  <si>
    <t>F56785589</t>
  </si>
  <si>
    <t>F56813875</t>
  </si>
  <si>
    <t>Factura N° 545 Marina</t>
  </si>
  <si>
    <t>F545</t>
  </si>
  <si>
    <t>Clean Ice 9 Kg gas</t>
  </si>
  <si>
    <t>PAC CREDITO CUOTA 34 DE 36</t>
  </si>
  <si>
    <t>Factura N° 546 Bar Sublime</t>
  </si>
  <si>
    <t>F546</t>
  </si>
  <si>
    <t>Factura N° 548 Marina</t>
  </si>
  <si>
    <t>F548</t>
  </si>
  <si>
    <t>Factura N° 549 Bar Sublime</t>
  </si>
  <si>
    <t>F549</t>
  </si>
  <si>
    <t>Rafael Bar Sublime reciclaje 37 bolsas</t>
  </si>
  <si>
    <t>F56861650</t>
  </si>
  <si>
    <t>Factura N° 551 Bar Sublime</t>
  </si>
  <si>
    <t>F551</t>
  </si>
  <si>
    <t>Factura N° 552 Bar Sublime</t>
  </si>
  <si>
    <t>F552</t>
  </si>
  <si>
    <t>F56907603</t>
  </si>
  <si>
    <t>Olavarria y Rojas 200 lt tinto 100 lt bl</t>
  </si>
  <si>
    <t>F56922064</t>
  </si>
  <si>
    <t>F77436977</t>
  </si>
  <si>
    <t>Pablo Diaz A   EP 1</t>
  </si>
  <si>
    <t>F77471895</t>
  </si>
  <si>
    <t>Boleta N°xxx Remun Var. Gte. Dic 2024</t>
  </si>
  <si>
    <t>Boleta N°xxx Remun Var. Gte.Nov 2024</t>
  </si>
  <si>
    <t>F553</t>
  </si>
  <si>
    <t>F554</t>
  </si>
  <si>
    <t>F555</t>
  </si>
  <si>
    <t>F556</t>
  </si>
  <si>
    <t>Factura N° 553 Marina</t>
  </si>
  <si>
    <t>Factura N° 555 Marina</t>
  </si>
  <si>
    <t>F557</t>
  </si>
  <si>
    <t>Factura N° 554 Bar Sublime</t>
  </si>
  <si>
    <t>Factura N° 556 Bar Sublime</t>
  </si>
  <si>
    <t>Factura N° 557 Bar Sublime</t>
  </si>
  <si>
    <t>Factura N° 559 Bar Sublime</t>
  </si>
  <si>
    <t>F559</t>
  </si>
  <si>
    <t>F560</t>
  </si>
  <si>
    <t>Factura N° 560 Marina</t>
  </si>
  <si>
    <t>Factura N° 561 Bar Sublime</t>
  </si>
  <si>
    <t>F561</t>
  </si>
  <si>
    <t>F77492448</t>
  </si>
  <si>
    <t>Pablo Diaz A   EP 2</t>
  </si>
  <si>
    <t>Factura N° 562 Bar Sublime</t>
  </si>
  <si>
    <t>F562</t>
  </si>
  <si>
    <t>F56952052</t>
  </si>
  <si>
    <t>Clean Ice 9+4+2 Kg</t>
  </si>
  <si>
    <t>F78223</t>
  </si>
  <si>
    <t>Rafael Bar Sublime reciclaje 16 bolsas</t>
  </si>
  <si>
    <t>Factura N° 563 Marina</t>
  </si>
  <si>
    <t>Factura N° 564 Marina</t>
  </si>
  <si>
    <t>F563</t>
  </si>
  <si>
    <t>F564</t>
  </si>
  <si>
    <t>Factura N° 565 Bar Sublime</t>
  </si>
  <si>
    <t>F565</t>
  </si>
  <si>
    <t>Factura N° 566 Bar Sublime</t>
  </si>
  <si>
    <t>F566</t>
  </si>
  <si>
    <t>Factura N° 567 Bar Sublime</t>
  </si>
  <si>
    <t>Factura N° 568 Bar Sublime</t>
  </si>
  <si>
    <t>F567</t>
  </si>
  <si>
    <t>F568</t>
  </si>
  <si>
    <t>F57053898</t>
  </si>
  <si>
    <t>F57001188</t>
  </si>
  <si>
    <t>F57053852</t>
  </si>
  <si>
    <t>Boleta N°xxx Remun Var. Gte. Ene 2025</t>
  </si>
  <si>
    <t>F57054821</t>
  </si>
  <si>
    <t>Sabores  insumos</t>
  </si>
  <si>
    <t>B…6499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</si>
</sst>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;[Red]&quot;$&quot;\-#,##0"/>
    <numFmt numFmtId="165" formatCode="_ * #,##0_ ;_ * \-#,##0_ ;_ * &quot;-&quot;_ ;_ @_ "/>
    <numFmt numFmtId="166" formatCode="&quot;$&quot;#,##0"/>
    <numFmt numFmtId="167" formatCode="0.000%"/>
    <numFmt numFmtId="168" formatCode="0.0%"/>
    <numFmt numFmtId="169" formatCode="&quot;$&quot;#,##0.00"/>
    <numFmt numFmtId="170" formatCode="0.0"/>
    <numFmt numFmtId="171" formatCode="&quot;$&quot;#,##0.0;[Red]&quot;$&quot;\-#,##0.0"/>
    <numFmt numFmtId="172" formatCode="&quot;$&quot;#,##0.0"/>
    <numFmt numFmtId="173" formatCode="&quot;$&quot;#,##0.000"/>
    <numFmt numFmtId="174" formatCode="0.000"/>
  </numFmts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  <font>
      <b/>
      <sz val="8"/>
      <color indexed="8"/>
      <name val="Calibri"/>
      <family val="2"/>
    </font>
    <font>
      <b/>
      <sz val="14"/>
      <color indexed="81"/>
      <name val="Tahoma"/>
      <family val="2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1F497D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.5"/>
      <color rgb="FF444444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23">
    <xf numFmtId="0" fontId="0" fillId="0" borderId="0" xfId="0"/>
    <xf numFmtId="15" fontId="0" fillId="0" borderId="0" xfId="0" applyNumberFormat="1"/>
    <xf numFmtId="0" fontId="10" fillId="0" borderId="0" xfId="0" applyFont="1"/>
    <xf numFmtId="166" fontId="0" fillId="0" borderId="0" xfId="0" applyNumberFormat="1"/>
    <xf numFmtId="9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166" fontId="0" fillId="2" borderId="0" xfId="0" applyNumberFormat="1" applyFill="1"/>
    <xf numFmtId="0" fontId="0" fillId="0" borderId="1" xfId="0" applyBorder="1"/>
    <xf numFmtId="16" fontId="0" fillId="0" borderId="1" xfId="0" applyNumberFormat="1" applyBorder="1"/>
    <xf numFmtId="166" fontId="0" fillId="0" borderId="1" xfId="0" applyNumberFormat="1" applyBorder="1"/>
    <xf numFmtId="0" fontId="0" fillId="0" borderId="2" xfId="0" applyBorder="1"/>
    <xf numFmtId="0" fontId="0" fillId="0" borderId="3" xfId="0" applyBorder="1"/>
    <xf numFmtId="15" fontId="0" fillId="0" borderId="3" xfId="0" applyNumberFormat="1" applyBorder="1"/>
    <xf numFmtId="0" fontId="0" fillId="0" borderId="4" xfId="0" applyBorder="1"/>
    <xf numFmtId="166" fontId="0" fillId="0" borderId="5" xfId="0" applyNumberFormat="1" applyBorder="1"/>
    <xf numFmtId="0" fontId="0" fillId="0" borderId="6" xfId="0" applyBorder="1"/>
    <xf numFmtId="0" fontId="0" fillId="0" borderId="7" xfId="0" applyBorder="1"/>
    <xf numFmtId="166" fontId="0" fillId="0" borderId="7" xfId="0" applyNumberFormat="1" applyBorder="1"/>
    <xf numFmtId="166" fontId="0" fillId="0" borderId="8" xfId="0" applyNumberFormat="1" applyBorder="1"/>
    <xf numFmtId="166" fontId="0" fillId="3" borderId="1" xfId="0" applyNumberFormat="1" applyFill="1" applyBorder="1"/>
    <xf numFmtId="0" fontId="0" fillId="2" borderId="0" xfId="0" applyFill="1"/>
    <xf numFmtId="166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66" fontId="0" fillId="0" borderId="5" xfId="0" applyNumberFormat="1" applyBorder="1" applyAlignment="1">
      <alignment horizontal="right"/>
    </xf>
    <xf numFmtId="166" fontId="0" fillId="0" borderId="4" xfId="0" applyNumberFormat="1" applyBorder="1"/>
    <xf numFmtId="9" fontId="8" fillId="0" borderId="5" xfId="2" applyFont="1" applyBorder="1" applyAlignment="1">
      <alignment horizontal="right"/>
    </xf>
    <xf numFmtId="0" fontId="0" fillId="0" borderId="7" xfId="0" applyBorder="1" applyAlignment="1">
      <alignment horizontal="left"/>
    </xf>
    <xf numFmtId="166" fontId="0" fillId="0" borderId="8" xfId="0" applyNumberForma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left"/>
    </xf>
    <xf numFmtId="16" fontId="0" fillId="0" borderId="10" xfId="0" applyNumberFormat="1" applyBorder="1"/>
    <xf numFmtId="166" fontId="0" fillId="0" borderId="10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/>
    </xf>
    <xf numFmtId="16" fontId="0" fillId="0" borderId="15" xfId="0" applyNumberFormat="1" applyBorder="1"/>
    <xf numFmtId="166" fontId="0" fillId="0" borderId="15" xfId="0" applyNumberFormat="1" applyBorder="1"/>
    <xf numFmtId="0" fontId="0" fillId="0" borderId="16" xfId="0" applyBorder="1" applyAlignment="1">
      <alignment horizontal="center"/>
    </xf>
    <xf numFmtId="0" fontId="0" fillId="2" borderId="1" xfId="0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0" borderId="1" xfId="0" applyBorder="1" applyAlignment="1">
      <alignment horizontal="center"/>
    </xf>
    <xf numFmtId="166" fontId="0" fillId="2" borderId="1" xfId="0" applyNumberFormat="1" applyFill="1" applyBorder="1"/>
    <xf numFmtId="166" fontId="0" fillId="0" borderId="17" xfId="0" applyNumberFormat="1" applyBorder="1"/>
    <xf numFmtId="0" fontId="11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3" borderId="0" xfId="0" applyFill="1"/>
    <xf numFmtId="1" fontId="0" fillId="0" borderId="0" xfId="0" applyNumberFormat="1"/>
    <xf numFmtId="0" fontId="0" fillId="3" borderId="1" xfId="0" applyFill="1" applyBorder="1"/>
    <xf numFmtId="0" fontId="0" fillId="0" borderId="10" xfId="0" applyBorder="1"/>
    <xf numFmtId="16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166" fontId="10" fillId="0" borderId="1" xfId="0" applyNumberFormat="1" applyFont="1" applyBorder="1"/>
    <xf numFmtId="164" fontId="0" fillId="0" borderId="0" xfId="0" applyNumberFormat="1"/>
    <xf numFmtId="166" fontId="0" fillId="4" borderId="0" xfId="0" applyNumberFormat="1" applyFill="1"/>
    <xf numFmtId="166" fontId="10" fillId="0" borderId="0" xfId="0" applyNumberFormat="1" applyFont="1"/>
    <xf numFmtId="15" fontId="0" fillId="2" borderId="0" xfId="0" applyNumberFormat="1" applyFill="1"/>
    <xf numFmtId="166" fontId="0" fillId="0" borderId="13" xfId="0" applyNumberFormat="1" applyBorder="1"/>
    <xf numFmtId="0" fontId="10" fillId="0" borderId="12" xfId="0" applyFont="1" applyBorder="1"/>
    <xf numFmtId="0" fontId="0" fillId="0" borderId="15" xfId="0" applyBorder="1"/>
    <xf numFmtId="166" fontId="0" fillId="0" borderId="12" xfId="0" applyNumberFormat="1" applyBorder="1"/>
    <xf numFmtId="166" fontId="10" fillId="0" borderId="12" xfId="0" applyNumberFormat="1" applyFont="1" applyBorder="1"/>
    <xf numFmtId="166" fontId="0" fillId="0" borderId="14" xfId="0" applyNumberFormat="1" applyBorder="1"/>
    <xf numFmtId="0" fontId="0" fillId="0" borderId="18" xfId="0" applyBorder="1" applyAlignment="1">
      <alignment horizontal="center"/>
    </xf>
    <xf numFmtId="166" fontId="0" fillId="0" borderId="9" xfId="0" applyNumberFormat="1" applyBorder="1"/>
    <xf numFmtId="166" fontId="10" fillId="0" borderId="14" xfId="0" applyNumberFormat="1" applyFont="1" applyBorder="1"/>
    <xf numFmtId="0" fontId="0" fillId="0" borderId="11" xfId="0" applyBorder="1"/>
    <xf numFmtId="0" fontId="0" fillId="0" borderId="13" xfId="0" applyBorder="1"/>
    <xf numFmtId="0" fontId="10" fillId="0" borderId="13" xfId="0" applyFont="1" applyBorder="1"/>
    <xf numFmtId="0" fontId="10" fillId="0" borderId="14" xfId="0" applyFont="1" applyBorder="1"/>
    <xf numFmtId="0" fontId="10" fillId="0" borderId="16" xfId="0" applyFont="1" applyBorder="1"/>
    <xf numFmtId="0" fontId="0" fillId="0" borderId="18" xfId="0" applyBorder="1"/>
    <xf numFmtId="0" fontId="0" fillId="0" borderId="19" xfId="0" applyBorder="1"/>
    <xf numFmtId="166" fontId="10" fillId="0" borderId="20" xfId="0" applyNumberFormat="1" applyFont="1" applyBorder="1"/>
    <xf numFmtId="0" fontId="0" fillId="0" borderId="20" xfId="0" applyBorder="1" applyAlignment="1">
      <alignment horizontal="center"/>
    </xf>
    <xf numFmtId="166" fontId="0" fillId="0" borderId="21" xfId="0" applyNumberFormat="1" applyBorder="1"/>
    <xf numFmtId="166" fontId="0" fillId="0" borderId="22" xfId="0" applyNumberFormat="1" applyBorder="1"/>
    <xf numFmtId="166" fontId="0" fillId="0" borderId="23" xfId="0" applyNumberFormat="1" applyBorder="1"/>
    <xf numFmtId="166" fontId="10" fillId="0" borderId="13" xfId="0" applyNumberFormat="1" applyFont="1" applyBorder="1"/>
    <xf numFmtId="0" fontId="0" fillId="0" borderId="12" xfId="0" applyBorder="1" applyAlignment="1">
      <alignment horizontal="right"/>
    </xf>
    <xf numFmtId="0" fontId="10" fillId="0" borderId="14" xfId="0" applyFont="1" applyBorder="1" applyAlignment="1">
      <alignment horizontal="left"/>
    </xf>
    <xf numFmtId="0" fontId="10" fillId="0" borderId="15" xfId="0" applyFont="1" applyBorder="1"/>
    <xf numFmtId="166" fontId="10" fillId="0" borderId="16" xfId="0" applyNumberFormat="1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3" fillId="0" borderId="0" xfId="0" applyFont="1"/>
    <xf numFmtId="9" fontId="8" fillId="0" borderId="0" xfId="2" applyFont="1"/>
    <xf numFmtId="166" fontId="13" fillId="0" borderId="0" xfId="1" applyNumberFormat="1" applyFont="1" applyFill="1" applyBorder="1" applyAlignment="1">
      <alignment horizontal="right"/>
    </xf>
    <xf numFmtId="166" fontId="10" fillId="4" borderId="0" xfId="0" applyNumberFormat="1" applyFont="1" applyFill="1"/>
    <xf numFmtId="166" fontId="0" fillId="3" borderId="0" xfId="0" applyNumberFormat="1" applyFill="1"/>
    <xf numFmtId="0" fontId="0" fillId="6" borderId="0" xfId="0" applyFill="1"/>
    <xf numFmtId="167" fontId="8" fillId="0" borderId="0" xfId="2" applyNumberFormat="1" applyFont="1"/>
    <xf numFmtId="0" fontId="0" fillId="0" borderId="21" xfId="0" applyBorder="1" applyAlignment="1">
      <alignment horizontal="center"/>
    </xf>
    <xf numFmtId="0" fontId="10" fillId="0" borderId="18" xfId="0" applyFont="1" applyBorder="1"/>
    <xf numFmtId="0" fontId="10" fillId="0" borderId="24" xfId="0" applyFont="1" applyBorder="1"/>
    <xf numFmtId="166" fontId="10" fillId="0" borderId="18" xfId="0" applyNumberFormat="1" applyFont="1" applyBorder="1"/>
    <xf numFmtId="15" fontId="0" fillId="4" borderId="0" xfId="0" applyNumberFormat="1" applyFill="1"/>
    <xf numFmtId="0" fontId="0" fillId="4" borderId="1" xfId="0" applyFill="1" applyBorder="1" applyAlignment="1">
      <alignment horizontal="lef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166" fontId="0" fillId="0" borderId="16" xfId="0" applyNumberFormat="1" applyBorder="1"/>
    <xf numFmtId="0" fontId="0" fillId="0" borderId="12" xfId="0" applyBorder="1" applyAlignment="1">
      <alignment horizontal="left"/>
    </xf>
    <xf numFmtId="0" fontId="0" fillId="6" borderId="1" xfId="0" applyFill="1" applyBorder="1"/>
    <xf numFmtId="16" fontId="0" fillId="6" borderId="1" xfId="0" applyNumberFormat="1" applyFill="1" applyBorder="1"/>
    <xf numFmtId="166" fontId="0" fillId="6" borderId="1" xfId="0" applyNumberFormat="1" applyFill="1" applyBorder="1"/>
    <xf numFmtId="16" fontId="0" fillId="0" borderId="3" xfId="0" applyNumberFormat="1" applyBorder="1"/>
    <xf numFmtId="0" fontId="0" fillId="6" borderId="4" xfId="0" applyFill="1" applyBorder="1"/>
    <xf numFmtId="0" fontId="0" fillId="4" borderId="4" xfId="0" applyFill="1" applyBorder="1"/>
    <xf numFmtId="9" fontId="0" fillId="4" borderId="4" xfId="0" applyNumberFormat="1" applyFill="1" applyBorder="1"/>
    <xf numFmtId="0" fontId="0" fillId="4" borderId="6" xfId="0" applyFill="1" applyBorder="1"/>
    <xf numFmtId="0" fontId="0" fillId="3" borderId="4" xfId="0" applyFill="1" applyBorder="1"/>
    <xf numFmtId="16" fontId="0" fillId="3" borderId="1" xfId="0" applyNumberFormat="1" applyFill="1" applyBorder="1"/>
    <xf numFmtId="16" fontId="0" fillId="4" borderId="1" xfId="0" applyNumberFormat="1" applyFill="1" applyBorder="1"/>
    <xf numFmtId="0" fontId="0" fillId="7" borderId="4" xfId="0" applyFill="1" applyBorder="1"/>
    <xf numFmtId="0" fontId="0" fillId="0" borderId="28" xfId="0" applyBorder="1"/>
    <xf numFmtId="0" fontId="0" fillId="0" borderId="29" xfId="0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0" fontId="0" fillId="0" borderId="30" xfId="0" applyBorder="1"/>
    <xf numFmtId="0" fontId="10" fillId="0" borderId="20" xfId="0" applyFont="1" applyBorder="1"/>
    <xf numFmtId="0" fontId="0" fillId="4" borderId="1" xfId="0" applyFill="1" applyBorder="1"/>
    <xf numFmtId="0" fontId="0" fillId="4" borderId="7" xfId="0" applyFill="1" applyBorder="1"/>
    <xf numFmtId="0" fontId="0" fillId="0" borderId="31" xfId="0" applyBorder="1"/>
    <xf numFmtId="166" fontId="0" fillId="0" borderId="32" xfId="0" applyNumberFormat="1" applyBorder="1" applyAlignment="1">
      <alignment horizontal="center"/>
    </xf>
    <xf numFmtId="0" fontId="10" fillId="0" borderId="4" xfId="0" applyFont="1" applyBorder="1"/>
    <xf numFmtId="0" fontId="10" fillId="0" borderId="6" xfId="0" applyFont="1" applyBorder="1"/>
    <xf numFmtId="16" fontId="0" fillId="0" borderId="33" xfId="0" applyNumberFormat="1" applyBorder="1" applyAlignment="1">
      <alignment horizontal="center"/>
    </xf>
    <xf numFmtId="0" fontId="10" fillId="0" borderId="1" xfId="0" applyFont="1" applyBorder="1"/>
    <xf numFmtId="0" fontId="10" fillId="0" borderId="26" xfId="0" applyFont="1" applyBorder="1"/>
    <xf numFmtId="0" fontId="0" fillId="0" borderId="17" xfId="0" applyBorder="1"/>
    <xf numFmtId="0" fontId="0" fillId="0" borderId="5" xfId="0" applyBorder="1"/>
    <xf numFmtId="0" fontId="0" fillId="0" borderId="8" xfId="0" applyBorder="1"/>
    <xf numFmtId="0" fontId="10" fillId="0" borderId="34" xfId="0" applyFont="1" applyBorder="1"/>
    <xf numFmtId="0" fontId="10" fillId="0" borderId="35" xfId="0" applyFont="1" applyBorder="1"/>
    <xf numFmtId="0" fontId="0" fillId="0" borderId="36" xfId="0" applyBorder="1"/>
    <xf numFmtId="0" fontId="0" fillId="0" borderId="0" xfId="0" applyAlignment="1">
      <alignment horizontal="center" vertical="center"/>
    </xf>
    <xf numFmtId="16" fontId="0" fillId="4" borderId="37" xfId="0" applyNumberFormat="1" applyFill="1" applyBorder="1"/>
    <xf numFmtId="166" fontId="0" fillId="0" borderId="37" xfId="0" applyNumberFormat="1" applyBorder="1"/>
    <xf numFmtId="16" fontId="0" fillId="0" borderId="34" xfId="0" applyNumberFormat="1" applyBorder="1" applyAlignment="1">
      <alignment horizontal="center" vertical="center" wrapText="1"/>
    </xf>
    <xf numFmtId="166" fontId="10" fillId="0" borderId="36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6" fontId="10" fillId="0" borderId="17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66" fontId="10" fillId="0" borderId="24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3" borderId="1" xfId="0" applyNumberFormat="1" applyFill="1" applyBorder="1" applyAlignment="1">
      <alignment horizontal="center"/>
    </xf>
    <xf numFmtId="14" fontId="0" fillId="0" borderId="0" xfId="0" applyNumberFormat="1"/>
    <xf numFmtId="9" fontId="0" fillId="4" borderId="0" xfId="0" applyNumberFormat="1" applyFill="1"/>
    <xf numFmtId="168" fontId="8" fillId="0" borderId="0" xfId="2" applyNumberFormat="1" applyFont="1"/>
    <xf numFmtId="16" fontId="0" fillId="0" borderId="0" xfId="0" applyNumberFormat="1" applyAlignment="1">
      <alignment horizontal="left"/>
    </xf>
    <xf numFmtId="165" fontId="0" fillId="0" borderId="0" xfId="0" applyNumberFormat="1"/>
    <xf numFmtId="0" fontId="14" fillId="0" borderId="0" xfId="0" applyFont="1"/>
    <xf numFmtId="16" fontId="14" fillId="0" borderId="0" xfId="0" applyNumberFormat="1" applyFont="1"/>
    <xf numFmtId="166" fontId="14" fillId="0" borderId="0" xfId="0" applyNumberFormat="1" applyFont="1"/>
    <xf numFmtId="0" fontId="10" fillId="0" borderId="0" xfId="0" applyFont="1" applyAlignment="1">
      <alignment horizontal="center"/>
    </xf>
    <xf numFmtId="16" fontId="10" fillId="4" borderId="0" xfId="0" applyNumberFormat="1" applyFont="1" applyFill="1" applyAlignment="1">
      <alignment horizontal="right"/>
    </xf>
    <xf numFmtId="0" fontId="10" fillId="0" borderId="18" xfId="0" applyFont="1" applyBorder="1" applyAlignment="1">
      <alignment horizontal="center"/>
    </xf>
    <xf numFmtId="17" fontId="0" fillId="0" borderId="0" xfId="0" applyNumberFormat="1"/>
    <xf numFmtId="15" fontId="0" fillId="0" borderId="38" xfId="0" applyNumberFormat="1" applyBorder="1"/>
    <xf numFmtId="15" fontId="0" fillId="0" borderId="39" xfId="0" applyNumberFormat="1" applyBorder="1"/>
    <xf numFmtId="166" fontId="0" fillId="0" borderId="40" xfId="0" applyNumberFormat="1" applyBorder="1"/>
    <xf numFmtId="166" fontId="0" fillId="0" borderId="41" xfId="0" applyNumberFormat="1" applyBorder="1"/>
    <xf numFmtId="166" fontId="0" fillId="0" borderId="30" xfId="0" applyNumberFormat="1" applyBorder="1"/>
    <xf numFmtId="166" fontId="0" fillId="0" borderId="29" xfId="0" applyNumberFormat="1" applyBorder="1"/>
    <xf numFmtId="166" fontId="0" fillId="0" borderId="32" xfId="0" applyNumberFormat="1" applyBorder="1"/>
    <xf numFmtId="166" fontId="0" fillId="0" borderId="42" xfId="0" applyNumberFormat="1" applyBorder="1"/>
    <xf numFmtId="166" fontId="10" fillId="0" borderId="24" xfId="0" applyNumberFormat="1" applyFont="1" applyBorder="1"/>
    <xf numFmtId="0" fontId="10" fillId="0" borderId="2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right"/>
    </xf>
    <xf numFmtId="166" fontId="0" fillId="4" borderId="1" xfId="0" applyNumberFormat="1" applyFill="1" applyBorder="1"/>
    <xf numFmtId="9" fontId="0" fillId="0" borderId="26" xfId="0" applyNumberFormat="1" applyBorder="1"/>
    <xf numFmtId="0" fontId="0" fillId="0" borderId="26" xfId="0" applyBorder="1" applyAlignment="1">
      <alignment horizontal="left"/>
    </xf>
    <xf numFmtId="16" fontId="0" fillId="0" borderId="26" xfId="0" applyNumberFormat="1" applyBorder="1" applyAlignment="1">
      <alignment horizontal="right"/>
    </xf>
    <xf numFmtId="166" fontId="0" fillId="0" borderId="26" xfId="0" applyNumberFormat="1" applyBorder="1"/>
    <xf numFmtId="9" fontId="0" fillId="0" borderId="2" xfId="0" applyNumberFormat="1" applyBorder="1"/>
    <xf numFmtId="166" fontId="0" fillId="0" borderId="3" xfId="0" applyNumberFormat="1" applyBorder="1"/>
    <xf numFmtId="9" fontId="0" fillId="0" borderId="4" xfId="0" applyNumberFormat="1" applyBorder="1"/>
    <xf numFmtId="9" fontId="0" fillId="0" borderId="6" xfId="0" applyNumberFormat="1" applyBorder="1"/>
    <xf numFmtId="16" fontId="0" fillId="0" borderId="7" xfId="0" applyNumberFormat="1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14" fontId="0" fillId="0" borderId="43" xfId="0" applyNumberFormat="1" applyBorder="1"/>
    <xf numFmtId="14" fontId="0" fillId="0" borderId="1" xfId="0" applyNumberFormat="1" applyBorder="1"/>
    <xf numFmtId="0" fontId="0" fillId="2" borderId="1" xfId="0" applyFill="1" applyBorder="1"/>
    <xf numFmtId="14" fontId="0" fillId="0" borderId="7" xfId="0" applyNumberFormat="1" applyBorder="1"/>
    <xf numFmtId="166" fontId="10" fillId="0" borderId="8" xfId="0" applyNumberFormat="1" applyFont="1" applyBorder="1"/>
    <xf numFmtId="14" fontId="0" fillId="0" borderId="26" xfId="0" applyNumberFormat="1" applyBorder="1"/>
    <xf numFmtId="166" fontId="0" fillId="0" borderId="27" xfId="0" applyNumberFormat="1" applyBorder="1"/>
    <xf numFmtId="0" fontId="0" fillId="0" borderId="44" xfId="0" applyBorder="1"/>
    <xf numFmtId="0" fontId="0" fillId="0" borderId="45" xfId="0" applyBorder="1"/>
    <xf numFmtId="0" fontId="0" fillId="0" borderId="35" xfId="0" applyBorder="1"/>
    <xf numFmtId="0" fontId="0" fillId="0" borderId="46" xfId="0" applyBorder="1"/>
    <xf numFmtId="0" fontId="0" fillId="0" borderId="34" xfId="0" applyBorder="1"/>
    <xf numFmtId="0" fontId="0" fillId="0" borderId="33" xfId="0" applyBorder="1"/>
    <xf numFmtId="0" fontId="0" fillId="0" borderId="49" xfId="0" applyBorder="1"/>
    <xf numFmtId="0" fontId="0" fillId="0" borderId="29" xfId="0" applyBorder="1"/>
    <xf numFmtId="0" fontId="0" fillId="4" borderId="36" xfId="0" applyFill="1" applyBorder="1"/>
    <xf numFmtId="166" fontId="0" fillId="0" borderId="47" xfId="0" applyNumberFormat="1" applyBorder="1"/>
    <xf numFmtId="166" fontId="0" fillId="0" borderId="44" xfId="0" applyNumberFormat="1" applyBorder="1"/>
    <xf numFmtId="166" fontId="0" fillId="0" borderId="45" xfId="0" applyNumberFormat="1" applyBorder="1"/>
    <xf numFmtId="166" fontId="0" fillId="0" borderId="48" xfId="0" applyNumberFormat="1" applyBorder="1"/>
    <xf numFmtId="0" fontId="0" fillId="0" borderId="49" xfId="0" applyBorder="1" applyAlignment="1">
      <alignment horizontal="center"/>
    </xf>
    <xf numFmtId="0" fontId="0" fillId="0" borderId="50" xfId="0" applyBorder="1"/>
    <xf numFmtId="166" fontId="0" fillId="0" borderId="51" xfId="0" applyNumberFormat="1" applyBorder="1"/>
    <xf numFmtId="166" fontId="0" fillId="0" borderId="52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10" fillId="0" borderId="11" xfId="0" applyNumberFormat="1" applyFont="1" applyBorder="1"/>
    <xf numFmtId="166" fontId="0" fillId="0" borderId="20" xfId="0" applyNumberFormat="1" applyBorder="1"/>
    <xf numFmtId="0" fontId="0" fillId="0" borderId="14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10" fillId="0" borderId="2" xfId="0" applyFont="1" applyBorder="1" applyAlignment="1">
      <alignment horizontal="center"/>
    </xf>
    <xf numFmtId="169" fontId="0" fillId="0" borderId="0" xfId="0" applyNumberFormat="1"/>
    <xf numFmtId="165" fontId="8" fillId="0" borderId="0" xfId="1" applyFont="1"/>
    <xf numFmtId="165" fontId="8" fillId="0" borderId="0" xfId="1" applyFont="1" applyFill="1"/>
    <xf numFmtId="0" fontId="0" fillId="0" borderId="16" xfId="0" applyBorder="1"/>
    <xf numFmtId="0" fontId="0" fillId="0" borderId="22" xfId="0" applyBorder="1"/>
    <xf numFmtId="14" fontId="10" fillId="0" borderId="20" xfId="0" applyNumberFormat="1" applyFont="1" applyBorder="1"/>
    <xf numFmtId="14" fontId="10" fillId="0" borderId="23" xfId="0" applyNumberFormat="1" applyFont="1" applyBorder="1"/>
    <xf numFmtId="0" fontId="10" fillId="0" borderId="9" xfId="0" applyFont="1" applyBorder="1"/>
    <xf numFmtId="164" fontId="0" fillId="0" borderId="3" xfId="0" applyNumberFormat="1" applyBorder="1"/>
    <xf numFmtId="166" fontId="10" fillId="0" borderId="17" xfId="0" applyNumberFormat="1" applyFont="1" applyBorder="1"/>
    <xf numFmtId="9" fontId="8" fillId="0" borderId="5" xfId="2" applyFont="1" applyBorder="1"/>
    <xf numFmtId="168" fontId="0" fillId="0" borderId="5" xfId="0" applyNumberFormat="1" applyBorder="1"/>
    <xf numFmtId="164" fontId="0" fillId="0" borderId="37" xfId="0" applyNumberFormat="1" applyBorder="1"/>
    <xf numFmtId="166" fontId="10" fillId="0" borderId="47" xfId="0" applyNumberFormat="1" applyFont="1" applyBorder="1"/>
    <xf numFmtId="0" fontId="0" fillId="0" borderId="53" xfId="0" applyBorder="1"/>
    <xf numFmtId="9" fontId="8" fillId="0" borderId="54" xfId="2" applyFont="1" applyBorder="1"/>
    <xf numFmtId="168" fontId="8" fillId="0" borderId="17" xfId="2" applyNumberFormat="1" applyFont="1" applyBorder="1"/>
    <xf numFmtId="168" fontId="0" fillId="0" borderId="8" xfId="0" applyNumberFormat="1" applyBorder="1"/>
    <xf numFmtId="0" fontId="0" fillId="0" borderId="55" xfId="0" applyBorder="1"/>
    <xf numFmtId="0" fontId="0" fillId="0" borderId="39" xfId="0" applyBorder="1"/>
    <xf numFmtId="0" fontId="0" fillId="0" borderId="56" xfId="0" applyBorder="1"/>
    <xf numFmtId="166" fontId="0" fillId="0" borderId="49" xfId="0" applyNumberFormat="1" applyBorder="1"/>
    <xf numFmtId="166" fontId="0" fillId="0" borderId="50" xfId="0" applyNumberFormat="1" applyBorder="1"/>
    <xf numFmtId="168" fontId="8" fillId="0" borderId="57" xfId="2" applyNumberFormat="1" applyFont="1" applyBorder="1"/>
    <xf numFmtId="168" fontId="8" fillId="0" borderId="58" xfId="2" applyNumberFormat="1" applyFont="1" applyBorder="1"/>
    <xf numFmtId="168" fontId="8" fillId="0" borderId="59" xfId="2" applyNumberFormat="1" applyFont="1" applyBorder="1"/>
    <xf numFmtId="9" fontId="8" fillId="0" borderId="60" xfId="2" applyFont="1" applyBorder="1"/>
    <xf numFmtId="0" fontId="10" fillId="0" borderId="10" xfId="0" applyFont="1" applyBorder="1"/>
    <xf numFmtId="166" fontId="8" fillId="0" borderId="0" xfId="1" applyNumberFormat="1" applyFont="1"/>
    <xf numFmtId="0" fontId="0" fillId="0" borderId="32" xfId="0" applyBorder="1"/>
    <xf numFmtId="0" fontId="0" fillId="0" borderId="49" xfId="0" applyBorder="1" applyAlignment="1">
      <alignment horizontal="right"/>
    </xf>
    <xf numFmtId="0" fontId="0" fillId="0" borderId="50" xfId="0" applyBorder="1" applyAlignment="1">
      <alignment horizontal="right"/>
    </xf>
    <xf numFmtId="166" fontId="0" fillId="0" borderId="52" xfId="0" applyNumberFormat="1" applyBorder="1"/>
    <xf numFmtId="0" fontId="0" fillId="0" borderId="20" xfId="0" applyBorder="1" applyAlignment="1">
      <alignment horizontal="right"/>
    </xf>
    <xf numFmtId="166" fontId="0" fillId="0" borderId="19" xfId="0" applyNumberFormat="1" applyBorder="1"/>
    <xf numFmtId="166" fontId="9" fillId="0" borderId="24" xfId="0" applyNumberFormat="1" applyFont="1" applyBorder="1"/>
    <xf numFmtId="170" fontId="0" fillId="0" borderId="0" xfId="0" applyNumberFormat="1"/>
    <xf numFmtId="166" fontId="0" fillId="8" borderId="0" xfId="0" applyNumberFormat="1" applyFill="1"/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6" fontId="10" fillId="0" borderId="5" xfId="0" applyNumberFormat="1" applyFont="1" applyBorder="1"/>
    <xf numFmtId="166" fontId="0" fillId="0" borderId="7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9" fontId="8" fillId="0" borderId="5" xfId="2" applyFont="1" applyBorder="1" applyAlignment="1">
      <alignment horizontal="center"/>
    </xf>
    <xf numFmtId="171" fontId="0" fillId="0" borderId="7" xfId="0" applyNumberFormat="1" applyBorder="1" applyAlignment="1">
      <alignment horizontal="center"/>
    </xf>
    <xf numFmtId="9" fontId="8" fillId="0" borderId="8" xfId="2" applyFont="1" applyBorder="1" applyAlignment="1">
      <alignment horizontal="center"/>
    </xf>
    <xf numFmtId="0" fontId="0" fillId="0" borderId="44" xfId="0" applyBorder="1" applyAlignment="1">
      <alignment horizontal="center" vertical="center" wrapText="1"/>
    </xf>
    <xf numFmtId="0" fontId="10" fillId="0" borderId="49" xfId="0" applyFont="1" applyBorder="1" applyAlignment="1">
      <alignment vertical="center"/>
    </xf>
    <xf numFmtId="166" fontId="0" fillId="0" borderId="15" xfId="0" applyNumberFormat="1" applyBorder="1" applyAlignment="1">
      <alignment horizontal="center"/>
    </xf>
    <xf numFmtId="10" fontId="8" fillId="0" borderId="0" xfId="2" applyNumberFormat="1" applyFont="1"/>
    <xf numFmtId="0" fontId="15" fillId="0" borderId="0" xfId="0" applyFont="1"/>
    <xf numFmtId="172" fontId="0" fillId="0" borderId="0" xfId="0" applyNumberFormat="1"/>
    <xf numFmtId="166" fontId="0" fillId="6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horizontal="left"/>
    </xf>
    <xf numFmtId="16" fontId="0" fillId="2" borderId="0" xfId="0" applyNumberFormat="1" applyFill="1" applyAlignment="1">
      <alignment horizontal="right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64" xfId="0" applyBorder="1" applyAlignment="1">
      <alignment vertical="top" wrapText="1"/>
    </xf>
    <xf numFmtId="0" fontId="0" fillId="0" borderId="63" xfId="0" applyBorder="1" applyAlignment="1">
      <alignment vertical="top" wrapText="1"/>
    </xf>
    <xf numFmtId="0" fontId="0" fillId="0" borderId="67" xfId="0" applyBorder="1" applyAlignment="1">
      <alignment vertical="top" wrapText="1"/>
    </xf>
    <xf numFmtId="0" fontId="0" fillId="0" borderId="66" xfId="0" applyBorder="1" applyAlignment="1">
      <alignment vertical="top" wrapText="1"/>
    </xf>
    <xf numFmtId="0" fontId="0" fillId="0" borderId="61" xfId="0" applyBorder="1" applyAlignment="1">
      <alignment vertical="top" wrapText="1"/>
    </xf>
    <xf numFmtId="0" fontId="0" fillId="0" borderId="69" xfId="0" applyBorder="1" applyAlignment="1">
      <alignment vertical="top" wrapText="1"/>
    </xf>
    <xf numFmtId="0" fontId="0" fillId="0" borderId="70" xfId="0" applyBorder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63" xfId="0" applyBorder="1" applyAlignment="1">
      <alignment horizontal="center" vertical="top" wrapText="1"/>
    </xf>
    <xf numFmtId="0" fontId="0" fillId="0" borderId="65" xfId="0" applyBorder="1" applyAlignment="1">
      <alignment horizontal="center" vertical="top" wrapText="1"/>
    </xf>
    <xf numFmtId="0" fontId="0" fillId="0" borderId="66" xfId="0" applyBorder="1" applyAlignment="1">
      <alignment horizontal="center" vertical="top" wrapText="1"/>
    </xf>
    <xf numFmtId="0" fontId="16" fillId="0" borderId="66" xfId="3" quotePrefix="1" applyNumberFormat="1" applyBorder="1" applyAlignment="1">
      <alignment horizontal="center" vertical="top" wrapText="1"/>
    </xf>
    <xf numFmtId="0" fontId="0" fillId="0" borderId="68" xfId="0" applyBorder="1" applyAlignment="1">
      <alignment horizontal="center" vertical="top" wrapText="1"/>
    </xf>
    <xf numFmtId="0" fontId="16" fillId="0" borderId="0" xfId="3" quotePrefix="1" applyNumberFormat="1" applyAlignment="1">
      <alignment horizontal="center" vertical="top" wrapText="1"/>
    </xf>
    <xf numFmtId="0" fontId="0" fillId="0" borderId="62" xfId="0" applyBorder="1" applyAlignment="1">
      <alignment horizontal="center" vertical="top" wrapText="1"/>
    </xf>
    <xf numFmtId="0" fontId="0" fillId="0" borderId="70" xfId="0" applyBorder="1" applyAlignment="1">
      <alignment horizontal="center" vertical="top" wrapText="1"/>
    </xf>
    <xf numFmtId="0" fontId="0" fillId="0" borderId="71" xfId="0" applyBorder="1" applyAlignment="1">
      <alignment horizontal="center" vertical="top" wrapText="1"/>
    </xf>
    <xf numFmtId="166" fontId="0" fillId="0" borderId="11" xfId="0" applyNumberFormat="1" applyBorder="1"/>
    <xf numFmtId="166" fontId="10" fillId="0" borderId="3" xfId="0" applyNumberFormat="1" applyFont="1" applyBorder="1" applyAlignment="1">
      <alignment horizontal="center" vertical="center" wrapText="1"/>
    </xf>
    <xf numFmtId="166" fontId="10" fillId="0" borderId="17" xfId="0" applyNumberFormat="1" applyFont="1" applyBorder="1" applyAlignment="1">
      <alignment horizontal="center" vertical="center" wrapText="1"/>
    </xf>
    <xf numFmtId="166" fontId="0" fillId="0" borderId="4" xfId="0" applyNumberFormat="1" applyBorder="1" applyAlignment="1">
      <alignment horizontal="left" vertical="center"/>
    </xf>
    <xf numFmtId="166" fontId="0" fillId="0" borderId="4" xfId="0" applyNumberFormat="1" applyBorder="1" applyAlignment="1">
      <alignment horizontal="left" vertical="center" wrapText="1"/>
    </xf>
    <xf numFmtId="166" fontId="0" fillId="0" borderId="6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9" fontId="0" fillId="0" borderId="0" xfId="2" applyFont="1"/>
    <xf numFmtId="166" fontId="10" fillId="0" borderId="0" xfId="0" applyNumberFormat="1" applyFont="1" applyAlignment="1">
      <alignment horizontal="center"/>
    </xf>
    <xf numFmtId="0" fontId="17" fillId="0" borderId="0" xfId="0" applyFont="1"/>
    <xf numFmtId="165" fontId="8" fillId="0" borderId="0" xfId="1" applyFont="1" applyAlignment="1">
      <alignment horizontal="center"/>
    </xf>
    <xf numFmtId="9" fontId="0" fillId="0" borderId="5" xfId="2" applyFont="1" applyBorder="1"/>
    <xf numFmtId="9" fontId="0" fillId="0" borderId="0" xfId="2" applyFont="1" applyFill="1"/>
    <xf numFmtId="1" fontId="0" fillId="0" borderId="0" xfId="0" applyNumberFormat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166" fontId="0" fillId="0" borderId="72" xfId="0" applyNumberFormat="1" applyBorder="1"/>
    <xf numFmtId="166" fontId="0" fillId="0" borderId="73" xfId="0" applyNumberFormat="1" applyBorder="1"/>
    <xf numFmtId="1" fontId="0" fillId="3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9" fontId="0" fillId="2" borderId="0" xfId="0" applyNumberFormat="1" applyFill="1"/>
    <xf numFmtId="0" fontId="19" fillId="0" borderId="0" xfId="0" applyFont="1"/>
    <xf numFmtId="173" fontId="0" fillId="0" borderId="0" xfId="0" applyNumberFormat="1"/>
    <xf numFmtId="166" fontId="0" fillId="0" borderId="28" xfId="0" applyNumberFormat="1" applyBorder="1"/>
    <xf numFmtId="9" fontId="0" fillId="0" borderId="12" xfId="0" applyNumberFormat="1" applyBorder="1"/>
    <xf numFmtId="0" fontId="0" fillId="0" borderId="13" xfId="0" applyBorder="1" applyAlignment="1">
      <alignment horizontal="center" vertical="center"/>
    </xf>
    <xf numFmtId="9" fontId="0" fillId="0" borderId="14" xfId="0" applyNumberFormat="1" applyBorder="1"/>
    <xf numFmtId="16" fontId="0" fillId="0" borderId="15" xfId="0" applyNumberFormat="1" applyBorder="1" applyAlignment="1">
      <alignment horizontal="right"/>
    </xf>
    <xf numFmtId="0" fontId="0" fillId="0" borderId="16" xfId="0" applyBorder="1" applyAlignment="1">
      <alignment horizontal="center" vertical="center"/>
    </xf>
    <xf numFmtId="166" fontId="0" fillId="0" borderId="33" xfId="0" applyNumberFormat="1" applyBorder="1"/>
    <xf numFmtId="9" fontId="0" fillId="0" borderId="28" xfId="2" applyFont="1" applyBorder="1"/>
    <xf numFmtId="166" fontId="0" fillId="0" borderId="74" xfId="0" applyNumberFormat="1" applyBorder="1"/>
    <xf numFmtId="16" fontId="0" fillId="0" borderId="19" xfId="0" applyNumberFormat="1" applyBorder="1"/>
    <xf numFmtId="0" fontId="0" fillId="0" borderId="24" xfId="0" applyBorder="1" applyAlignment="1">
      <alignment horizontal="center"/>
    </xf>
    <xf numFmtId="166" fontId="0" fillId="4" borderId="13" xfId="0" applyNumberFormat="1" applyFill="1" applyBorder="1"/>
    <xf numFmtId="166" fontId="0" fillId="2" borderId="13" xfId="0" applyNumberFormat="1" applyFill="1" applyBorder="1"/>
    <xf numFmtId="166" fontId="0" fillId="0" borderId="24" xfId="0" applyNumberFormat="1" applyBorder="1"/>
    <xf numFmtId="9" fontId="0" fillId="0" borderId="29" xfId="2" applyFont="1" applyBorder="1"/>
    <xf numFmtId="1" fontId="0" fillId="0" borderId="22" xfId="0" applyNumberFormat="1" applyBorder="1"/>
    <xf numFmtId="9" fontId="0" fillId="0" borderId="9" xfId="0" applyNumberFormat="1" applyBorder="1"/>
    <xf numFmtId="174" fontId="0" fillId="0" borderId="0" xfId="0" applyNumberFormat="1"/>
    <xf numFmtId="173" fontId="0" fillId="0" borderId="15" xfId="0" applyNumberFormat="1" applyBorder="1"/>
    <xf numFmtId="0" fontId="0" fillId="0" borderId="11" xfId="0" applyBorder="1" applyAlignment="1">
      <alignment horizontal="center" vertical="center"/>
    </xf>
    <xf numFmtId="166" fontId="0" fillId="4" borderId="10" xfId="0" applyNumberFormat="1" applyFill="1" applyBorder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16" fontId="0" fillId="4" borderId="0" xfId="0" applyNumberFormat="1" applyFill="1"/>
    <xf numFmtId="0" fontId="10" fillId="0" borderId="21" xfId="0" applyFont="1" applyBorder="1" applyAlignment="1">
      <alignment vertical="center"/>
    </xf>
    <xf numFmtId="0" fontId="0" fillId="0" borderId="75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center"/>
    </xf>
    <xf numFmtId="9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16" fontId="0" fillId="4" borderId="0" xfId="0" applyNumberFormat="1" applyFill="1" applyAlignment="1">
      <alignment horizontal="right"/>
    </xf>
    <xf numFmtId="166" fontId="0" fillId="4" borderId="29" xfId="0" applyNumberFormat="1" applyFill="1" applyBorder="1"/>
    <xf numFmtId="166" fontId="0" fillId="4" borderId="5" xfId="0" applyNumberFormat="1" applyFill="1" applyBorder="1"/>
    <xf numFmtId="166" fontId="21" fillId="0" borderId="0" xfId="0" applyNumberFormat="1" applyFont="1" applyAlignment="1">
      <alignment horizontal="center"/>
    </xf>
    <xf numFmtId="9" fontId="0" fillId="0" borderId="1" xfId="2" applyFont="1" applyBorder="1"/>
    <xf numFmtId="1" fontId="0" fillId="0" borderId="1" xfId="0" applyNumberFormat="1" applyBorder="1"/>
    <xf numFmtId="1" fontId="0" fillId="0" borderId="29" xfId="0" applyNumberFormat="1" applyBorder="1"/>
    <xf numFmtId="1" fontId="0" fillId="0" borderId="20" xfId="0" applyNumberFormat="1" applyBorder="1"/>
    <xf numFmtId="166" fontId="0" fillId="3" borderId="50" xfId="0" applyNumberFormat="1" applyFill="1" applyBorder="1"/>
    <xf numFmtId="1" fontId="0" fillId="2" borderId="22" xfId="0" applyNumberFormat="1" applyFill="1" applyBorder="1" applyAlignment="1">
      <alignment horizontal="center"/>
    </xf>
    <xf numFmtId="0" fontId="22" fillId="0" borderId="0" xfId="0" applyFont="1"/>
    <xf numFmtId="166" fontId="0" fillId="2" borderId="29" xfId="0" applyNumberFormat="1" applyFill="1" applyBorder="1"/>
    <xf numFmtId="9" fontId="0" fillId="4" borderId="0" xfId="2" applyFont="1" applyFill="1"/>
    <xf numFmtId="166" fontId="0" fillId="2" borderId="5" xfId="0" applyNumberFormat="1" applyFill="1" applyBorder="1"/>
    <xf numFmtId="164" fontId="0" fillId="4" borderId="5" xfId="0" applyNumberFormat="1" applyFill="1" applyBorder="1"/>
    <xf numFmtId="9" fontId="9" fillId="4" borderId="5" xfId="2" applyFont="1" applyFill="1" applyBorder="1"/>
    <xf numFmtId="166" fontId="0" fillId="4" borderId="28" xfId="0" applyNumberFormat="1" applyFill="1" applyBorder="1"/>
    <xf numFmtId="166" fontId="0" fillId="0" borderId="78" xfId="0" applyNumberFormat="1" applyBorder="1"/>
    <xf numFmtId="9" fontId="0" fillId="0" borderId="41" xfId="2" applyFont="1" applyBorder="1"/>
    <xf numFmtId="0" fontId="0" fillId="0" borderId="21" xfId="0" applyBorder="1"/>
    <xf numFmtId="166" fontId="0" fillId="0" borderId="79" xfId="0" applyNumberFormat="1" applyBorder="1" applyAlignment="1">
      <alignment vertical="center"/>
    </xf>
    <xf numFmtId="166" fontId="0" fillId="0" borderId="74" xfId="0" applyNumberFormat="1" applyBorder="1" applyAlignment="1">
      <alignment vertical="center"/>
    </xf>
    <xf numFmtId="166" fontId="0" fillId="0" borderId="50" xfId="0" applyNumberFormat="1" applyBorder="1" applyAlignment="1">
      <alignment vertical="center"/>
    </xf>
    <xf numFmtId="0" fontId="0" fillId="0" borderId="0" xfId="0" applyAlignment="1">
      <alignment vertical="center"/>
    </xf>
    <xf numFmtId="166" fontId="0" fillId="2" borderId="50" xfId="0" applyNumberFormat="1" applyFill="1" applyBorder="1" applyAlignment="1">
      <alignment vertical="center"/>
    </xf>
    <xf numFmtId="168" fontId="0" fillId="0" borderId="0" xfId="2" applyNumberFormat="1" applyFont="1"/>
    <xf numFmtId="164" fontId="23" fillId="0" borderId="0" xfId="0" applyNumberFormat="1" applyFont="1"/>
    <xf numFmtId="0" fontId="0" fillId="3" borderId="18" xfId="0" applyFill="1" applyBorder="1" applyAlignment="1">
      <alignment horizontal="center"/>
    </xf>
    <xf numFmtId="166" fontId="0" fillId="3" borderId="19" xfId="0" applyNumberFormat="1" applyFill="1" applyBorder="1" applyAlignment="1">
      <alignment horizontal="center"/>
    </xf>
    <xf numFmtId="9" fontId="0" fillId="3" borderId="19" xfId="2" applyFont="1" applyFill="1" applyBorder="1"/>
    <xf numFmtId="0" fontId="0" fillId="3" borderId="24" xfId="0" applyFill="1" applyBorder="1"/>
    <xf numFmtId="16" fontId="10" fillId="0" borderId="0" xfId="0" applyNumberFormat="1" applyFont="1"/>
    <xf numFmtId="0" fontId="0" fillId="0" borderId="19" xfId="0" applyBorder="1" applyAlignment="1">
      <alignment horizontal="center" wrapText="1"/>
    </xf>
    <xf numFmtId="9" fontId="0" fillId="0" borderId="13" xfId="2" applyFont="1" applyBorder="1" applyAlignment="1">
      <alignment horizontal="center" vertical="center"/>
    </xf>
    <xf numFmtId="166" fontId="0" fillId="0" borderId="0" xfId="0" applyNumberFormat="1" applyBorder="1"/>
    <xf numFmtId="0" fontId="0" fillId="0" borderId="0" xfId="0" applyBorder="1"/>
    <xf numFmtId="16" fontId="0" fillId="0" borderId="0" xfId="0" applyNumberFormat="1" applyBorder="1"/>
    <xf numFmtId="0" fontId="0" fillId="0" borderId="0" xfId="0" applyBorder="1" applyAlignment="1">
      <alignment horizontal="left"/>
    </xf>
    <xf numFmtId="16" fontId="10" fillId="0" borderId="9" xfId="0" applyNumberFormat="1" applyFont="1" applyBorder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0" fillId="0" borderId="18" xfId="0" applyFont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4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microsoft.com/office/2017/10/relationships/person" Target="persons/person8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89" Type="http://schemas.microsoft.com/office/2017/10/relationships/person" Target="persons/person18.xml"/><Relationship Id="rId112" Type="http://schemas.microsoft.com/office/2017/10/relationships/person" Target="persons/person.xml"/><Relationship Id="rId16" Type="http://schemas.openxmlformats.org/officeDocument/2006/relationships/worksheet" Target="worksheets/sheet16.xml"/><Relationship Id="rId107" Type="http://schemas.microsoft.com/office/2017/10/relationships/person" Target="persons/person5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2.xml"/><Relationship Id="rId102" Type="http://schemas.microsoft.com/office/2017/10/relationships/person" Target="persons/person4.xml"/><Relationship Id="rId5" Type="http://schemas.openxmlformats.org/officeDocument/2006/relationships/worksheet" Target="worksheets/sheet5.xml"/><Relationship Id="rId90" Type="http://schemas.microsoft.com/office/2017/10/relationships/person" Target="persons/person21.xml"/><Relationship Id="rId95" Type="http://schemas.microsoft.com/office/2017/10/relationships/person" Target="persons/person2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8" Type="http://schemas.microsoft.com/office/2017/10/relationships/person" Target="persons/person16.xml"/><Relationship Id="rId113" Type="http://schemas.microsoft.com/office/2017/10/relationships/person" Target="persons/person0.xml"/><Relationship Id="rId80" Type="http://schemas.openxmlformats.org/officeDocument/2006/relationships/externalLink" Target="externalLinks/externalLink3.xml"/><Relationship Id="rId85" Type="http://schemas.microsoft.com/office/2017/10/relationships/person" Target="persons/person1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8" Type="http://schemas.microsoft.com/office/2017/10/relationships/person" Target="persons/person6.xml"/><Relationship Id="rId103" Type="http://schemas.microsoft.com/office/2017/10/relationships/person" Target="persons/person3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6" Type="http://schemas.microsoft.com/office/2017/10/relationships/person" Target="persons/person30.xml"/><Relationship Id="rId91" Type="http://schemas.microsoft.com/office/2017/10/relationships/person" Target="persons/person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9" Type="http://schemas.microsoft.com/office/2017/10/relationships/person" Target="persons/person11.xml"/><Relationship Id="rId114" Type="http://schemas.microsoft.com/office/2017/10/relationships/person" Target="persons/person12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theme" Target="theme/theme1.xml"/><Relationship Id="rId86" Type="http://schemas.microsoft.com/office/2017/10/relationships/person" Target="persons/person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10/relationships/person" Target="persons/person2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120" Type="http://schemas.microsoft.com/office/2017/10/relationships/person" Target="persons/person14.xml"/><Relationship Id="rId104" Type="http://schemas.microsoft.com/office/2017/10/relationships/person" Target="persons/person34.xml"/><Relationship Id="rId97" Type="http://schemas.microsoft.com/office/2017/10/relationships/person" Target="persons/person2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microsoft.com/office/2017/10/relationships/person" Target="persons/person2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115" Type="http://schemas.microsoft.com/office/2017/10/relationships/person" Target="persons/person10.xml"/><Relationship Id="rId110" Type="http://schemas.microsoft.com/office/2017/10/relationships/person" Target="persons/person35.xml"/><Relationship Id="rId87" Type="http://schemas.microsoft.com/office/2017/10/relationships/person" Target="persons/person20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5" Type="http://schemas.microsoft.com/office/2017/10/relationships/person" Target="persons/person33.xml"/><Relationship Id="rId100" Type="http://schemas.microsoft.com/office/2017/10/relationships/person" Target="persons/person2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121" Type="http://schemas.microsoft.com/office/2017/10/relationships/person" Target="persons/person15.xml"/><Relationship Id="rId98" Type="http://schemas.microsoft.com/office/2017/10/relationships/person" Target="persons/person3.xml"/><Relationship Id="rId93" Type="http://schemas.microsoft.com/office/2017/10/relationships/person" Target="persons/person2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microsoft.com/office/2017/10/relationships/person" Target="persons/person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sharedStrings" Target="sharedStrings.xml"/><Relationship Id="rId111" Type="http://schemas.microsoft.com/office/2017/10/relationships/person" Target="persons/person7.xml"/><Relationship Id="rId88" Type="http://schemas.microsoft.com/office/2017/10/relationships/person" Target="persons/person1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microsoft.com/office/2017/10/relationships/person" Target="persons/person3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1.xml"/><Relationship Id="rId94" Type="http://schemas.microsoft.com/office/2017/10/relationships/person" Target="persons/person26.xml"/><Relationship Id="rId99" Type="http://schemas.microsoft.com/office/2017/10/relationships/person" Target="persons/person1.xml"/><Relationship Id="rId101" Type="http://schemas.microsoft.com/office/2017/10/relationships/person" Target="persons/person2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'Ago-23'!$AR$92</c:f>
              <c:strCache>
                <c:ptCount val="1"/>
                <c:pt idx="0">
                  <c:v>VENTA MD-MK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'Ago-23'!$AR$93:$AR$105</c:f>
              <c:numCache>
                <c:formatCode>"$"#,##0</c:formatCode>
                <c:ptCount val="13"/>
                <c:pt idx="0">
                  <c:v>175048.73949579833</c:v>
                </c:pt>
                <c:pt idx="1">
                  <c:v>348854.62184873951</c:v>
                </c:pt>
                <c:pt idx="2">
                  <c:v>1060116.5042016809</c:v>
                </c:pt>
                <c:pt idx="3">
                  <c:v>888247.89915966394</c:v>
                </c:pt>
                <c:pt idx="4">
                  <c:v>1710304.2016806724</c:v>
                </c:pt>
                <c:pt idx="5">
                  <c:v>1905927.7310924372</c:v>
                </c:pt>
                <c:pt idx="6">
                  <c:v>2066958.684369748</c:v>
                </c:pt>
                <c:pt idx="7">
                  <c:v>995390.03361344559</c:v>
                </c:pt>
                <c:pt idx="8">
                  <c:v>648118.75055285275</c:v>
                </c:pt>
                <c:pt idx="9">
                  <c:v>292632.77310924372</c:v>
                </c:pt>
                <c:pt idx="10">
                  <c:v>743877.68907563027</c:v>
                </c:pt>
                <c:pt idx="11">
                  <c:v>295994.11764705885</c:v>
                </c:pt>
                <c:pt idx="12">
                  <c:v>153258.82352941178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'Ago-23'!$AQ$93:$AQ$105</c15:sqref>
                        </c15:formulaRef>
                      </c:ext>
                    </c:extLst>
                    <c:numCache>
                      <c:formatCode>mmm\-yy</c:formatCode>
                      <c:ptCount val="13"/>
                      <c:pt idx="0">
                        <c:v>44774</c:v>
                      </c:pt>
                      <c:pt idx="1">
                        <c:v>44805</c:v>
                      </c:pt>
                      <c:pt idx="2">
                        <c:v>44835</c:v>
                      </c:pt>
                      <c:pt idx="3">
                        <c:v>44866</c:v>
                      </c:pt>
                      <c:pt idx="4">
                        <c:v>44896</c:v>
                      </c:pt>
                      <c:pt idx="5">
                        <c:v>44927</c:v>
                      </c:pt>
                      <c:pt idx="6">
                        <c:v>44958</c:v>
                      </c:pt>
                      <c:pt idx="7">
                        <c:v>44986</c:v>
                      </c:pt>
                      <c:pt idx="8">
                        <c:v>45017</c:v>
                      </c:pt>
                      <c:pt idx="9">
                        <c:v>45047</c:v>
                      </c:pt>
                      <c:pt idx="10">
                        <c:v>45078</c:v>
                      </c:pt>
                      <c:pt idx="11">
                        <c:v>45108</c:v>
                      </c:pt>
                      <c:pt idx="12">
                        <c:v>45139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71A-44A1-996C-00F1DF0B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823471"/>
        <c:axId val="301944031"/>
      </c:lineChart>
      <c:catAx>
        <c:axId val="9378234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01944031"/>
        <c:crosses val="autoZero"/>
        <c:auto val="1"/>
        <c:lblAlgn val="ctr"/>
        <c:lblOffset val="100"/>
        <c:noMultiLvlLbl val="0"/>
      </c:catAx>
      <c:valAx>
        <c:axId val="3019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3782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Totales</a:t>
            </a:r>
            <a:r>
              <a:rPr lang="es-ES" baseline="0"/>
              <a:t> ($000)</a:t>
            </a:r>
            <a:endParaRPr lang="es-ES"/>
          </a:p>
        </c:rich>
      </c:tx>
      <c:layout>
        <c:manualLayout>
          <c:xMode val="edge"/>
          <c:yMode val="edge"/>
          <c:x val="0.31115384566450677"/>
          <c:y val="6.23034017728901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14098568980794"/>
          <c:y val="0.20855114684866197"/>
          <c:w val="0.86296272672118013"/>
          <c:h val="0.69945394979084552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9"/>
              <c:layout>
                <c:manualLayout>
                  <c:x val="-7.9135578238985399E-2"/>
                  <c:y val="-2.39497831507429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34-429C-92E6-EE7AFB187B5E}"/>
                </c:ext>
              </c:extLst>
            </c:dLbl>
            <c:dLbl>
              <c:idx val="10"/>
              <c:layout>
                <c:manualLayout>
                  <c:x val="-4.4062859311800699E-2"/>
                  <c:y val="-4.7979115862009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F67-4580-B403-26FA3D1EEF79}"/>
                </c:ext>
              </c:extLst>
            </c:dLbl>
            <c:dLbl>
              <c:idx val="11"/>
              <c:layout>
                <c:manualLayout>
                  <c:x val="-1.0770796739943763E-16"/>
                  <c:y val="-6.237285062061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5B-448E-9C1C-A179C01568A9}"/>
                </c:ext>
              </c:extLst>
            </c:dLbl>
            <c:dLbl>
              <c:idx val="12"/>
              <c:layout>
                <c:manualLayout>
                  <c:x val="-4.3425382178625023E-2"/>
                  <c:y val="2.40124274711245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EA-422F-945F-2713413F1A68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'ES-Ventas'!$F$56:$V$56</c:f>
              <c:numCache>
                <c:formatCode>mmm\-yy</c:formatCode>
                <c:ptCount val="17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</c:numCache>
            </c:numRef>
          </c:cat>
          <c:val>
            <c:numRef>
              <c:f>'ES-Ventas'!$F$57:$V$57</c:f>
              <c:numCache>
                <c:formatCode>"$"#,##0</c:formatCode>
                <c:ptCount val="17"/>
                <c:pt idx="0">
                  <c:v>681.41</c:v>
                </c:pt>
                <c:pt idx="1">
                  <c:v>761.928</c:v>
                </c:pt>
                <c:pt idx="2">
                  <c:v>997.42600000000004</c:v>
                </c:pt>
                <c:pt idx="3">
                  <c:v>1387.021</c:v>
                </c:pt>
                <c:pt idx="4">
                  <c:v>1127.886</c:v>
                </c:pt>
                <c:pt idx="5">
                  <c:v>707.83299999999997</c:v>
                </c:pt>
                <c:pt idx="6">
                  <c:v>2504.4459999999999</c:v>
                </c:pt>
                <c:pt idx="7">
                  <c:v>2166.61564</c:v>
                </c:pt>
                <c:pt idx="8">
                  <c:v>2747.2669999999998</c:v>
                </c:pt>
                <c:pt idx="9">
                  <c:v>2771.0439999999999</c:v>
                </c:pt>
                <c:pt idx="10">
                  <c:v>3672.2008344000001</c:v>
                </c:pt>
                <c:pt idx="11">
                  <c:v>2865.8531400000002</c:v>
                </c:pt>
                <c:pt idx="12">
                  <c:v>2419</c:v>
                </c:pt>
                <c:pt idx="13">
                  <c:v>2648.6289131578947</c:v>
                </c:pt>
                <c:pt idx="14">
                  <c:v>562.29</c:v>
                </c:pt>
                <c:pt idx="15">
                  <c:v>2389.6294500000004</c:v>
                </c:pt>
                <c:pt idx="16">
                  <c:v>1590.442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0-4C9E-9DD6-8EBA0291B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037039"/>
        <c:axId val="1"/>
      </c:lineChart>
      <c:dateAx>
        <c:axId val="103403703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40370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Venta Total($000)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9"/>
              <c:layout>
                <c:manualLayout>
                  <c:x val="-8.1889010913852339E-2"/>
                  <c:y val="-2.34783271007926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BF-4438-B241-A862796772E3}"/>
                </c:ext>
              </c:extLst>
            </c:dLbl>
            <c:dLbl>
              <c:idx val="13"/>
              <c:layout>
                <c:manualLayout>
                  <c:x val="-2.7107385802133257E-2"/>
                  <c:y val="-3.766566311400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93-4DFD-BDAC-C7F76A067A2D}"/>
                </c:ext>
              </c:extLst>
            </c:dLbl>
            <c:dLbl>
              <c:idx val="14"/>
              <c:layout>
                <c:manualLayout>
                  <c:x val="-4.8793294443839688E-2"/>
                  <c:y val="1.883283155700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93-4DFD-BDAC-C7F76A067A2D}"/>
                </c:ext>
              </c:extLst>
            </c:dLbl>
            <c:dLbl>
              <c:idx val="15"/>
              <c:layout>
                <c:manualLayout>
                  <c:x val="-5.1504033024052903E-2"/>
                  <c:y val="-4.7082078892510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93-4DFD-BDAC-C7F76A067A2D}"/>
                </c:ext>
              </c:extLst>
            </c:dLbl>
            <c:dLbl>
              <c:idx val="16"/>
              <c:layout>
                <c:manualLayout>
                  <c:x val="-4.3371817283413154E-2"/>
                  <c:y val="-2.3541039446255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93-4DFD-BDAC-C7F76A067A2D}"/>
                </c:ext>
              </c:extLst>
            </c:dLbl>
            <c:dLbl>
              <c:idx val="17"/>
              <c:layout>
                <c:manualLayout>
                  <c:x val="-1.0842954320853264E-2"/>
                  <c:y val="4.68781801256534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93-4DFD-BDAC-C7F76A067A2D}"/>
                </c:ext>
              </c:extLst>
            </c:dLbl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'ES-Ventas'!$X$56:$AO$56</c:f>
              <c:numCache>
                <c:formatCode>mmm\-yy</c:formatCode>
                <c:ptCount val="18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</c:numCache>
            </c:numRef>
          </c:cat>
          <c:val>
            <c:numRef>
              <c:f>'ES-Ventas'!$X$57:$AO$57</c:f>
              <c:numCache>
                <c:formatCode>"$"#,##0</c:formatCode>
                <c:ptCount val="18"/>
                <c:pt idx="0">
                  <c:v>513.85199999999998</c:v>
                </c:pt>
                <c:pt idx="1">
                  <c:v>797.31299999999999</c:v>
                </c:pt>
                <c:pt idx="2">
                  <c:v>860.48099999999999</c:v>
                </c:pt>
                <c:pt idx="3">
                  <c:v>812.11099999999999</c:v>
                </c:pt>
                <c:pt idx="4">
                  <c:v>1039.27</c:v>
                </c:pt>
                <c:pt idx="5">
                  <c:v>1067.702</c:v>
                </c:pt>
                <c:pt idx="6">
                  <c:v>1460.355</c:v>
                </c:pt>
                <c:pt idx="7">
                  <c:v>2419.0156400000001</c:v>
                </c:pt>
                <c:pt idx="8">
                  <c:v>1668.405</c:v>
                </c:pt>
                <c:pt idx="9">
                  <c:v>3804.9989999999998</c:v>
                </c:pt>
                <c:pt idx="10">
                  <c:v>4211.7560000000003</c:v>
                </c:pt>
                <c:pt idx="11">
                  <c:v>3906.6718344000001</c:v>
                </c:pt>
                <c:pt idx="12">
                  <c:v>2467.9091400000002</c:v>
                </c:pt>
                <c:pt idx="13">
                  <c:v>1636.6803131578947</c:v>
                </c:pt>
                <c:pt idx="14">
                  <c:v>1224.644</c:v>
                </c:pt>
                <c:pt idx="15">
                  <c:v>1916.80045</c:v>
                </c:pt>
                <c:pt idx="16">
                  <c:v>1499.2529999999999</c:v>
                </c:pt>
                <c:pt idx="17">
                  <c:v>1457.921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5-47D5-A27A-209B0095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039535"/>
        <c:axId val="1"/>
      </c:lineChart>
      <c:dateAx>
        <c:axId val="103403953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403953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Venta</a:t>
            </a:r>
            <a:r>
              <a:rPr lang="en-US" baseline="0"/>
              <a:t> Mil Sabores</a:t>
            </a:r>
            <a:r>
              <a:rPr lang="en-US"/>
              <a:t> ($000)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'ES-Ventas'!$AC$56:$AO$56</c:f>
              <c:numCache>
                <c:formatCode>mmm\-yy</c:formatCode>
                <c:ptCount val="13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</c:numCache>
            </c:numRef>
          </c:cat>
          <c:val>
            <c:numRef>
              <c:f>'ES-Ventas'!$AC$60:$AO$60</c:f>
              <c:numCache>
                <c:formatCode>"$"#,##0</c:formatCode>
                <c:ptCount val="13"/>
                <c:pt idx="0">
                  <c:v>208.30799999999999</c:v>
                </c:pt>
                <c:pt idx="1">
                  <c:v>415.137</c:v>
                </c:pt>
                <c:pt idx="2">
                  <c:v>1261.5386400000002</c:v>
                </c:pt>
                <c:pt idx="3">
                  <c:v>880.70699999999999</c:v>
                </c:pt>
                <c:pt idx="4">
                  <c:v>1587.1610000000001</c:v>
                </c:pt>
                <c:pt idx="5">
                  <c:v>645.17999999999995</c:v>
                </c:pt>
                <c:pt idx="6">
                  <c:v>882.5118344</c:v>
                </c:pt>
                <c:pt idx="7">
                  <c:v>746.00914</c:v>
                </c:pt>
                <c:pt idx="8">
                  <c:v>568.76639999999998</c:v>
                </c:pt>
                <c:pt idx="9">
                  <c:v>348.233</c:v>
                </c:pt>
                <c:pt idx="10">
                  <c:v>606.48299999999995</c:v>
                </c:pt>
                <c:pt idx="11">
                  <c:v>352.233</c:v>
                </c:pt>
                <c:pt idx="12">
                  <c:v>182.37799999999999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2-4530-9930-C981FAD19AEA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'ES-Ventas'!$AC$56:$AO$56</c:f>
              <c:numCache>
                <c:formatCode>mmm\-yy</c:formatCode>
                <c:ptCount val="13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</c:numCache>
            </c:numRef>
          </c:cat>
          <c:val>
            <c:numRef>
              <c:f>'ES-Ventas'!$AC$61:$AO$61</c:f>
              <c:numCache>
                <c:formatCode>"$"#,##0</c:formatCode>
                <c:ptCount val="13"/>
                <c:pt idx="3">
                  <c:v>176.30799999999999</c:v>
                </c:pt>
                <c:pt idx="4">
                  <c:v>448.101</c:v>
                </c:pt>
                <c:pt idx="5">
                  <c:v>1622.874</c:v>
                </c:pt>
                <c:pt idx="6">
                  <c:v>1577.1690000000001</c:v>
                </c:pt>
                <c:pt idx="7">
                  <c:v>438.505</c:v>
                </c:pt>
                <c:pt idx="8">
                  <c:v>202.49491315789473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74-496F-8792-E5DB4ACB1FEC}"/>
            </c:ext>
          </c:extLst>
        </c:ser>
        <c:ser>
          <c:idx val="2"/>
          <c:order val="2"/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D8-47F4-A243-A56549F1D8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'ES-Ventas'!$AC$56:$AO$56</c:f>
              <c:numCache>
                <c:formatCode>mmm\-yy</c:formatCode>
                <c:ptCount val="13"/>
                <c:pt idx="0">
                  <c:v>44774</c:v>
                </c:pt>
                <c:pt idx="1">
                  <c:v>44805</c:v>
                </c:pt>
                <c:pt idx="2">
                  <c:v>44835</c:v>
                </c:pt>
                <c:pt idx="3">
                  <c:v>44866</c:v>
                </c:pt>
                <c:pt idx="4">
                  <c:v>44896</c:v>
                </c:pt>
                <c:pt idx="5">
                  <c:v>44927</c:v>
                </c:pt>
                <c:pt idx="6">
                  <c:v>44958</c:v>
                </c:pt>
                <c:pt idx="7">
                  <c:v>44986</c:v>
                </c:pt>
                <c:pt idx="8">
                  <c:v>45017</c:v>
                </c:pt>
                <c:pt idx="9">
                  <c:v>45047</c:v>
                </c:pt>
                <c:pt idx="10">
                  <c:v>45078</c:v>
                </c:pt>
                <c:pt idx="11">
                  <c:v>45108</c:v>
                </c:pt>
                <c:pt idx="12">
                  <c:v>45139</c:v>
                </c:pt>
              </c:numCache>
            </c:numRef>
          </c:cat>
          <c:val>
            <c:numRef>
              <c:f>'ES-Ventas'!$AC$62:$AI$62</c:f>
              <c:numCache>
                <c:formatCode>General</c:formatCode>
                <c:ptCount val="7"/>
                <c:pt idx="3" formatCode="&quot;$&quot;#,##0">
                  <c:v>0</c:v>
                </c:pt>
                <c:pt idx="4" formatCode="&quot;$&quot;#,##0">
                  <c:v>335.56599999999997</c:v>
                </c:pt>
                <c:pt idx="5" formatCode="&quot;$&quot;#,##0">
                  <c:v>50.323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D8-47F4-A243-A56549F1D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7555359"/>
        <c:axId val="1727555775"/>
      </c:lineChart>
      <c:dateAx>
        <c:axId val="172755535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27555775"/>
        <c:crosses val="autoZero"/>
        <c:auto val="1"/>
        <c:lblOffset val="100"/>
        <c:baseTimeUnit val="months"/>
      </c:dateAx>
      <c:valAx>
        <c:axId val="17275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2755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 anchor="ctr" anchorCtr="0"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Venta</a:t>
            </a:r>
            <a:r>
              <a:rPr lang="en-US" baseline="0"/>
              <a:t> Fukai ($000)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9"/>
              <c:layout>
                <c:manualLayout>
                  <c:x val="-5.5240279994275991E-2"/>
                  <c:y val="-3.08961087932271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28-4462-A0FB-BC05181B595F}"/>
                </c:ext>
              </c:extLst>
            </c:dLbl>
            <c:dLbl>
              <c:idx val="10"/>
              <c:layout>
                <c:manualLayout>
                  <c:x val="-3.3144167996565638E-2"/>
                  <c:y val="-4.6344163189840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28-4462-A0FB-BC05181B595F}"/>
                </c:ext>
              </c:extLst>
            </c:dLbl>
            <c:dLbl>
              <c:idx val="11"/>
              <c:layout>
                <c:manualLayout>
                  <c:x val="-2.4858125997424148E-2"/>
                  <c:y val="-2.57467573276893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28-4462-A0FB-BC05181B595F}"/>
                </c:ext>
              </c:extLst>
            </c:dLbl>
            <c:dLbl>
              <c:idx val="13"/>
              <c:layout>
                <c:manualLayout>
                  <c:x val="-5.4364180939404483E-2"/>
                  <c:y val="4.15572686566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F2-4106-AB0B-8364B0D9CC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'ES-Ventas'!$X$56:$AO$56</c:f>
              <c:numCache>
                <c:formatCode>mmm\-yy</c:formatCode>
                <c:ptCount val="18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</c:numCache>
            </c:numRef>
          </c:cat>
          <c:val>
            <c:numRef>
              <c:f>'ES-Ventas'!$X$59:$AO$59</c:f>
              <c:numCache>
                <c:formatCode>"$"#,##0</c:formatCode>
                <c:ptCount val="18"/>
                <c:pt idx="0">
                  <c:v>513.85199999999998</c:v>
                </c:pt>
                <c:pt idx="1">
                  <c:v>797.31299999999999</c:v>
                </c:pt>
                <c:pt idx="2">
                  <c:v>860.48099999999999</c:v>
                </c:pt>
                <c:pt idx="3">
                  <c:v>812.11099999999999</c:v>
                </c:pt>
                <c:pt idx="4">
                  <c:v>1039.27</c:v>
                </c:pt>
                <c:pt idx="5">
                  <c:v>859.39400000000001</c:v>
                </c:pt>
                <c:pt idx="6">
                  <c:v>1045.2180000000001</c:v>
                </c:pt>
                <c:pt idx="7">
                  <c:v>1157.4770000000001</c:v>
                </c:pt>
                <c:pt idx="8">
                  <c:v>611.39</c:v>
                </c:pt>
                <c:pt idx="9">
                  <c:v>1434.171</c:v>
                </c:pt>
                <c:pt idx="10">
                  <c:v>1486.732</c:v>
                </c:pt>
                <c:pt idx="11">
                  <c:v>1316.876</c:v>
                </c:pt>
                <c:pt idx="12">
                  <c:v>1283.395</c:v>
                </c:pt>
                <c:pt idx="13">
                  <c:v>865.41899999999998</c:v>
                </c:pt>
                <c:pt idx="14">
                  <c:v>876.41099999999994</c:v>
                </c:pt>
                <c:pt idx="15">
                  <c:v>1031.586</c:v>
                </c:pt>
                <c:pt idx="16">
                  <c:v>1147.02</c:v>
                </c:pt>
                <c:pt idx="17">
                  <c:v>1275.5429999999999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6B-44B7-AD5A-419AFD5A2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387744"/>
        <c:axId val="300396064"/>
      </c:lineChart>
      <c:dateAx>
        <c:axId val="3003877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00396064"/>
        <c:crosses val="autoZero"/>
        <c:auto val="1"/>
        <c:lblOffset val="100"/>
        <c:baseTimeUnit val="months"/>
      </c:dateAx>
      <c:valAx>
        <c:axId val="30039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0038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</a:t>
            </a:r>
            <a:r>
              <a:rPr lang="en-US" baseline="0"/>
              <a:t> Acumulada ($000)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'ES-Ventas'!$P$63</c:f>
              <c:strCache>
                <c:ptCount val="1"/>
                <c:pt idx="0">
                  <c:v>FUKAI ACUM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DC-4E44-BF2F-81385844FFF3}"/>
                </c:ext>
              </c:extLst>
            </c:dLbl>
            <c:dLbl>
              <c:idx val="5"/>
              <c:layout>
                <c:manualLayout>
                  <c:x val="-1.2192118995081467E-2"/>
                  <c:y val="3.2361293272309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DC-4E44-BF2F-81385844FFF3}"/>
                </c:ext>
              </c:extLst>
            </c:dLbl>
            <c:dLbl>
              <c:idx val="6"/>
              <c:layout>
                <c:manualLayout>
                  <c:x val="-2.0320198325135654E-3"/>
                  <c:y val="3.2361293272309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DC-4E44-BF2F-81385844FFF3}"/>
                </c:ext>
              </c:extLst>
            </c:dLbl>
            <c:dLbl>
              <c:idx val="7"/>
              <c:layout>
                <c:manualLayout>
                  <c:x val="-4.06403966502728E-3"/>
                  <c:y val="4.6230418960441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DC-4E44-BF2F-81385844FFF3}"/>
                </c:ext>
              </c:extLst>
            </c:dLbl>
            <c:dLbl>
              <c:idx val="10"/>
              <c:layout>
                <c:manualLayout>
                  <c:x val="-2.2405733609590027E-3"/>
                  <c:y val="2.8024669064332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C8-425E-958A-E69CD8FED524}"/>
                </c:ext>
              </c:extLst>
            </c:dLbl>
            <c:dLbl>
              <c:idx val="11"/>
              <c:layout>
                <c:manualLayout>
                  <c:x val="-3.8047720523377293E-2"/>
                  <c:y val="-5.13786584777928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C8-425E-958A-E69CD8FED524}"/>
                </c:ext>
              </c:extLst>
            </c:dLbl>
            <c:dLbl>
              <c:idx val="12"/>
              <c:layout>
                <c:manualLayout>
                  <c:x val="-4.4755390645841433E-3"/>
                  <c:y val="-5.1022197029682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FF-470B-8C5F-56DC44F1509F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'ES-Ventas'!$X$56:$AO$56</c:f>
              <c:numCache>
                <c:formatCode>mmm\-yy</c:formatCode>
                <c:ptCount val="18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</c:numCache>
            </c:numRef>
          </c:cat>
          <c:val>
            <c:numRef>
              <c:f>'ES-Ventas'!$X$63:$AO$63</c:f>
              <c:numCache>
                <c:formatCode>"$"#,##0</c:formatCode>
                <c:ptCount val="18"/>
                <c:pt idx="0">
                  <c:v>513.85199999999998</c:v>
                </c:pt>
                <c:pt idx="1">
                  <c:v>1311.165</c:v>
                </c:pt>
                <c:pt idx="2">
                  <c:v>2171.6459999999997</c:v>
                </c:pt>
                <c:pt idx="3">
                  <c:v>2983.7569999999996</c:v>
                </c:pt>
                <c:pt idx="4">
                  <c:v>4023.0269999999996</c:v>
                </c:pt>
                <c:pt idx="5">
                  <c:v>4882.4209999999994</c:v>
                </c:pt>
                <c:pt idx="6">
                  <c:v>5927.6389999999992</c:v>
                </c:pt>
                <c:pt idx="7">
                  <c:v>7085.1159999999991</c:v>
                </c:pt>
                <c:pt idx="8">
                  <c:v>7696.5059999999994</c:v>
                </c:pt>
                <c:pt idx="9">
                  <c:v>9130.6769999999997</c:v>
                </c:pt>
                <c:pt idx="10">
                  <c:v>10617.409</c:v>
                </c:pt>
                <c:pt idx="11">
                  <c:v>11934.285</c:v>
                </c:pt>
                <c:pt idx="12">
                  <c:v>13217.68</c:v>
                </c:pt>
                <c:pt idx="13">
                  <c:v>14083.099</c:v>
                </c:pt>
                <c:pt idx="14">
                  <c:v>14959.51</c:v>
                </c:pt>
                <c:pt idx="15">
                  <c:v>15991.096</c:v>
                </c:pt>
                <c:pt idx="16">
                  <c:v>17138.115999999998</c:v>
                </c:pt>
                <c:pt idx="17">
                  <c:v>18413.659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53-46FD-B6E9-5D8E41579364}"/>
            </c:ext>
          </c:extLst>
        </c:ser>
        <c:ser>
          <c:idx val="2"/>
          <c:order val="1"/>
          <c:tx>
            <c:strRef>
              <c:f>'ES-Ventas'!$P$64</c:f>
              <c:strCache>
                <c:ptCount val="1"/>
                <c:pt idx="0">
                  <c:v>MALL DOMINICOS ACUM</c:v>
                </c:pt>
              </c:strCache>
            </c:strRef>
          </c:tx>
          <c:spPr>
            <a:ln w="22225" cap="rnd">
              <a:solidFill>
                <a:srgbClr val="00B0F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1"/>
              <c:layout>
                <c:manualLayout>
                  <c:x val="-1.6430681505063317E-16"/>
                  <c:y val="-5.1378559951276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A9-42E1-A22B-7DF87A283C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'ES-Ventas'!$X$56:$AO$56</c:f>
              <c:numCache>
                <c:formatCode>mmm\-yy</c:formatCode>
                <c:ptCount val="18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</c:numCache>
            </c:numRef>
          </c:cat>
          <c:val>
            <c:numRef>
              <c:f>'ES-Ventas'!$X$64:$AO$64</c:f>
              <c:numCache>
                <c:formatCode>"$"#,##0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208.30799999999999</c:v>
                </c:pt>
                <c:pt idx="6">
                  <c:v>623.44499999999994</c:v>
                </c:pt>
                <c:pt idx="7">
                  <c:v>1884.9836400000002</c:v>
                </c:pt>
                <c:pt idx="8">
                  <c:v>2765.6906400000003</c:v>
                </c:pt>
                <c:pt idx="9">
                  <c:v>4352.8516400000008</c:v>
                </c:pt>
                <c:pt idx="10">
                  <c:v>4998.0316400000011</c:v>
                </c:pt>
                <c:pt idx="11">
                  <c:v>5880.5434744000013</c:v>
                </c:pt>
                <c:pt idx="12">
                  <c:v>6626.5526144000014</c:v>
                </c:pt>
                <c:pt idx="13">
                  <c:v>7195.3190144000018</c:v>
                </c:pt>
                <c:pt idx="14">
                  <c:v>7543.552014400002</c:v>
                </c:pt>
                <c:pt idx="15">
                  <c:v>8150.0350144000022</c:v>
                </c:pt>
                <c:pt idx="16">
                  <c:v>8502.2680144000024</c:v>
                </c:pt>
                <c:pt idx="17">
                  <c:v>8684.646014400003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53-46FD-B6E9-5D8E41579364}"/>
            </c:ext>
          </c:extLst>
        </c:ser>
        <c:ser>
          <c:idx val="0"/>
          <c:order val="2"/>
          <c:tx>
            <c:strRef>
              <c:f>'ES-Ventas'!$P$65</c:f>
              <c:strCache>
                <c:ptCount val="1"/>
                <c:pt idx="0">
                  <c:v>OPEN KENNEDY ACUM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'ES-Ventas'!$X$56:$AO$56</c:f>
              <c:numCache>
                <c:formatCode>mmm\-yy</c:formatCode>
                <c:ptCount val="18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</c:numCache>
            </c:numRef>
          </c:cat>
          <c:val>
            <c:numRef>
              <c:f>'ES-Ventas'!$X$65:$AO$65</c:f>
              <c:numCache>
                <c:formatCode>General</c:formatCode>
                <c:ptCount val="18"/>
                <c:pt idx="8" formatCode="&quot;$&quot;#,##0">
                  <c:v>176.30799999999999</c:v>
                </c:pt>
                <c:pt idx="9" formatCode="&quot;$&quot;#,##0">
                  <c:v>624.40899999999999</c:v>
                </c:pt>
                <c:pt idx="10" formatCode="&quot;$&quot;#,##0">
                  <c:v>2247.2829999999999</c:v>
                </c:pt>
                <c:pt idx="11" formatCode="&quot;$&quot;#,##0">
                  <c:v>3824.4520000000002</c:v>
                </c:pt>
                <c:pt idx="12" formatCode="&quot;$&quot;#,##0">
                  <c:v>4262.9570000000003</c:v>
                </c:pt>
                <c:pt idx="13" formatCode="&quot;$&quot;#,##0">
                  <c:v>4465.4519131578954</c:v>
                </c:pt>
                <c:pt idx="14" formatCode="&quot;$&quot;#,##0">
                  <c:v>4465.4519131578954</c:v>
                </c:pt>
                <c:pt idx="15" formatCode="&quot;$&quot;#,##0">
                  <c:v>4465.4519131578954</c:v>
                </c:pt>
                <c:pt idx="16" formatCode="&quot;$&quot;#,##0">
                  <c:v>4465.4519131578954</c:v>
                </c:pt>
                <c:pt idx="17" formatCode="&quot;$&quot;#,##0">
                  <c:v>4465.4519131578954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0-4342-8B87-F086B4F136C9}"/>
            </c:ext>
          </c:extLst>
        </c:ser>
        <c:ser>
          <c:idx val="3"/>
          <c:order val="3"/>
          <c:tx>
            <c:strRef>
              <c:f>'ES-Ventas'!$P$58</c:f>
              <c:strCache>
                <c:ptCount val="1"/>
                <c:pt idx="0">
                  <c:v>TOTAL ACUM</c:v>
                </c:pt>
              </c:strCache>
            </c:strRef>
          </c:tx>
          <c:spPr>
            <a:ln w="22225" cap="rnd">
              <a:solidFill>
                <a:srgbClr val="92D050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4"/>
              <c:layout>
                <c:manualLayout>
                  <c:x val="-2.0320198325135654E-3"/>
                  <c:y val="3.2361293272309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8DC-4E44-BF2F-81385844FFF3}"/>
                </c:ext>
              </c:extLst>
            </c:dLbl>
            <c:dLbl>
              <c:idx val="5"/>
              <c:layout>
                <c:manualLayout>
                  <c:x val="-1.6256158660108523E-2"/>
                  <c:y val="-6.9345628440662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DC-4E44-BF2F-81385844FFF3}"/>
                </c:ext>
              </c:extLst>
            </c:dLbl>
            <c:dLbl>
              <c:idx val="6"/>
              <c:layout>
                <c:manualLayout>
                  <c:x val="-1.4224138827595031E-2"/>
                  <c:y val="-9.70838798169276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DC-4E44-BF2F-81385844FFF3}"/>
                </c:ext>
              </c:extLst>
            </c:dLbl>
            <c:dLbl>
              <c:idx val="7"/>
              <c:layout>
                <c:manualLayout>
                  <c:x val="-3.6576356985244328E-2"/>
                  <c:y val="-6.0099544648574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DC-4E44-BF2F-81385844FFF3}"/>
                </c:ext>
              </c:extLst>
            </c:dLbl>
            <c:dLbl>
              <c:idx val="8"/>
              <c:layout>
                <c:manualLayout>
                  <c:x val="-4.6736456147812001E-2"/>
                  <c:y val="-6.9345628440662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8DC-4E44-BF2F-81385844FFF3}"/>
                </c:ext>
              </c:extLst>
            </c:dLbl>
            <c:dLbl>
              <c:idx val="9"/>
              <c:layout>
                <c:manualLayout>
                  <c:x val="-5.4864535477866266E-2"/>
                  <c:y val="-1.8492167584176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8DC-4E44-BF2F-81385844FFF3}"/>
                </c:ext>
              </c:extLst>
            </c:dLbl>
            <c:dLbl>
              <c:idx val="10"/>
              <c:layout>
                <c:manualLayout>
                  <c:x val="-5.6014334023970956E-2"/>
                  <c:y val="-2.8024669064332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A9-42E1-A22B-7DF87A283CF2}"/>
                </c:ext>
              </c:extLst>
            </c:dLbl>
            <c:dLbl>
              <c:idx val="11"/>
              <c:layout>
                <c:manualLayout>
                  <c:x val="-4.9245025896455928E-2"/>
                  <c:y val="-3.7366363479648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A9-42E1-A22B-7DF87A283CF2}"/>
                </c:ext>
              </c:extLst>
            </c:dLbl>
            <c:dLbl>
              <c:idx val="12"/>
              <c:layout>
                <c:manualLayout>
                  <c:x val="-2.4615464855212786E-2"/>
                  <c:y val="-3.246867083707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FF-470B-8C5F-56DC44F150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'ES-Ventas'!$X$56:$AO$56</c:f>
              <c:numCache>
                <c:formatCode>mmm\-yy</c:formatCode>
                <c:ptCount val="18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  <c:pt idx="12">
                  <c:v>44986</c:v>
                </c:pt>
                <c:pt idx="13">
                  <c:v>45017</c:v>
                </c:pt>
                <c:pt idx="14">
                  <c:v>45047</c:v>
                </c:pt>
                <c:pt idx="15">
                  <c:v>45078</c:v>
                </c:pt>
                <c:pt idx="16">
                  <c:v>45108</c:v>
                </c:pt>
                <c:pt idx="17">
                  <c:v>45139</c:v>
                </c:pt>
              </c:numCache>
            </c:numRef>
          </c:cat>
          <c:val>
            <c:numRef>
              <c:f>'ES-Ventas'!$X$58:$AO$58</c:f>
              <c:numCache>
                <c:formatCode>"$"#,##0</c:formatCode>
                <c:ptCount val="18"/>
                <c:pt idx="0">
                  <c:v>513.85199999999998</c:v>
                </c:pt>
                <c:pt idx="1">
                  <c:v>1311.165</c:v>
                </c:pt>
                <c:pt idx="2">
                  <c:v>2171.6459999999997</c:v>
                </c:pt>
                <c:pt idx="3">
                  <c:v>2983.7569999999996</c:v>
                </c:pt>
                <c:pt idx="4">
                  <c:v>4023.0269999999996</c:v>
                </c:pt>
                <c:pt idx="5">
                  <c:v>5090.7289999999994</c:v>
                </c:pt>
                <c:pt idx="6">
                  <c:v>6551.0839999999989</c:v>
                </c:pt>
                <c:pt idx="7">
                  <c:v>8970.0996399999985</c:v>
                </c:pt>
                <c:pt idx="8">
                  <c:v>10638.504639999999</c:v>
                </c:pt>
                <c:pt idx="9">
                  <c:v>14443.503639999999</c:v>
                </c:pt>
                <c:pt idx="10">
                  <c:v>18655.25964</c:v>
                </c:pt>
                <c:pt idx="11">
                  <c:v>22561.9314744</c:v>
                </c:pt>
                <c:pt idx="12">
                  <c:v>25029.8406144</c:v>
                </c:pt>
                <c:pt idx="13">
                  <c:v>26666.520927557896</c:v>
                </c:pt>
                <c:pt idx="14">
                  <c:v>27891.164927557897</c:v>
                </c:pt>
                <c:pt idx="15">
                  <c:v>29807.965377557895</c:v>
                </c:pt>
                <c:pt idx="16">
                  <c:v>31307.218377557896</c:v>
                </c:pt>
                <c:pt idx="17">
                  <c:v>32765.139377557894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DC-4E44-BF2F-81385844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323359"/>
        <c:axId val="270323775"/>
      </c:lineChart>
      <c:dateAx>
        <c:axId val="2703233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0323775"/>
        <c:crosses val="autoZero"/>
        <c:auto val="1"/>
        <c:lblOffset val="100"/>
        <c:baseTimeUnit val="months"/>
      </c:dateAx>
      <c:valAx>
        <c:axId val="2703237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032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Sangría</a:t>
            </a:r>
            <a:r>
              <a:rPr lang="en-US" baseline="0"/>
              <a:t> (lt)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'ES-Ventas'!$P$30</c:f>
              <c:strCache>
                <c:ptCount val="1"/>
                <c:pt idx="0">
                  <c:v>FUKAI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'ES-Ventas'!$Q$28:$AH$29</c:f>
              <c:strCache>
                <c:ptCount val="18"/>
                <c:pt idx="0">
                  <c:v>mar-22</c:v>
                </c:pt>
                <c:pt idx="1">
                  <c:v>abr-22</c:v>
                </c:pt>
                <c:pt idx="2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ago-22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  <c:pt idx="13">
                  <c:v>dic-22</c:v>
                </c:pt>
                <c:pt idx="14">
                  <c:v>ene-23</c:v>
                </c:pt>
                <c:pt idx="15">
                  <c:v>feb-23</c:v>
                </c:pt>
                <c:pt idx="16">
                  <c:v>mar-23</c:v>
                </c:pt>
                <c:pt idx="17">
                  <c:v>abr-23</c:v>
                </c:pt>
              </c:strCache>
            </c:strRef>
          </c:cat>
          <c:val>
            <c:numRef>
              <c:f>'ES-Ventas'!$Q$30:$AH$30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A-453C-B32A-066845122A2F}"/>
            </c:ext>
          </c:extLst>
        </c:ser>
        <c:ser>
          <c:idx val="1"/>
          <c:order val="1"/>
          <c:tx>
            <c:strRef>
              <c:f>'ES-Ventas'!$P$31</c:f>
              <c:strCache>
                <c:ptCount val="1"/>
                <c:pt idx="0">
                  <c:v>Grupo Mil Sab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'ES-Ventas'!$Q$28:$AH$29</c:f>
              <c:strCache>
                <c:ptCount val="18"/>
                <c:pt idx="0">
                  <c:v>mar-22</c:v>
                </c:pt>
                <c:pt idx="1">
                  <c:v>abr-22</c:v>
                </c:pt>
                <c:pt idx="2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ago-22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  <c:pt idx="13">
                  <c:v>dic-22</c:v>
                </c:pt>
                <c:pt idx="14">
                  <c:v>ene-23</c:v>
                </c:pt>
                <c:pt idx="15">
                  <c:v>feb-23</c:v>
                </c:pt>
                <c:pt idx="16">
                  <c:v>mar-23</c:v>
                </c:pt>
                <c:pt idx="17">
                  <c:v>abr-23</c:v>
                </c:pt>
              </c:strCache>
            </c:strRef>
          </c:cat>
          <c:val>
            <c:numRef>
              <c:f>'ES-Ventas'!$Q$31:$AH$31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A-453C-B32A-066845122A2F}"/>
            </c:ext>
          </c:extLst>
        </c:ser>
        <c:ser>
          <c:idx val="2"/>
          <c:order val="2"/>
          <c:tx>
            <c:strRef>
              <c:f>'ES-Ventas'!$P$32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'ES-Ventas'!$Q$28:$AH$29</c:f>
              <c:strCache>
                <c:ptCount val="18"/>
                <c:pt idx="0">
                  <c:v>mar-22</c:v>
                </c:pt>
                <c:pt idx="1">
                  <c:v>abr-22</c:v>
                </c:pt>
                <c:pt idx="2">
                  <c:v>may-22</c:v>
                </c:pt>
                <c:pt idx="7">
                  <c:v>jun-22</c:v>
                </c:pt>
                <c:pt idx="8">
                  <c:v>jul-22</c:v>
                </c:pt>
                <c:pt idx="9">
                  <c:v>ago-22</c:v>
                </c:pt>
                <c:pt idx="10">
                  <c:v>sep-22</c:v>
                </c:pt>
                <c:pt idx="11">
                  <c:v>oct-22</c:v>
                </c:pt>
                <c:pt idx="12">
                  <c:v>nov-22</c:v>
                </c:pt>
                <c:pt idx="13">
                  <c:v>dic-22</c:v>
                </c:pt>
                <c:pt idx="14">
                  <c:v>ene-23</c:v>
                </c:pt>
                <c:pt idx="15">
                  <c:v>feb-23</c:v>
                </c:pt>
                <c:pt idx="16">
                  <c:v>mar-23</c:v>
                </c:pt>
                <c:pt idx="17">
                  <c:v>abr-23</c:v>
                </c:pt>
              </c:strCache>
            </c:strRef>
          </c:cat>
          <c:val>
            <c:numRef>
              <c:f>'ES-Ventas'!$Q$32:$AH$32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6A-453C-B32A-066845122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1093296"/>
        <c:axId val="70109496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'ES-Ventas'!$P$33</c15:sqref>
                        </c15:formulaRef>
                      </c:ext>
                    </c:extLst>
                    <c:strCache>
                      <c:ptCount val="1"/>
                      <c:pt idx="0">
                        <c:v>P.O.P</c:v>
                      </c:pt>
                    </c:strCache>
                  </c:strRef>
                </c:tx>
                <c:spPr>
                  <a:ln w="349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'ES-Ventas'!$Q$28:$AH$29</c15:sqref>
                        </c15:formulaRef>
                      </c:ext>
                    </c:extLst>
                    <c:strCache>
                      <c:ptCount val="18"/>
                      <c:pt idx="0">
                        <c:v>mar-22</c:v>
                      </c:pt>
                      <c:pt idx="1">
                        <c:v>abr-22</c:v>
                      </c:pt>
                      <c:pt idx="2">
                        <c:v>may-22</c:v>
                      </c:pt>
                      <c:pt idx="7">
                        <c:v>jun-22</c:v>
                      </c:pt>
                      <c:pt idx="8">
                        <c:v>jul-22</c:v>
                      </c:pt>
                      <c:pt idx="9">
                        <c:v>ago-22</c:v>
                      </c:pt>
                      <c:pt idx="10">
                        <c:v>sep-22</c:v>
                      </c:pt>
                      <c:pt idx="11">
                        <c:v>oct-22</c:v>
                      </c:pt>
                      <c:pt idx="12">
                        <c:v>nov-22</c:v>
                      </c:pt>
                      <c:pt idx="13">
                        <c:v>dic-22</c:v>
                      </c:pt>
                      <c:pt idx="14">
                        <c:v>ene-23</c:v>
                      </c:pt>
                      <c:pt idx="15">
                        <c:v>feb-23</c:v>
                      </c:pt>
                      <c:pt idx="16">
                        <c:v>mar-23</c:v>
                      </c:pt>
                      <c:pt idx="17">
                        <c:v>abr-23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'ES-Ventas'!$Q$33:$AD$33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A6A-453C-B32A-066845122A2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'ES-Ventas'!$P$34</c15:sqref>
                        </c15:formulaRef>
                      </c:ext>
                    </c:extLst>
                    <c:strCache>
                      <c:ptCount val="1"/>
                      <c:pt idx="0">
                        <c:v>lt/P.O.P.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'ES-Ventas'!$Q$28:$AH$29</c15:sqref>
                        </c15:formulaRef>
                      </c:ext>
                    </c:extLst>
                    <c:strCache>
                      <c:ptCount val="18"/>
                      <c:pt idx="0">
                        <c:v>mar-22</c:v>
                      </c:pt>
                      <c:pt idx="1">
                        <c:v>abr-22</c:v>
                      </c:pt>
                      <c:pt idx="2">
                        <c:v>may-22</c:v>
                      </c:pt>
                      <c:pt idx="7">
                        <c:v>jun-22</c:v>
                      </c:pt>
                      <c:pt idx="8">
                        <c:v>jul-22</c:v>
                      </c:pt>
                      <c:pt idx="9">
                        <c:v>ago-22</c:v>
                      </c:pt>
                      <c:pt idx="10">
                        <c:v>sep-22</c:v>
                      </c:pt>
                      <c:pt idx="11">
                        <c:v>oct-22</c:v>
                      </c:pt>
                      <c:pt idx="12">
                        <c:v>nov-22</c:v>
                      </c:pt>
                      <c:pt idx="13">
                        <c:v>dic-22</c:v>
                      </c:pt>
                      <c:pt idx="14">
                        <c:v>ene-23</c:v>
                      </c:pt>
                      <c:pt idx="15">
                        <c:v>feb-23</c:v>
                      </c:pt>
                      <c:pt idx="16">
                        <c:v>mar-23</c:v>
                      </c:pt>
                      <c:pt idx="17">
                        <c:v>abr-23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'ES-Ventas'!$Q$34:$AD$34</c15:sqref>
                        </c15:formulaRef>
                      </c:ext>
                    </c:extLst>
                    <c:numCache>
                      <c:formatCode>0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A6A-453C-B32A-066845122A2F}"/>
                  </c:ext>
                </c:extLst>
              </c15:ser>
            </c15:filteredLineSeries>
          </c:ext>
        </c:extLst>
      </c:lineChart>
      <c:catAx>
        <c:axId val="701093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1094960"/>
        <c:crosses val="autoZero"/>
        <c:auto val="1"/>
        <c:lblAlgn val="ctr"/>
        <c:lblOffset val="100"/>
        <c:noMultiLvlLbl val="1"/>
      </c:catAx>
      <c:valAx>
        <c:axId val="7010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0109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sii.cl/cgi-bin/Portal001/mipeGesDocRcp.cgi?CODIGO=916907592&amp;ALL_PAGE_ANT=2" TargetMode="External"/><Relationship Id="rId13" Type="http://schemas.openxmlformats.org/officeDocument/2006/relationships/hyperlink" Target="https://www1.sii.cl/cgi-bin/Portal001/mipeGesDocRcp.cgi?CODIGO=907741686&amp;ALL_PAGE_ANT=2" TargetMode="External"/><Relationship Id="rId3" Type="http://schemas.openxmlformats.org/officeDocument/2006/relationships/hyperlink" Target="https://www1.sii.cl/cgi-bin/Portal001/mipeGesDocRcp.cgi?CODIGO=932923736&amp;ALL_PAGE_ANT=2" TargetMode="External"/><Relationship Id="rId7" Type="http://schemas.openxmlformats.org/officeDocument/2006/relationships/hyperlink" Target="https://www1.sii.cl/cgi-bin/Portal001/mipeGesDocRcp.cgi?CODIGO=921626067&amp;ALL_PAGE_ANT=2" TargetMode="External"/><Relationship Id="rId12" Type="http://schemas.openxmlformats.org/officeDocument/2006/relationships/hyperlink" Target="https://www1.sii.cl/cgi-bin/Portal001/mipeGesDocRcp.cgi?CODIGO=914315022&amp;ALL_PAGE_ANT=2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1.sii.cl/cgi-bin/Portal001/mipeGesDocRcp.cgi?CODIGO=932966038&amp;ALL_PAGE_ANT=2" TargetMode="External"/><Relationship Id="rId6" Type="http://schemas.openxmlformats.org/officeDocument/2006/relationships/hyperlink" Target="https://www1.sii.cl/cgi-bin/Portal001/mipeGesDocRcp.cgi?CODIGO=921787302&amp;ALL_PAGE_ANT=2" TargetMode="External"/><Relationship Id="rId11" Type="http://schemas.openxmlformats.org/officeDocument/2006/relationships/hyperlink" Target="https://www1.sii.cl/cgi-bin/Portal001/mipeGesDocRcp.cgi?CODIGO=915089447&amp;ALL_PAGE_ANT=2" TargetMode="External"/><Relationship Id="rId5" Type="http://schemas.openxmlformats.org/officeDocument/2006/relationships/hyperlink" Target="https://www1.sii.cl/cgi-bin/Portal001/mipeGesDocRcp.cgi?CODIGO=923258700&amp;ALL_PAGE_ANT=2" TargetMode="External"/><Relationship Id="rId10" Type="http://schemas.openxmlformats.org/officeDocument/2006/relationships/hyperlink" Target="https://www1.sii.cl/cgi-bin/Portal001/mipeGesDocRcp.cgi?CODIGO=915367843&amp;ALL_PAGE_ANT=2" TargetMode="External"/><Relationship Id="rId4" Type="http://schemas.openxmlformats.org/officeDocument/2006/relationships/hyperlink" Target="https://www1.sii.cl/cgi-bin/Portal001/mipeGesDocRcp.cgi?CODIGO=923907427&amp;ALL_PAGE_ANT=2" TargetMode="External"/><Relationship Id="rId9" Type="http://schemas.openxmlformats.org/officeDocument/2006/relationships/hyperlink" Target="https://www1.sii.cl/cgi-bin/Portal001/mipeGesDocRcp.cgi?CODIGO=916660259&amp;ALL_PAGE_ANT=2" TargetMode="External"/><Relationship Id="rId14" Type="http://schemas.openxmlformats.org/officeDocument/2006/relationships/hyperlink" Target="https://www1.sii.cl/cgi-bin/Portal001/mipeGesDocRcp.cgi?CODIGO=906649758&amp;ALL_PAGE_ANT=2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718457</xdr:colOff>
      <xdr:row>91</xdr:row>
      <xdr:rowOff>101600</xdr:rowOff>
    </xdr:from>
    <xdr:to>
      <xdr:col>50</xdr:col>
      <xdr:colOff>587828</xdr:colOff>
      <xdr:row>106</xdr:row>
      <xdr:rowOff>14513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D032F-9959-3B9A-1347-75B1D8B45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68185</xdr:colOff>
      <xdr:row>65</xdr:row>
      <xdr:rowOff>159687</xdr:rowOff>
    </xdr:from>
    <xdr:to>
      <xdr:col>11</xdr:col>
      <xdr:colOff>154310</xdr:colOff>
      <xdr:row>80</xdr:row>
      <xdr:rowOff>17207</xdr:rowOff>
    </xdr:to>
    <xdr:graphicFrame macro="">
      <xdr:nvGraphicFramePr>
        <xdr:cNvPr id="346115" name="Gráfico 1">
          <a:extLst>
            <a:ext uri="{FF2B5EF4-FFF2-40B4-BE49-F238E27FC236}">
              <a16:creationId xmlns:a16="http://schemas.microsoft.com/office/drawing/2014/main" id="{00000000-0008-0000-2D00-000003480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342667</xdr:colOff>
      <xdr:row>65</xdr:row>
      <xdr:rowOff>158396</xdr:rowOff>
    </xdr:from>
    <xdr:to>
      <xdr:col>17</xdr:col>
      <xdr:colOff>640957</xdr:colOff>
      <xdr:row>80</xdr:row>
      <xdr:rowOff>66688</xdr:rowOff>
    </xdr:to>
    <xdr:graphicFrame macro="">
      <xdr:nvGraphicFramePr>
        <xdr:cNvPr id="346116" name="Gráfico 2">
          <a:extLst>
            <a:ext uri="{FF2B5EF4-FFF2-40B4-BE49-F238E27FC236}">
              <a16:creationId xmlns:a16="http://schemas.microsoft.com/office/drawing/2014/main" id="{00000000-0008-0000-2D00-000004480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49060</xdr:colOff>
      <xdr:row>65</xdr:row>
      <xdr:rowOff>167309</xdr:rowOff>
    </xdr:from>
    <xdr:to>
      <xdr:col>27</xdr:col>
      <xdr:colOff>703856</xdr:colOff>
      <xdr:row>80</xdr:row>
      <xdr:rowOff>112880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481285</xdr:colOff>
      <xdr:row>82</xdr:row>
      <xdr:rowOff>26131</xdr:rowOff>
    </xdr:from>
    <xdr:to>
      <xdr:col>28</xdr:col>
      <xdr:colOff>798285</xdr:colOff>
      <xdr:row>94</xdr:row>
      <xdr:rowOff>229810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198300</xdr:colOff>
      <xdr:row>81</xdr:row>
      <xdr:rowOff>30239</xdr:rowOff>
    </xdr:from>
    <xdr:to>
      <xdr:col>17</xdr:col>
      <xdr:colOff>755952</xdr:colOff>
      <xdr:row>94</xdr:row>
      <xdr:rowOff>181429</xdr:rowOff>
    </xdr:to>
    <xdr:graphicFrame macro="">
      <xdr:nvGraphicFramePr>
        <xdr:cNvPr id="4" name="Gráfico 3" title="FUKAI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664143</xdr:colOff>
      <xdr:row>35</xdr:row>
      <xdr:rowOff>15170</xdr:rowOff>
    </xdr:from>
    <xdr:to>
      <xdr:col>25</xdr:col>
      <xdr:colOff>546022</xdr:colOff>
      <xdr:row>49</xdr:row>
      <xdr:rowOff>152747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07" name="Imagen 27" descr="https://www1.sii.cl/Portal001/button_edit.gi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3500-00000F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08" name="Imagen 28" descr="https://www1.sii.cl/Portal001/button_edit.gif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500-000010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09" name="Imagen 29" descr="https://www1.sii.cl/Portal001/button_edit.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500-000011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0" name="Imagen 30" descr="https://www1.sii.cl/Portal001/button_edit.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3500-000012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1" name="Imagen 31" descr="https://www1.sii.cl/Portal001/button_edit.gif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3500-000013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2" name="Imagen 32" descr="https://www1.sii.cl/Portal001/button_edit.gif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3500-000014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3" name="Imagen 33" descr="https://www1.sii.cl/Portal001/button_edit.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3500-000015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4" name="Imagen 34" descr="https://www1.sii.cl/Portal001/button_edit.gif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3500-000016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5" name="Imagen 35" descr="https://www1.sii.cl/Portal001/button_edit.gif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3500-000017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6" name="Imagen 36" descr="https://www1.sii.cl/Portal001/button_edit.gif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3500-000018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7" name="Imagen 37" descr="https://www1.sii.cl/Portal001/button_edit.gif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3500-000019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8" name="Imagen 38" descr="https://www1.sii.cl/Portal001/button_edit.gif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3500-00001A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125186</xdr:colOff>
      <xdr:row>22</xdr:row>
      <xdr:rowOff>119743</xdr:rowOff>
    </xdr:to>
    <xdr:pic>
      <xdr:nvPicPr>
        <xdr:cNvPr id="85019" name="Imagen 39" descr="https://www1.sii.cl/Portal001/button_edit.gif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3500-00001B4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6557"/>
          <a:ext cx="125186" cy="119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ONY%20VAIO\Cava19%20Laura%20Seyler\Tributario\Rendici&#243;n%20de%20Gast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stado%20de%20Cuenta%20FUKAI%20em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stado%20de%20Cuenta%20BM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"/>
    </sheetNames>
    <sheetDataSet>
      <sheetData sheetId="0">
        <row r="13">
          <cell r="B13">
            <v>100241</v>
          </cell>
        </row>
        <row r="27">
          <cell r="B27">
            <v>56578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Rentabilidad"/>
      <sheetName val="BIB"/>
    </sheetNames>
    <sheetDataSet>
      <sheetData sheetId="0">
        <row r="94">
          <cell r="L94">
            <v>220</v>
          </cell>
        </row>
        <row r="106">
          <cell r="L106">
            <v>210</v>
          </cell>
        </row>
        <row r="125">
          <cell r="L125">
            <v>295</v>
          </cell>
        </row>
        <row r="136">
          <cell r="L136">
            <v>140</v>
          </cell>
        </row>
        <row r="159">
          <cell r="L159">
            <v>320</v>
          </cell>
        </row>
        <row r="175">
          <cell r="L175">
            <v>310</v>
          </cell>
        </row>
        <row r="192">
          <cell r="L192">
            <v>290</v>
          </cell>
        </row>
        <row r="209">
          <cell r="L209">
            <v>290</v>
          </cell>
        </row>
        <row r="222">
          <cell r="L222">
            <v>190</v>
          </cell>
        </row>
        <row r="235">
          <cell r="L235">
            <v>190</v>
          </cell>
        </row>
        <row r="251">
          <cell r="L251">
            <v>230</v>
          </cell>
        </row>
        <row r="267">
          <cell r="L267">
            <v>260</v>
          </cell>
        </row>
        <row r="282">
          <cell r="L282">
            <v>250</v>
          </cell>
        </row>
        <row r="297">
          <cell r="L297">
            <v>260</v>
          </cell>
        </row>
        <row r="305">
          <cell r="L305"/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</sheetNames>
    <sheetDataSet>
      <sheetData sheetId="0">
        <row r="45">
          <cell r="L45">
            <v>270</v>
          </cell>
          <cell r="M45">
            <v>250</v>
          </cell>
          <cell r="N45">
            <v>20</v>
          </cell>
        </row>
        <row r="48">
          <cell r="M48" t="str">
            <v xml:space="preserve"> 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4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5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6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49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33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34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56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25"/>
  <sheetViews>
    <sheetView workbookViewId="0"/>
  </sheetViews>
  <sheetFormatPr baseColWidth="10" defaultColWidth="11.08984375" defaultRowHeight="14.5" x14ac:dyDescent="0.35"/>
  <cols>
    <col min="1" max="1" width="27.81640625" customWidth="1"/>
    <col min="2" max="2" width="8.7265625" customWidth="1"/>
    <col min="3" max="3" width="9.54296875" customWidth="1"/>
    <col min="4" max="4" width="11.7265625" customWidth="1"/>
    <col min="5" max="5" width="12.26953125" customWidth="1"/>
  </cols>
  <sheetData>
    <row r="2" spans="1:23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43753</v>
      </c>
      <c r="G2" s="1">
        <v>43754</v>
      </c>
      <c r="H2" s="1">
        <v>43755</v>
      </c>
      <c r="I2" s="1">
        <v>43756</v>
      </c>
      <c r="J2" s="1">
        <v>43757</v>
      </c>
      <c r="K2" s="1">
        <v>43758</v>
      </c>
      <c r="L2" s="1">
        <v>43759</v>
      </c>
      <c r="M2" s="1">
        <v>43760</v>
      </c>
      <c r="N2" s="1">
        <v>43761</v>
      </c>
      <c r="O2" s="1">
        <v>43762</v>
      </c>
      <c r="P2" s="1">
        <v>43763</v>
      </c>
      <c r="Q2" s="1">
        <v>43764</v>
      </c>
      <c r="R2" s="1">
        <v>43765</v>
      </c>
      <c r="S2" s="1">
        <v>43766</v>
      </c>
      <c r="T2" s="1">
        <v>43767</v>
      </c>
      <c r="U2" s="1">
        <v>43768</v>
      </c>
      <c r="V2" s="1">
        <v>43769</v>
      </c>
    </row>
    <row r="3" spans="1:23" x14ac:dyDescent="0.35">
      <c r="A3" t="s">
        <v>7</v>
      </c>
      <c r="D3" s="3"/>
      <c r="F3" s="3">
        <v>0</v>
      </c>
      <c r="G3" s="3">
        <f>+F17</f>
        <v>250000</v>
      </c>
      <c r="H3" s="3">
        <f t="shared" ref="H3:V3" si="0">+G17</f>
        <v>4335009.4000000004</v>
      </c>
      <c r="I3" s="3">
        <f t="shared" si="0"/>
        <v>2818480.3000000003</v>
      </c>
      <c r="J3" s="3">
        <f t="shared" si="0"/>
        <v>2818480.3000000003</v>
      </c>
      <c r="K3" s="3">
        <f t="shared" si="0"/>
        <v>2818480.3000000003</v>
      </c>
      <c r="L3" s="3">
        <f t="shared" si="0"/>
        <v>2818480.3000000003</v>
      </c>
      <c r="M3" s="3">
        <f t="shared" si="0"/>
        <v>2818480.3000000003</v>
      </c>
      <c r="N3" s="3">
        <f t="shared" si="0"/>
        <v>2818480.3000000003</v>
      </c>
      <c r="O3" s="3">
        <f t="shared" si="0"/>
        <v>2818480.3000000003</v>
      </c>
      <c r="P3" s="3">
        <f t="shared" si="0"/>
        <v>2818480.3000000003</v>
      </c>
      <c r="Q3" s="3">
        <f t="shared" si="0"/>
        <v>2818480.3000000003</v>
      </c>
      <c r="R3" s="3">
        <f t="shared" si="0"/>
        <v>2818480.3000000003</v>
      </c>
      <c r="S3" s="3">
        <f t="shared" si="0"/>
        <v>2818480.3000000003</v>
      </c>
      <c r="T3" s="3">
        <f t="shared" si="0"/>
        <v>2818480.3000000003</v>
      </c>
      <c r="U3" s="3">
        <f t="shared" si="0"/>
        <v>2818480.3000000003</v>
      </c>
      <c r="V3" s="3">
        <f t="shared" si="0"/>
        <v>2818480.3000000003</v>
      </c>
      <c r="W3" s="3"/>
    </row>
    <row r="4" spans="1:23" x14ac:dyDescent="0.35">
      <c r="A4" s="2" t="s">
        <v>0</v>
      </c>
      <c r="B4" s="2"/>
      <c r="C4" s="2"/>
      <c r="D4" s="3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5">
      <c r="A5" t="s">
        <v>60</v>
      </c>
      <c r="D5" s="3">
        <v>3000000</v>
      </c>
      <c r="F5" s="3">
        <v>250000</v>
      </c>
      <c r="G5" s="3">
        <v>2750000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5">
      <c r="A6" t="s">
        <v>1</v>
      </c>
      <c r="D6" s="3">
        <v>3000000</v>
      </c>
      <c r="F6" s="3"/>
      <c r="G6" s="3">
        <v>3000000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5">
      <c r="D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5">
      <c r="A8" s="2" t="s">
        <v>6</v>
      </c>
      <c r="D8" s="3"/>
      <c r="F8" s="3">
        <f>SUM(F5:F7)</f>
        <v>250000</v>
      </c>
      <c r="G8" s="3">
        <f t="shared" ref="G8:V8" si="1">SUM(G5:G7)</f>
        <v>5750000</v>
      </c>
      <c r="H8" s="3">
        <f t="shared" si="1"/>
        <v>0</v>
      </c>
      <c r="I8" s="3">
        <f t="shared" si="1"/>
        <v>0</v>
      </c>
      <c r="J8" s="3">
        <f t="shared" si="1"/>
        <v>0</v>
      </c>
      <c r="K8" s="3">
        <f t="shared" si="1"/>
        <v>0</v>
      </c>
      <c r="L8" s="3">
        <f t="shared" si="1"/>
        <v>0</v>
      </c>
      <c r="M8" s="3">
        <f t="shared" si="1"/>
        <v>0</v>
      </c>
      <c r="N8" s="3">
        <f t="shared" si="1"/>
        <v>0</v>
      </c>
      <c r="O8" s="3">
        <f t="shared" si="1"/>
        <v>0</v>
      </c>
      <c r="P8" s="3">
        <f t="shared" si="1"/>
        <v>0</v>
      </c>
      <c r="Q8" s="3">
        <f t="shared" si="1"/>
        <v>0</v>
      </c>
      <c r="R8" s="3">
        <f t="shared" si="1"/>
        <v>0</v>
      </c>
      <c r="S8" s="3">
        <f t="shared" si="1"/>
        <v>0</v>
      </c>
      <c r="T8" s="3">
        <f t="shared" si="1"/>
        <v>0</v>
      </c>
      <c r="U8" s="3">
        <f t="shared" si="1"/>
        <v>0</v>
      </c>
      <c r="V8" s="3">
        <f t="shared" si="1"/>
        <v>0</v>
      </c>
      <c r="W8" s="3"/>
    </row>
    <row r="9" spans="1:23" x14ac:dyDescent="0.35">
      <c r="A9" s="2"/>
      <c r="D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5">
      <c r="A10" s="2" t="s">
        <v>2</v>
      </c>
      <c r="D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5">
      <c r="A11" t="s">
        <v>3</v>
      </c>
      <c r="B11" s="63" t="s">
        <v>11</v>
      </c>
      <c r="C11" s="5">
        <v>43754</v>
      </c>
      <c r="D11" s="3">
        <v>1600990</v>
      </c>
      <c r="E11" t="s">
        <v>4</v>
      </c>
      <c r="F11" s="3"/>
      <c r="G11" s="3">
        <v>1600990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5">
      <c r="A12" s="4" t="s">
        <v>35</v>
      </c>
      <c r="B12" t="s">
        <v>12</v>
      </c>
      <c r="D12" s="3">
        <v>1500000</v>
      </c>
      <c r="E12" t="s">
        <v>5</v>
      </c>
      <c r="F12" s="3"/>
      <c r="H12" s="3">
        <v>1500000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5">
      <c r="A13" s="4" t="s">
        <v>10</v>
      </c>
      <c r="B13" s="68" t="s">
        <v>73</v>
      </c>
      <c r="D13" s="3">
        <v>64000</v>
      </c>
      <c r="E13" t="s">
        <v>5</v>
      </c>
      <c r="F13" s="3"/>
      <c r="G13" s="3">
        <f>48740*1.19+6000</f>
        <v>64000.6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5">
      <c r="A14" t="s">
        <v>14</v>
      </c>
      <c r="B14" s="63" t="s">
        <v>16</v>
      </c>
      <c r="C14" s="5">
        <v>43755</v>
      </c>
      <c r="D14" s="3">
        <v>16529</v>
      </c>
      <c r="E14" t="s">
        <v>4</v>
      </c>
      <c r="F14" s="3"/>
      <c r="G14" s="3"/>
      <c r="H14" s="3">
        <f>13890*1.19</f>
        <v>16529.099999999999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5">
      <c r="A15" t="s">
        <v>13</v>
      </c>
      <c r="D15" s="3" t="s">
        <v>13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5">
      <c r="A16" s="2" t="s">
        <v>9</v>
      </c>
      <c r="D16" s="3" t="s">
        <v>13</v>
      </c>
      <c r="F16" s="3">
        <f>SUM(F11:F15)</f>
        <v>0</v>
      </c>
      <c r="G16" s="3">
        <f t="shared" ref="G16:V16" si="2">SUM(G11:G15)</f>
        <v>1664990.6</v>
      </c>
      <c r="H16" s="3">
        <f t="shared" si="2"/>
        <v>1516529.1</v>
      </c>
      <c r="I16" s="3">
        <f t="shared" si="2"/>
        <v>0</v>
      </c>
      <c r="J16" s="3">
        <f t="shared" si="2"/>
        <v>0</v>
      </c>
      <c r="K16" s="3">
        <f t="shared" si="2"/>
        <v>0</v>
      </c>
      <c r="L16" s="3">
        <f t="shared" si="2"/>
        <v>0</v>
      </c>
      <c r="M16" s="3">
        <f t="shared" si="2"/>
        <v>0</v>
      </c>
      <c r="N16" s="3">
        <f t="shared" si="2"/>
        <v>0</v>
      </c>
      <c r="O16" s="3">
        <f t="shared" si="2"/>
        <v>0</v>
      </c>
      <c r="P16" s="3">
        <f t="shared" si="2"/>
        <v>0</v>
      </c>
      <c r="Q16" s="3">
        <f t="shared" si="2"/>
        <v>0</v>
      </c>
      <c r="R16" s="3">
        <f t="shared" si="2"/>
        <v>0</v>
      </c>
      <c r="S16" s="3">
        <f t="shared" si="2"/>
        <v>0</v>
      </c>
      <c r="T16" s="3">
        <f t="shared" si="2"/>
        <v>0</v>
      </c>
      <c r="U16" s="3">
        <f t="shared" si="2"/>
        <v>0</v>
      </c>
      <c r="V16" s="3">
        <f t="shared" si="2"/>
        <v>0</v>
      </c>
      <c r="W16" s="3"/>
    </row>
    <row r="17" spans="1:23" x14ac:dyDescent="0.35">
      <c r="A17" t="s">
        <v>8</v>
      </c>
      <c r="D17" s="3" t="s">
        <v>13</v>
      </c>
      <c r="F17" s="3">
        <f>+F8+F3-F16</f>
        <v>250000</v>
      </c>
      <c r="G17" s="3">
        <f>+G3+G8-G16</f>
        <v>4335009.4000000004</v>
      </c>
      <c r="H17" s="3">
        <f t="shared" ref="H17:V17" si="3">+H3+H8-H16</f>
        <v>2818480.3000000003</v>
      </c>
      <c r="I17" s="3">
        <f t="shared" si="3"/>
        <v>2818480.3000000003</v>
      </c>
      <c r="J17" s="3">
        <f t="shared" si="3"/>
        <v>2818480.3000000003</v>
      </c>
      <c r="K17" s="3">
        <f t="shared" si="3"/>
        <v>2818480.3000000003</v>
      </c>
      <c r="L17" s="3">
        <f t="shared" si="3"/>
        <v>2818480.3000000003</v>
      </c>
      <c r="M17" s="3">
        <f t="shared" si="3"/>
        <v>2818480.3000000003</v>
      </c>
      <c r="N17" s="3">
        <f t="shared" si="3"/>
        <v>2818480.3000000003</v>
      </c>
      <c r="O17" s="3">
        <f t="shared" si="3"/>
        <v>2818480.3000000003</v>
      </c>
      <c r="P17" s="3">
        <f t="shared" si="3"/>
        <v>2818480.3000000003</v>
      </c>
      <c r="Q17" s="3">
        <f t="shared" si="3"/>
        <v>2818480.3000000003</v>
      </c>
      <c r="R17" s="3">
        <f t="shared" si="3"/>
        <v>2818480.3000000003</v>
      </c>
      <c r="S17" s="3">
        <f t="shared" si="3"/>
        <v>2818480.3000000003</v>
      </c>
      <c r="T17" s="3">
        <f t="shared" si="3"/>
        <v>2818480.3000000003</v>
      </c>
      <c r="U17" s="3">
        <f t="shared" si="3"/>
        <v>2818480.3000000003</v>
      </c>
      <c r="V17" s="3">
        <f t="shared" si="3"/>
        <v>2818480.3000000003</v>
      </c>
      <c r="W17" s="3"/>
    </row>
    <row r="18" spans="1:23" x14ac:dyDescent="0.35"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5"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5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5">
      <c r="F21" s="3"/>
      <c r="G21" s="3" t="s">
        <v>13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5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5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35"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41"/>
  <sheetViews>
    <sheetView workbookViewId="0">
      <selection activeCell="A22" sqref="A22"/>
    </sheetView>
  </sheetViews>
  <sheetFormatPr baseColWidth="10" defaultColWidth="11.08984375" defaultRowHeight="14.5" x14ac:dyDescent="0.35"/>
  <cols>
    <col min="1" max="1" width="31" customWidth="1"/>
    <col min="2" max="2" width="11.7265625" customWidth="1"/>
    <col min="3" max="4" width="13.26953125" customWidth="1"/>
    <col min="5" max="5" width="17.54296875" customWidth="1"/>
  </cols>
  <sheetData>
    <row r="2" spans="1:35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43770</v>
      </c>
      <c r="G2" s="1">
        <v>43771</v>
      </c>
      <c r="H2" s="1">
        <v>43772</v>
      </c>
      <c r="I2" s="1">
        <v>43773</v>
      </c>
      <c r="J2" s="1">
        <v>43774</v>
      </c>
      <c r="K2" s="1">
        <v>43775</v>
      </c>
      <c r="L2" s="1">
        <v>43776</v>
      </c>
      <c r="M2" s="1">
        <v>43777</v>
      </c>
      <c r="N2" s="1">
        <v>43778</v>
      </c>
      <c r="O2" s="1">
        <v>43779</v>
      </c>
      <c r="P2" s="1">
        <v>43780</v>
      </c>
      <c r="Q2" s="1">
        <v>43781</v>
      </c>
      <c r="R2" s="1">
        <v>43782</v>
      </c>
      <c r="S2" s="1">
        <v>43783</v>
      </c>
      <c r="T2" s="1">
        <v>43784</v>
      </c>
      <c r="U2" s="1">
        <v>43785</v>
      </c>
      <c r="V2" s="1">
        <v>43786</v>
      </c>
      <c r="W2" s="1">
        <v>43787</v>
      </c>
      <c r="X2" s="1">
        <v>43788</v>
      </c>
      <c r="Y2" s="1">
        <v>43789</v>
      </c>
      <c r="Z2" s="1">
        <v>43790</v>
      </c>
      <c r="AA2" s="1">
        <v>43791</v>
      </c>
      <c r="AB2" s="1">
        <v>43792</v>
      </c>
      <c r="AC2" s="1">
        <v>43793</v>
      </c>
      <c r="AD2" s="1">
        <v>43794</v>
      </c>
      <c r="AE2" s="1">
        <v>43795</v>
      </c>
      <c r="AF2" s="1">
        <v>43796</v>
      </c>
      <c r="AG2" s="1">
        <v>43797</v>
      </c>
      <c r="AH2" s="1">
        <v>43798</v>
      </c>
      <c r="AI2" s="1">
        <v>43799</v>
      </c>
    </row>
    <row r="3" spans="1:35" x14ac:dyDescent="0.35">
      <c r="A3" t="s">
        <v>7</v>
      </c>
      <c r="F3" s="3">
        <f>+'OCT-19'!V17</f>
        <v>2818480.3000000003</v>
      </c>
      <c r="G3" s="3">
        <f>+F27</f>
        <v>2818480.3000000003</v>
      </c>
      <c r="H3" s="3">
        <f t="shared" ref="H3:V3" si="0">+G27</f>
        <v>2818480.3000000003</v>
      </c>
      <c r="I3" s="3">
        <f t="shared" si="0"/>
        <v>2818480.3000000003</v>
      </c>
      <c r="J3" s="3">
        <f t="shared" si="0"/>
        <v>2818480.3000000003</v>
      </c>
      <c r="K3" s="3">
        <f t="shared" si="0"/>
        <v>2318480.3000000003</v>
      </c>
      <c r="L3" s="3">
        <f t="shared" si="0"/>
        <v>2318480.3000000003</v>
      </c>
      <c r="M3" s="3">
        <f t="shared" si="0"/>
        <v>2318480.3000000003</v>
      </c>
      <c r="N3" s="3">
        <f t="shared" si="0"/>
        <v>2296480.3000000003</v>
      </c>
      <c r="O3" s="3">
        <f t="shared" si="0"/>
        <v>2296480.3000000003</v>
      </c>
      <c r="P3" s="3">
        <f t="shared" si="0"/>
        <v>2296480.3000000003</v>
      </c>
      <c r="Q3" s="3">
        <f t="shared" si="0"/>
        <v>2296480.3000000003</v>
      </c>
      <c r="R3" s="3">
        <f t="shared" si="0"/>
        <v>2296480.3000000003</v>
      </c>
      <c r="S3" s="3">
        <f t="shared" si="0"/>
        <v>2296480.3000000003</v>
      </c>
      <c r="T3" s="3">
        <f t="shared" si="0"/>
        <v>2296480.3000000003</v>
      </c>
      <c r="U3" s="3">
        <f t="shared" si="0"/>
        <v>2296480.3000000003</v>
      </c>
      <c r="V3" s="3">
        <f t="shared" si="0"/>
        <v>2296480.3000000003</v>
      </c>
      <c r="W3" s="3">
        <f t="shared" ref="W3:AI3" si="1">+V27</f>
        <v>2296480.3000000003</v>
      </c>
      <c r="X3" s="3">
        <f t="shared" si="1"/>
        <v>2296480.3000000003</v>
      </c>
      <c r="Y3" s="3">
        <f t="shared" si="1"/>
        <v>2096480.3000000003</v>
      </c>
      <c r="Z3" s="3">
        <f t="shared" si="1"/>
        <v>2096480.3000000003</v>
      </c>
      <c r="AA3" s="3">
        <f t="shared" si="1"/>
        <v>1992943.3000000003</v>
      </c>
      <c r="AB3" s="3">
        <f t="shared" si="1"/>
        <v>1854943.3000000003</v>
      </c>
      <c r="AC3" s="3">
        <f t="shared" si="1"/>
        <v>1854943.3000000003</v>
      </c>
      <c r="AD3" s="3">
        <f t="shared" si="1"/>
        <v>1854943.3000000003</v>
      </c>
      <c r="AE3" s="3">
        <f t="shared" si="1"/>
        <v>1854943.3000000003</v>
      </c>
      <c r="AF3" s="3">
        <f t="shared" si="1"/>
        <v>1854943.3000000003</v>
      </c>
      <c r="AG3" s="3">
        <f t="shared" si="1"/>
        <v>1470292.3000000003</v>
      </c>
      <c r="AH3" s="3">
        <f t="shared" si="1"/>
        <v>1470292.3000000003</v>
      </c>
      <c r="AI3" s="3">
        <f t="shared" si="1"/>
        <v>1470292.3000000003</v>
      </c>
    </row>
    <row r="4" spans="1:35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3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x14ac:dyDescent="0.35">
      <c r="A6" t="s">
        <v>37</v>
      </c>
      <c r="B6" t="s">
        <v>39</v>
      </c>
      <c r="C6" s="5">
        <v>43790</v>
      </c>
      <c r="D6" s="3">
        <v>160200</v>
      </c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35">
      <c r="A7" t="s">
        <v>38</v>
      </c>
      <c r="B7" t="s">
        <v>40</v>
      </c>
      <c r="C7" s="5">
        <v>43799</v>
      </c>
      <c r="D7" s="3">
        <v>267000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x14ac:dyDescent="0.35">
      <c r="A8" t="s">
        <v>60</v>
      </c>
      <c r="D8" s="3" t="s">
        <v>13</v>
      </c>
      <c r="F8" s="3">
        <v>0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x14ac:dyDescent="0.35">
      <c r="A9" t="s">
        <v>1</v>
      </c>
      <c r="F9" s="3"/>
      <c r="G9" s="3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x14ac:dyDescent="0.35"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x14ac:dyDescent="0.35">
      <c r="A11" s="2" t="s">
        <v>6</v>
      </c>
      <c r="F11" s="3">
        <f>SUM(F8:F10)</f>
        <v>0</v>
      </c>
      <c r="G11" s="3">
        <f t="shared" ref="G11:V11" si="2">SUM(G8:G10)</f>
        <v>0</v>
      </c>
      <c r="H11" s="3">
        <f t="shared" si="2"/>
        <v>0</v>
      </c>
      <c r="I11" s="3">
        <f t="shared" si="2"/>
        <v>0</v>
      </c>
      <c r="J11" s="3">
        <f t="shared" si="2"/>
        <v>0</v>
      </c>
      <c r="K11" s="3">
        <f t="shared" si="2"/>
        <v>0</v>
      </c>
      <c r="L11" s="3">
        <f t="shared" si="2"/>
        <v>0</v>
      </c>
      <c r="M11" s="3">
        <f t="shared" si="2"/>
        <v>0</v>
      </c>
      <c r="N11" s="3">
        <f t="shared" si="2"/>
        <v>0</v>
      </c>
      <c r="O11" s="3">
        <f t="shared" si="2"/>
        <v>0</v>
      </c>
      <c r="P11" s="3">
        <f t="shared" si="2"/>
        <v>0</v>
      </c>
      <c r="Q11" s="3">
        <f t="shared" si="2"/>
        <v>0</v>
      </c>
      <c r="R11" s="3">
        <f t="shared" si="2"/>
        <v>0</v>
      </c>
      <c r="S11" s="3">
        <f t="shared" si="2"/>
        <v>0</v>
      </c>
      <c r="T11" s="3">
        <f t="shared" si="2"/>
        <v>0</v>
      </c>
      <c r="U11" s="3">
        <f t="shared" si="2"/>
        <v>0</v>
      </c>
      <c r="V11" s="3">
        <f t="shared" si="2"/>
        <v>0</v>
      </c>
      <c r="W11" s="3">
        <f t="shared" ref="W11:AI11" si="3">SUM(W8:W10)</f>
        <v>0</v>
      </c>
      <c r="X11" s="3">
        <f t="shared" si="3"/>
        <v>0</v>
      </c>
      <c r="Y11" s="3">
        <f t="shared" si="3"/>
        <v>0</v>
      </c>
      <c r="Z11" s="3">
        <f t="shared" si="3"/>
        <v>0</v>
      </c>
      <c r="AA11" s="3">
        <f t="shared" si="3"/>
        <v>0</v>
      </c>
      <c r="AB11" s="3">
        <f t="shared" si="3"/>
        <v>0</v>
      </c>
      <c r="AC11" s="3">
        <f t="shared" si="3"/>
        <v>0</v>
      </c>
      <c r="AD11" s="3">
        <f t="shared" si="3"/>
        <v>0</v>
      </c>
      <c r="AE11" s="3">
        <f t="shared" si="3"/>
        <v>0</v>
      </c>
      <c r="AF11" s="3">
        <f t="shared" si="3"/>
        <v>0</v>
      </c>
      <c r="AG11" s="3">
        <f t="shared" si="3"/>
        <v>0</v>
      </c>
      <c r="AH11" s="3">
        <f t="shared" si="3"/>
        <v>0</v>
      </c>
      <c r="AI11" s="3">
        <f t="shared" si="3"/>
        <v>0</v>
      </c>
    </row>
    <row r="12" spans="1:35" x14ac:dyDescent="0.35">
      <c r="A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35">
      <c r="A13" s="2" t="s">
        <v>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35">
      <c r="A14" t="s">
        <v>13</v>
      </c>
      <c r="B14" t="s">
        <v>13</v>
      </c>
      <c r="E14" t="s">
        <v>13</v>
      </c>
      <c r="F14" s="3"/>
      <c r="G14" s="3" t="s">
        <v>13</v>
      </c>
      <c r="H14" s="3"/>
      <c r="I14" s="3"/>
      <c r="J14" s="3"/>
      <c r="K14" s="3"/>
      <c r="L14" s="3"/>
      <c r="M14" s="3"/>
      <c r="N14" s="3"/>
      <c r="O14" s="3" t="s">
        <v>13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x14ac:dyDescent="0.35">
      <c r="A15" s="4" t="s">
        <v>36</v>
      </c>
      <c r="B15" t="s">
        <v>34</v>
      </c>
      <c r="D15" s="3">
        <v>500000</v>
      </c>
      <c r="E15" t="s">
        <v>5</v>
      </c>
      <c r="F15" s="3"/>
      <c r="H15" s="3" t="s">
        <v>13</v>
      </c>
      <c r="J15" s="3">
        <v>500000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x14ac:dyDescent="0.35">
      <c r="A16" s="4" t="s">
        <v>17</v>
      </c>
      <c r="B16" s="63" t="s">
        <v>20</v>
      </c>
      <c r="C16" s="5">
        <v>43777</v>
      </c>
      <c r="D16" s="3">
        <v>22000</v>
      </c>
      <c r="E16" t="s">
        <v>24</v>
      </c>
      <c r="F16" s="3"/>
      <c r="G16" s="3" t="s">
        <v>13</v>
      </c>
      <c r="H16" s="3"/>
      <c r="I16" s="3"/>
      <c r="J16" s="3"/>
      <c r="K16" s="3"/>
      <c r="L16" s="3"/>
      <c r="M16" s="3">
        <v>22000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35">
      <c r="A17" t="s">
        <v>21</v>
      </c>
      <c r="B17" s="63" t="s">
        <v>19</v>
      </c>
      <c r="C17" s="5">
        <v>43780</v>
      </c>
      <c r="D17" s="3">
        <f>559300</f>
        <v>559300</v>
      </c>
      <c r="E17" t="s">
        <v>28</v>
      </c>
      <c r="F17" s="3"/>
      <c r="G17" s="3"/>
      <c r="H17" s="3" t="s">
        <v>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 t="s">
        <v>13</v>
      </c>
      <c r="U17" s="3"/>
      <c r="V17" s="3"/>
      <c r="W17" s="3"/>
      <c r="X17" s="3">
        <v>200000</v>
      </c>
      <c r="Y17" s="3"/>
      <c r="Z17" s="3">
        <v>79650</v>
      </c>
      <c r="AA17" s="3"/>
      <c r="AC17" s="3"/>
      <c r="AD17" s="3"/>
      <c r="AE17" s="3"/>
      <c r="AF17" s="3">
        <f>559300/2</f>
        <v>279650</v>
      </c>
      <c r="AG17" s="3"/>
      <c r="AH17" s="3"/>
      <c r="AI17" s="3"/>
    </row>
    <row r="18" spans="1:35" x14ac:dyDescent="0.35">
      <c r="A18" t="s">
        <v>56</v>
      </c>
      <c r="B18" s="63" t="s">
        <v>55</v>
      </c>
      <c r="C18" s="5">
        <v>43789</v>
      </c>
      <c r="D18" s="3">
        <v>125000</v>
      </c>
      <c r="E18" t="s">
        <v>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C18" s="3"/>
      <c r="AD18" s="3"/>
      <c r="AE18" s="3"/>
      <c r="AF18" s="3"/>
      <c r="AG18" s="3"/>
      <c r="AH18" s="3"/>
      <c r="AI18" s="3"/>
    </row>
    <row r="19" spans="1:35" x14ac:dyDescent="0.35">
      <c r="A19" t="s">
        <v>22</v>
      </c>
      <c r="B19" s="63" t="s">
        <v>23</v>
      </c>
      <c r="C19" s="5">
        <v>43790</v>
      </c>
      <c r="D19" s="3">
        <v>12582</v>
      </c>
      <c r="E19" t="s">
        <v>24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12582</v>
      </c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35">
      <c r="A20" t="s">
        <v>25</v>
      </c>
      <c r="B20" s="63" t="s">
        <v>57</v>
      </c>
      <c r="C20" s="5">
        <v>43789</v>
      </c>
      <c r="D20" s="3">
        <v>11305</v>
      </c>
      <c r="E20" t="s">
        <v>26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11305</v>
      </c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35">
      <c r="A21" t="s">
        <v>29</v>
      </c>
      <c r="B21" s="63" t="s">
        <v>30</v>
      </c>
      <c r="C21" s="5">
        <v>43791</v>
      </c>
      <c r="D21" s="7">
        <v>138000</v>
      </c>
      <c r="E21" t="s">
        <v>24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138000</v>
      </c>
      <c r="AB21" s="3"/>
      <c r="AC21" s="3"/>
      <c r="AD21" s="3"/>
      <c r="AE21" s="3"/>
      <c r="AF21" s="3"/>
      <c r="AG21" s="3"/>
      <c r="AH21" s="3"/>
      <c r="AI21" s="3"/>
    </row>
    <row r="22" spans="1:35" x14ac:dyDescent="0.35">
      <c r="A22" t="s">
        <v>32</v>
      </c>
      <c r="B22" s="63" t="s">
        <v>31</v>
      </c>
      <c r="C22" s="5">
        <v>43796</v>
      </c>
      <c r="D22" s="7">
        <v>4760</v>
      </c>
      <c r="E22" s="3" t="s">
        <v>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>
        <v>4760</v>
      </c>
      <c r="AG22" s="3"/>
      <c r="AH22" s="3"/>
      <c r="AI22" s="3"/>
    </row>
    <row r="23" spans="1:35" x14ac:dyDescent="0.35">
      <c r="A23" t="s">
        <v>64</v>
      </c>
      <c r="B23" s="63" t="s">
        <v>63</v>
      </c>
      <c r="C23" s="5">
        <v>43798</v>
      </c>
      <c r="D23" s="3">
        <f>179210*1.395</f>
        <v>249997.95</v>
      </c>
      <c r="E23" s="3" t="s">
        <v>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0</v>
      </c>
      <c r="AI23" s="3"/>
    </row>
    <row r="24" spans="1:35" x14ac:dyDescent="0.35">
      <c r="A24" s="4" t="s">
        <v>10</v>
      </c>
      <c r="B24" s="63" t="s">
        <v>73</v>
      </c>
      <c r="C24" s="5">
        <v>43799</v>
      </c>
      <c r="D24" s="3">
        <v>64000</v>
      </c>
      <c r="E24" s="3" t="s">
        <v>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x14ac:dyDescent="0.35">
      <c r="A25" t="s">
        <v>33</v>
      </c>
      <c r="D25" s="3">
        <f>100241+56578</f>
        <v>156819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>
        <f>+[1]Nov!$B$13</f>
        <v>100241</v>
      </c>
      <c r="AG25" s="3"/>
      <c r="AH25" s="3"/>
      <c r="AI25" s="3">
        <f>+[1]Nov!$B$27</f>
        <v>56578</v>
      </c>
    </row>
    <row r="26" spans="1:35" x14ac:dyDescent="0.35">
      <c r="A26" s="2" t="s">
        <v>9</v>
      </c>
      <c r="D26" s="3"/>
      <c r="F26" s="3">
        <f>SUM(F14:F25)</f>
        <v>0</v>
      </c>
      <c r="G26" s="3">
        <f t="shared" ref="G26:AI26" si="4">SUM(G14:G25)</f>
        <v>0</v>
      </c>
      <c r="H26" s="3">
        <f t="shared" si="4"/>
        <v>0</v>
      </c>
      <c r="I26" s="3">
        <f t="shared" si="4"/>
        <v>0</v>
      </c>
      <c r="J26" s="3">
        <f t="shared" si="4"/>
        <v>500000</v>
      </c>
      <c r="K26" s="3">
        <f t="shared" si="4"/>
        <v>0</v>
      </c>
      <c r="L26" s="3">
        <f t="shared" si="4"/>
        <v>0</v>
      </c>
      <c r="M26" s="3">
        <f t="shared" si="4"/>
        <v>22000</v>
      </c>
      <c r="N26" s="3">
        <f t="shared" si="4"/>
        <v>0</v>
      </c>
      <c r="O26" s="3">
        <f t="shared" si="4"/>
        <v>0</v>
      </c>
      <c r="P26" s="3">
        <f t="shared" si="4"/>
        <v>0</v>
      </c>
      <c r="Q26" s="3">
        <f t="shared" si="4"/>
        <v>0</v>
      </c>
      <c r="R26" s="3">
        <f t="shared" si="4"/>
        <v>0</v>
      </c>
      <c r="S26" s="3">
        <f t="shared" si="4"/>
        <v>0</v>
      </c>
      <c r="T26" s="3">
        <f t="shared" si="4"/>
        <v>0</v>
      </c>
      <c r="U26" s="3">
        <f t="shared" si="4"/>
        <v>0</v>
      </c>
      <c r="V26" s="3">
        <f t="shared" si="4"/>
        <v>0</v>
      </c>
      <c r="W26" s="3">
        <f t="shared" si="4"/>
        <v>0</v>
      </c>
      <c r="X26" s="3">
        <f t="shared" si="4"/>
        <v>200000</v>
      </c>
      <c r="Y26" s="3">
        <f t="shared" si="4"/>
        <v>0</v>
      </c>
      <c r="Z26" s="3">
        <f t="shared" si="4"/>
        <v>103537</v>
      </c>
      <c r="AA26" s="3">
        <f t="shared" si="4"/>
        <v>138000</v>
      </c>
      <c r="AB26" s="3">
        <f t="shared" si="4"/>
        <v>0</v>
      </c>
      <c r="AC26" s="3">
        <f t="shared" si="4"/>
        <v>0</v>
      </c>
      <c r="AD26" s="3">
        <f t="shared" si="4"/>
        <v>0</v>
      </c>
      <c r="AE26" s="3">
        <f t="shared" si="4"/>
        <v>0</v>
      </c>
      <c r="AF26" s="3">
        <f t="shared" si="4"/>
        <v>384651</v>
      </c>
      <c r="AG26" s="3">
        <f t="shared" si="4"/>
        <v>0</v>
      </c>
      <c r="AH26" s="3">
        <f t="shared" si="4"/>
        <v>0</v>
      </c>
      <c r="AI26" s="3">
        <f t="shared" si="4"/>
        <v>56578</v>
      </c>
    </row>
    <row r="27" spans="1:35" x14ac:dyDescent="0.35">
      <c r="A27" t="s">
        <v>8</v>
      </c>
      <c r="D27" s="3"/>
      <c r="F27" s="3">
        <f>+F11+F3-F26</f>
        <v>2818480.3000000003</v>
      </c>
      <c r="G27" s="3">
        <f t="shared" ref="G27:AI27" si="5">+G3+G11-G26</f>
        <v>2818480.3000000003</v>
      </c>
      <c r="H27" s="3">
        <f t="shared" si="5"/>
        <v>2818480.3000000003</v>
      </c>
      <c r="I27" s="3">
        <f t="shared" si="5"/>
        <v>2818480.3000000003</v>
      </c>
      <c r="J27" s="3">
        <f t="shared" si="5"/>
        <v>2318480.3000000003</v>
      </c>
      <c r="K27" s="3">
        <f t="shared" si="5"/>
        <v>2318480.3000000003</v>
      </c>
      <c r="L27" s="3">
        <f t="shared" si="5"/>
        <v>2318480.3000000003</v>
      </c>
      <c r="M27" s="3">
        <f t="shared" si="5"/>
        <v>2296480.3000000003</v>
      </c>
      <c r="N27" s="3">
        <f t="shared" si="5"/>
        <v>2296480.3000000003</v>
      </c>
      <c r="O27" s="3">
        <f t="shared" si="5"/>
        <v>2296480.3000000003</v>
      </c>
      <c r="P27" s="3">
        <f t="shared" si="5"/>
        <v>2296480.3000000003</v>
      </c>
      <c r="Q27" s="3">
        <f t="shared" si="5"/>
        <v>2296480.3000000003</v>
      </c>
      <c r="R27" s="3">
        <f t="shared" si="5"/>
        <v>2296480.3000000003</v>
      </c>
      <c r="S27" s="3">
        <f t="shared" si="5"/>
        <v>2296480.3000000003</v>
      </c>
      <c r="T27" s="3">
        <f t="shared" si="5"/>
        <v>2296480.3000000003</v>
      </c>
      <c r="U27" s="3">
        <f t="shared" si="5"/>
        <v>2296480.3000000003</v>
      </c>
      <c r="V27" s="3">
        <f t="shared" si="5"/>
        <v>2296480.3000000003</v>
      </c>
      <c r="W27" s="3">
        <f t="shared" si="5"/>
        <v>2296480.3000000003</v>
      </c>
      <c r="X27" s="3">
        <f t="shared" si="5"/>
        <v>2096480.3000000003</v>
      </c>
      <c r="Y27" s="3">
        <f t="shared" si="5"/>
        <v>2096480.3000000003</v>
      </c>
      <c r="Z27" s="3">
        <f t="shared" si="5"/>
        <v>1992943.3000000003</v>
      </c>
      <c r="AA27" s="3">
        <f t="shared" si="5"/>
        <v>1854943.3000000003</v>
      </c>
      <c r="AB27" s="3">
        <f t="shared" si="5"/>
        <v>1854943.3000000003</v>
      </c>
      <c r="AC27" s="3">
        <f t="shared" si="5"/>
        <v>1854943.3000000003</v>
      </c>
      <c r="AD27" s="3">
        <f t="shared" si="5"/>
        <v>1854943.3000000003</v>
      </c>
      <c r="AE27" s="3">
        <f t="shared" si="5"/>
        <v>1854943.3000000003</v>
      </c>
      <c r="AF27" s="3">
        <f t="shared" si="5"/>
        <v>1470292.3000000003</v>
      </c>
      <c r="AG27" s="3">
        <f t="shared" si="5"/>
        <v>1470292.3000000003</v>
      </c>
      <c r="AH27" s="3">
        <f t="shared" si="5"/>
        <v>1470292.3000000003</v>
      </c>
      <c r="AI27" s="3">
        <f t="shared" si="5"/>
        <v>1413714.3000000003</v>
      </c>
    </row>
    <row r="28" spans="1:35" x14ac:dyDescent="0.35">
      <c r="D28" s="3">
        <f>+D16+D17+D18+D19+D20+D21+D22</f>
        <v>872947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5" x14ac:dyDescent="0.35">
      <c r="D29" s="3">
        <f>+D28/1.19</f>
        <v>733568.90756302525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>2296481+3508</f>
        <v>2299989</v>
      </c>
      <c r="S29" s="3" t="s">
        <v>13</v>
      </c>
      <c r="T29" s="3"/>
      <c r="U29" s="3"/>
      <c r="V29" s="3"/>
      <c r="W29" s="3"/>
    </row>
    <row r="30" spans="1:35" x14ac:dyDescent="0.35">
      <c r="A30" s="5" t="s">
        <v>13</v>
      </c>
      <c r="D30" s="3">
        <f>+D28-D29</f>
        <v>139378.09243697475</v>
      </c>
      <c r="G30" t="s">
        <v>13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>+R29-R27</f>
        <v>3508.6999999997206</v>
      </c>
      <c r="S30" s="3"/>
      <c r="T30" s="3"/>
      <c r="U30" s="3"/>
      <c r="V30" s="3"/>
      <c r="W30" s="3"/>
    </row>
    <row r="31" spans="1:35" x14ac:dyDescent="0.35">
      <c r="D31" s="3"/>
      <c r="F31" s="3"/>
      <c r="G31" s="3" t="s">
        <v>13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>+M16+'OCT-19'!D14+'OCT-19'!D13</f>
        <v>102529</v>
      </c>
      <c r="S31" s="3"/>
      <c r="T31" s="3"/>
      <c r="U31" s="3"/>
      <c r="V31" s="3"/>
      <c r="W31" s="3"/>
    </row>
    <row r="32" spans="1:35" x14ac:dyDescent="0.35">
      <c r="D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4:23" x14ac:dyDescent="0.35">
      <c r="D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4:23" x14ac:dyDescent="0.35">
      <c r="D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4:23" x14ac:dyDescent="0.35">
      <c r="D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4:23" x14ac:dyDescent="0.35">
      <c r="D36" s="3"/>
    </row>
    <row r="37" spans="4:23" x14ac:dyDescent="0.35">
      <c r="D37" s="3"/>
    </row>
    <row r="38" spans="4:23" x14ac:dyDescent="0.35">
      <c r="D38" s="3"/>
    </row>
    <row r="39" spans="4:23" x14ac:dyDescent="0.35">
      <c r="D39" s="3"/>
    </row>
    <row r="40" spans="4:23" x14ac:dyDescent="0.35">
      <c r="D40" s="3"/>
    </row>
    <row r="41" spans="4:23" x14ac:dyDescent="0.35">
      <c r="D41" s="3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40"/>
  <sheetViews>
    <sheetView workbookViewId="0">
      <selection activeCell="A26" sqref="A26"/>
    </sheetView>
  </sheetViews>
  <sheetFormatPr baseColWidth="10" defaultColWidth="11.08984375" defaultRowHeight="14.5" x14ac:dyDescent="0.35"/>
  <cols>
    <col min="1" max="1" width="40.7265625" customWidth="1"/>
    <col min="2" max="2" width="8.81640625" customWidth="1"/>
    <col min="3" max="3" width="9.36328125" customWidth="1"/>
    <col min="4" max="4" width="11.26953125" customWidth="1"/>
    <col min="5" max="5" width="12.36328125" customWidth="1"/>
    <col min="11" max="11" width="11.36328125" customWidth="1"/>
    <col min="14" max="14" width="13.26953125" customWidth="1"/>
    <col min="23" max="23" width="13" customWidth="1"/>
    <col min="28" max="28" width="12.7265625" customWidth="1"/>
    <col min="30" max="30" width="13.7265625" customWidth="1"/>
    <col min="32" max="32" width="13.7265625" customWidth="1"/>
    <col min="33" max="33" width="12.7265625" customWidth="1"/>
    <col min="34" max="34" width="13" customWidth="1"/>
    <col min="35" max="35" width="13.1796875" customWidth="1"/>
    <col min="36" max="36" width="13.54296875" customWidth="1"/>
  </cols>
  <sheetData>
    <row r="2" spans="1:36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43800</v>
      </c>
      <c r="G2" s="1">
        <v>43801</v>
      </c>
      <c r="H2" s="1">
        <v>43802</v>
      </c>
      <c r="I2" s="1">
        <v>43803</v>
      </c>
      <c r="J2" s="1">
        <v>43804</v>
      </c>
      <c r="K2" s="1">
        <v>43805</v>
      </c>
      <c r="L2" s="1">
        <v>43806</v>
      </c>
      <c r="M2" s="1">
        <v>43807</v>
      </c>
      <c r="N2" s="1">
        <v>43808</v>
      </c>
      <c r="O2" s="1">
        <v>43809</v>
      </c>
      <c r="P2" s="1">
        <v>43810</v>
      </c>
      <c r="Q2" s="1">
        <v>43811</v>
      </c>
      <c r="R2" s="1">
        <v>43812</v>
      </c>
      <c r="S2" s="1">
        <v>43813</v>
      </c>
      <c r="T2" s="1">
        <v>43814</v>
      </c>
      <c r="U2" s="1">
        <v>43815</v>
      </c>
      <c r="V2" s="1">
        <v>43816</v>
      </c>
      <c r="W2" s="1">
        <v>43817</v>
      </c>
      <c r="X2" s="1">
        <v>43818</v>
      </c>
      <c r="Y2" s="1">
        <v>43819</v>
      </c>
      <c r="Z2" s="1">
        <v>43820</v>
      </c>
      <c r="AA2" s="1">
        <v>43821</v>
      </c>
      <c r="AB2" s="1">
        <v>43822</v>
      </c>
      <c r="AC2" s="1">
        <v>43823</v>
      </c>
      <c r="AD2" s="1">
        <v>43824</v>
      </c>
      <c r="AE2" s="1">
        <v>43825</v>
      </c>
      <c r="AF2" s="1">
        <v>43826</v>
      </c>
      <c r="AG2" s="1">
        <v>43827</v>
      </c>
      <c r="AH2" s="1">
        <v>43828</v>
      </c>
      <c r="AI2" s="1">
        <v>43829</v>
      </c>
      <c r="AJ2" s="1">
        <v>43830</v>
      </c>
    </row>
    <row r="3" spans="1:36" x14ac:dyDescent="0.35">
      <c r="A3" t="s">
        <v>7</v>
      </c>
      <c r="D3" s="3"/>
      <c r="F3" s="3">
        <f>+'NOV-19'!AI27</f>
        <v>1413714.3000000003</v>
      </c>
      <c r="G3" s="3">
        <f>+F32</f>
        <v>1413714.3000000003</v>
      </c>
      <c r="H3" s="3">
        <f t="shared" ref="H3:V3" si="0">+G32</f>
        <v>1413714.3000000003</v>
      </c>
      <c r="I3" s="3">
        <f t="shared" si="0"/>
        <v>1413714.3000000003</v>
      </c>
      <c r="J3" s="3">
        <f t="shared" si="0"/>
        <v>1413714.3000000003</v>
      </c>
      <c r="K3" s="3">
        <f t="shared" si="0"/>
        <v>913714.30000000028</v>
      </c>
      <c r="L3" s="3">
        <f t="shared" si="0"/>
        <v>747047.30000000028</v>
      </c>
      <c r="M3" s="3">
        <f t="shared" si="0"/>
        <v>739067.30000000028</v>
      </c>
      <c r="N3" s="3">
        <f t="shared" si="0"/>
        <v>739067.30000000028</v>
      </c>
      <c r="O3" s="3">
        <f t="shared" si="0"/>
        <v>739067.30000000028</v>
      </c>
      <c r="P3" s="3">
        <f t="shared" si="0"/>
        <v>739067.30000000028</v>
      </c>
      <c r="Q3" s="3">
        <f t="shared" si="0"/>
        <v>739067.30000000028</v>
      </c>
      <c r="R3" s="3">
        <f t="shared" si="0"/>
        <v>647791.30000000028</v>
      </c>
      <c r="S3" s="3">
        <f t="shared" si="0"/>
        <v>647791.30000000028</v>
      </c>
      <c r="T3" s="3">
        <f t="shared" si="0"/>
        <v>647791.30000000028</v>
      </c>
      <c r="U3" s="3">
        <f t="shared" si="0"/>
        <v>647791.30000000028</v>
      </c>
      <c r="V3" s="3">
        <f t="shared" si="0"/>
        <v>268033.35000000027</v>
      </c>
      <c r="W3" s="3">
        <f t="shared" ref="W3:AJ3" si="1">+V32</f>
        <v>268033.35000000027</v>
      </c>
      <c r="X3" s="3">
        <f t="shared" si="1"/>
        <v>428233.35000000027</v>
      </c>
      <c r="Y3" s="3">
        <f t="shared" si="1"/>
        <v>428233.35000000027</v>
      </c>
      <c r="Z3" s="3">
        <f t="shared" si="1"/>
        <v>428233.35000000027</v>
      </c>
      <c r="AA3" s="3">
        <f t="shared" si="1"/>
        <v>428233.35000000027</v>
      </c>
      <c r="AB3" s="3">
        <f t="shared" si="1"/>
        <v>428233.35000000027</v>
      </c>
      <c r="AC3" s="3">
        <f t="shared" si="1"/>
        <v>300096.35000000027</v>
      </c>
      <c r="AD3" s="3">
        <f t="shared" si="1"/>
        <v>300096.35000000027</v>
      </c>
      <c r="AE3" s="3">
        <f t="shared" si="1"/>
        <v>300096.35000000027</v>
      </c>
      <c r="AF3" s="3">
        <f t="shared" si="1"/>
        <v>300096.35000000027</v>
      </c>
      <c r="AG3" s="3">
        <f t="shared" si="1"/>
        <v>300096.35000000027</v>
      </c>
      <c r="AH3" s="3">
        <f t="shared" si="1"/>
        <v>300096.35000000027</v>
      </c>
      <c r="AI3" s="3">
        <f t="shared" si="1"/>
        <v>300096.35000000027</v>
      </c>
      <c r="AJ3" s="3">
        <f t="shared" si="1"/>
        <v>2356809.41</v>
      </c>
    </row>
    <row r="4" spans="1:36" x14ac:dyDescent="0.35">
      <c r="A4" s="2" t="s">
        <v>0</v>
      </c>
      <c r="B4" s="2"/>
      <c r="C4" s="2"/>
      <c r="D4" s="3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5">
      <c r="A5" t="s">
        <v>37</v>
      </c>
      <c r="B5" t="s">
        <v>39</v>
      </c>
      <c r="C5" s="5">
        <v>43790</v>
      </c>
      <c r="D5" s="3">
        <v>160200</v>
      </c>
      <c r="E5" t="s">
        <v>44</v>
      </c>
      <c r="F5" s="3" t="s">
        <v>13</v>
      </c>
      <c r="G5" s="3"/>
      <c r="H5" s="3"/>
      <c r="I5" s="3"/>
      <c r="K5" s="3"/>
      <c r="L5" s="3"/>
      <c r="N5" s="3"/>
      <c r="O5" s="3"/>
      <c r="P5" s="3"/>
      <c r="Q5" s="3"/>
      <c r="R5" s="3"/>
      <c r="S5" s="3"/>
      <c r="T5" s="3"/>
      <c r="U5" s="3"/>
      <c r="W5" s="3">
        <v>160200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5">
      <c r="A6" t="s">
        <v>38</v>
      </c>
      <c r="B6" t="s">
        <v>40</v>
      </c>
      <c r="C6" s="5">
        <v>43799</v>
      </c>
      <c r="D6" s="3">
        <v>267000</v>
      </c>
      <c r="E6" t="s">
        <v>44</v>
      </c>
      <c r="F6" s="3"/>
      <c r="G6" s="3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 t="s">
        <v>13</v>
      </c>
      <c r="AJ6" s="3"/>
    </row>
    <row r="7" spans="1:36" x14ac:dyDescent="0.35">
      <c r="A7" t="s">
        <v>79</v>
      </c>
      <c r="B7" t="s">
        <v>77</v>
      </c>
      <c r="C7" s="5">
        <v>43805</v>
      </c>
      <c r="D7" s="3">
        <v>267000</v>
      </c>
      <c r="E7" t="s">
        <v>44</v>
      </c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5">
      <c r="A8" t="s">
        <v>80</v>
      </c>
      <c r="B8" t="s">
        <v>78</v>
      </c>
      <c r="C8" s="5">
        <v>43817</v>
      </c>
      <c r="D8" s="3">
        <v>267000</v>
      </c>
      <c r="E8" t="s">
        <v>44</v>
      </c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5">
      <c r="A9" t="s">
        <v>89</v>
      </c>
      <c r="B9" t="s">
        <v>90</v>
      </c>
      <c r="C9" s="5">
        <v>43820</v>
      </c>
      <c r="D9" s="3">
        <v>267000</v>
      </c>
      <c r="E9" t="s">
        <v>44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35">
      <c r="C10" s="5"/>
      <c r="D10" s="3" t="s">
        <v>13</v>
      </c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35">
      <c r="A11" t="s">
        <v>60</v>
      </c>
      <c r="D11" s="3" t="s">
        <v>13</v>
      </c>
      <c r="F11" s="3" t="s">
        <v>13</v>
      </c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35">
      <c r="A12" t="s">
        <v>1</v>
      </c>
      <c r="D12" s="3" t="s">
        <v>13</v>
      </c>
      <c r="F12" s="3"/>
      <c r="G12" s="3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2500000</v>
      </c>
      <c r="AJ12" s="3"/>
    </row>
    <row r="13" spans="1:36" x14ac:dyDescent="0.35">
      <c r="D13" s="3" t="s">
        <v>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x14ac:dyDescent="0.35">
      <c r="A14" s="2" t="s">
        <v>6</v>
      </c>
      <c r="D14" s="3"/>
      <c r="F14" s="3">
        <f>SUM(F5:F13)</f>
        <v>0</v>
      </c>
      <c r="G14" s="3">
        <f t="shared" ref="G14:AJ14" si="2">SUM(G5:G13)</f>
        <v>0</v>
      </c>
      <c r="H14" s="3">
        <f t="shared" si="2"/>
        <v>0</v>
      </c>
      <c r="I14" s="3">
        <f t="shared" si="2"/>
        <v>0</v>
      </c>
      <c r="J14" s="3">
        <f t="shared" si="2"/>
        <v>0</v>
      </c>
      <c r="K14" s="3">
        <f t="shared" si="2"/>
        <v>0</v>
      </c>
      <c r="L14" s="3">
        <f t="shared" si="2"/>
        <v>0</v>
      </c>
      <c r="M14" s="3">
        <f>SUM(M5:M13)</f>
        <v>0</v>
      </c>
      <c r="N14" s="3">
        <f t="shared" si="2"/>
        <v>0</v>
      </c>
      <c r="O14" s="3">
        <f t="shared" si="2"/>
        <v>0</v>
      </c>
      <c r="P14" s="3">
        <f t="shared" si="2"/>
        <v>0</v>
      </c>
      <c r="Q14" s="3">
        <f t="shared" si="2"/>
        <v>0</v>
      </c>
      <c r="R14" s="3">
        <f t="shared" si="2"/>
        <v>0</v>
      </c>
      <c r="S14" s="3">
        <f t="shared" si="2"/>
        <v>0</v>
      </c>
      <c r="T14" s="3">
        <f t="shared" si="2"/>
        <v>0</v>
      </c>
      <c r="U14" s="3">
        <f t="shared" si="2"/>
        <v>0</v>
      </c>
      <c r="V14" s="3">
        <f t="shared" si="2"/>
        <v>0</v>
      </c>
      <c r="W14" s="3">
        <f>SUM(W5:W13)</f>
        <v>160200</v>
      </c>
      <c r="X14" s="3">
        <f t="shared" si="2"/>
        <v>0</v>
      </c>
      <c r="Y14" s="3">
        <f t="shared" si="2"/>
        <v>0</v>
      </c>
      <c r="Z14" s="3">
        <f>SUM(Z5:Z13)</f>
        <v>0</v>
      </c>
      <c r="AA14" s="3">
        <f t="shared" si="2"/>
        <v>0</v>
      </c>
      <c r="AB14" s="3">
        <f t="shared" si="2"/>
        <v>0</v>
      </c>
      <c r="AC14" s="3">
        <f t="shared" si="2"/>
        <v>0</v>
      </c>
      <c r="AD14" s="3">
        <f t="shared" si="2"/>
        <v>0</v>
      </c>
      <c r="AE14" s="3">
        <f t="shared" si="2"/>
        <v>0</v>
      </c>
      <c r="AF14" s="3">
        <f t="shared" si="2"/>
        <v>0</v>
      </c>
      <c r="AG14" s="3">
        <f t="shared" si="2"/>
        <v>0</v>
      </c>
      <c r="AH14" s="3">
        <f t="shared" si="2"/>
        <v>0</v>
      </c>
      <c r="AI14" s="3">
        <f t="shared" si="2"/>
        <v>2500000</v>
      </c>
      <c r="AJ14" s="3">
        <f t="shared" si="2"/>
        <v>0</v>
      </c>
    </row>
    <row r="15" spans="1:36" x14ac:dyDescent="0.35">
      <c r="A15" s="2"/>
      <c r="D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35">
      <c r="A16" s="2" t="s">
        <v>2</v>
      </c>
      <c r="D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9" x14ac:dyDescent="0.35">
      <c r="A17" t="s">
        <v>56</v>
      </c>
      <c r="B17" t="s">
        <v>55</v>
      </c>
      <c r="C17" s="5">
        <v>43789</v>
      </c>
      <c r="D17" s="3">
        <v>125000</v>
      </c>
      <c r="E17" t="s">
        <v>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>
        <v>125000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9" x14ac:dyDescent="0.35">
      <c r="A18" t="s">
        <v>64</v>
      </c>
      <c r="B18" s="63" t="s">
        <v>63</v>
      </c>
      <c r="C18" s="5">
        <v>43798</v>
      </c>
      <c r="D18" s="3">
        <f>179210*1.395</f>
        <v>249997.95</v>
      </c>
      <c r="E18" t="s">
        <v>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f>+D18</f>
        <v>249997.95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9" x14ac:dyDescent="0.35">
      <c r="A19" t="s">
        <v>76</v>
      </c>
      <c r="B19" s="63" t="s">
        <v>58</v>
      </c>
      <c r="C19" s="5">
        <v>43801</v>
      </c>
      <c r="D19" s="3">
        <f>162426*1.19</f>
        <v>193286.94</v>
      </c>
      <c r="E19" t="s">
        <v>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AA19" s="3"/>
      <c r="AC19" s="3"/>
      <c r="AE19" s="3"/>
      <c r="AG19" s="3"/>
      <c r="AH19" s="3"/>
      <c r="AI19" s="3">
        <f>162426*1.19</f>
        <v>193286.94</v>
      </c>
      <c r="AJ19" s="3"/>
    </row>
    <row r="20" spans="1:39" x14ac:dyDescent="0.35">
      <c r="A20" s="4" t="s">
        <v>48</v>
      </c>
      <c r="B20" s="24" t="s">
        <v>95</v>
      </c>
      <c r="C20" s="23">
        <v>43804</v>
      </c>
      <c r="D20" s="3">
        <v>500000</v>
      </c>
      <c r="E20" t="s">
        <v>5</v>
      </c>
      <c r="H20" s="3" t="s">
        <v>13</v>
      </c>
      <c r="J20" s="3">
        <v>500000</v>
      </c>
      <c r="K20" s="3" t="s">
        <v>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9" x14ac:dyDescent="0.35">
      <c r="A21" t="s">
        <v>62</v>
      </c>
      <c r="B21" t="s">
        <v>13</v>
      </c>
      <c r="C21" s="5">
        <v>43805</v>
      </c>
      <c r="D21" s="3">
        <v>166667</v>
      </c>
      <c r="E21" t="s">
        <v>70</v>
      </c>
      <c r="F21" s="3"/>
      <c r="G21" s="3" t="s">
        <v>13</v>
      </c>
      <c r="H21" s="3"/>
      <c r="I21" s="3"/>
      <c r="J21" s="3"/>
      <c r="K21" s="3">
        <v>166667</v>
      </c>
      <c r="L21" s="3"/>
      <c r="M21" s="3"/>
      <c r="N21" s="3"/>
      <c r="O21" s="3" t="s">
        <v>13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M21" t="s">
        <v>13</v>
      </c>
    </row>
    <row r="22" spans="1:39" x14ac:dyDescent="0.35">
      <c r="A22" t="s">
        <v>61</v>
      </c>
      <c r="C22" s="5">
        <v>43811</v>
      </c>
      <c r="D22" s="3">
        <v>59146</v>
      </c>
      <c r="E22" t="s">
        <v>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>
        <v>59146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9" x14ac:dyDescent="0.35">
      <c r="A23" t="s">
        <v>71</v>
      </c>
      <c r="B23" s="63" t="s">
        <v>74</v>
      </c>
      <c r="C23" s="5">
        <v>43811</v>
      </c>
      <c r="D23" s="3">
        <v>32130</v>
      </c>
      <c r="E23" s="3" t="s">
        <v>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f>+D23</f>
        <v>32130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9" x14ac:dyDescent="0.35">
      <c r="A24" t="s">
        <v>66</v>
      </c>
      <c r="B24" s="63" t="s">
        <v>67</v>
      </c>
      <c r="C24" s="5">
        <v>43812</v>
      </c>
      <c r="D24" s="3">
        <v>250000</v>
      </c>
      <c r="E24" s="3" t="s">
        <v>5</v>
      </c>
      <c r="F24" s="3"/>
      <c r="G24" s="3"/>
      <c r="H24" s="3"/>
      <c r="I24" s="3"/>
      <c r="J24" s="3"/>
      <c r="K24" s="3"/>
      <c r="L24" s="3">
        <f>3990*2</f>
        <v>7980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250000</v>
      </c>
    </row>
    <row r="25" spans="1:39" x14ac:dyDescent="0.35">
      <c r="A25" t="s">
        <v>69</v>
      </c>
      <c r="B25" s="63" t="s">
        <v>68</v>
      </c>
      <c r="C25" s="67">
        <v>43812</v>
      </c>
      <c r="D25" s="3">
        <v>559300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M25" t="s">
        <v>13</v>
      </c>
    </row>
    <row r="26" spans="1:39" x14ac:dyDescent="0.35">
      <c r="A26" t="s">
        <v>32</v>
      </c>
      <c r="B26" s="63" t="s">
        <v>72</v>
      </c>
      <c r="C26" s="5">
        <v>43815</v>
      </c>
      <c r="D26" s="3">
        <v>4760</v>
      </c>
      <c r="E26" s="3" t="s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f>+D26</f>
        <v>4760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9" x14ac:dyDescent="0.35">
      <c r="A27" t="s">
        <v>114</v>
      </c>
      <c r="B27" s="63" t="s">
        <v>113</v>
      </c>
      <c r="C27" s="5">
        <v>43822</v>
      </c>
      <c r="D27" s="3">
        <v>128137</v>
      </c>
      <c r="E27" s="3" t="s">
        <v>70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128137</v>
      </c>
      <c r="AC27" s="3"/>
      <c r="AD27" s="3"/>
      <c r="AE27" s="3"/>
      <c r="AF27" s="3"/>
      <c r="AG27" s="3"/>
      <c r="AH27" s="3"/>
      <c r="AI27" s="3"/>
      <c r="AJ27" s="3"/>
    </row>
    <row r="28" spans="1:39" x14ac:dyDescent="0.35">
      <c r="A28" s="4" t="s">
        <v>176</v>
      </c>
      <c r="B28" s="24" t="s">
        <v>177</v>
      </c>
      <c r="C28" s="5">
        <v>44196</v>
      </c>
      <c r="D28" s="3">
        <v>1500000</v>
      </c>
      <c r="E28" t="s">
        <v>5</v>
      </c>
      <c r="F28" s="3"/>
      <c r="G28" s="3" t="s">
        <v>13</v>
      </c>
      <c r="H28" s="3"/>
      <c r="I28" s="3"/>
      <c r="J28" s="3"/>
      <c r="L28" s="3"/>
      <c r="M28" s="3"/>
      <c r="O28" s="3"/>
      <c r="P28" s="3"/>
      <c r="Q28" s="3"/>
      <c r="R28" s="3"/>
      <c r="S28" s="3"/>
      <c r="V28" s="3"/>
      <c r="X28" s="3"/>
      <c r="Y28" s="3"/>
      <c r="Z28" s="3"/>
      <c r="AA28" s="3"/>
      <c r="AC28" s="3"/>
      <c r="AE28" s="3"/>
      <c r="AG28" s="3"/>
      <c r="AH28" s="3"/>
      <c r="AI28" s="3"/>
      <c r="AJ28" s="3">
        <v>1500000</v>
      </c>
    </row>
    <row r="29" spans="1:39" x14ac:dyDescent="0.35"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9" x14ac:dyDescent="0.35"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9" x14ac:dyDescent="0.35">
      <c r="A31" s="2" t="s">
        <v>9</v>
      </c>
      <c r="D31" s="3"/>
      <c r="F31" s="3">
        <f t="shared" ref="F31:AJ31" si="3">SUM(F17:F30)</f>
        <v>0</v>
      </c>
      <c r="G31" s="3">
        <f t="shared" si="3"/>
        <v>0</v>
      </c>
      <c r="H31" s="3">
        <f t="shared" si="3"/>
        <v>0</v>
      </c>
      <c r="I31" s="3">
        <f t="shared" si="3"/>
        <v>0</v>
      </c>
      <c r="J31" s="3">
        <f t="shared" si="3"/>
        <v>500000</v>
      </c>
      <c r="K31" s="3">
        <f t="shared" si="3"/>
        <v>166667</v>
      </c>
      <c r="L31" s="3">
        <f t="shared" si="3"/>
        <v>7980</v>
      </c>
      <c r="M31" s="3">
        <f t="shared" si="3"/>
        <v>0</v>
      </c>
      <c r="N31" s="3">
        <f t="shared" si="3"/>
        <v>0</v>
      </c>
      <c r="O31" s="3">
        <f t="shared" si="3"/>
        <v>0</v>
      </c>
      <c r="P31" s="3">
        <f t="shared" si="3"/>
        <v>0</v>
      </c>
      <c r="Q31" s="3">
        <f t="shared" si="3"/>
        <v>91276</v>
      </c>
      <c r="R31" s="3">
        <f t="shared" si="3"/>
        <v>0</v>
      </c>
      <c r="S31" s="3">
        <f t="shared" si="3"/>
        <v>0</v>
      </c>
      <c r="T31" s="3">
        <f t="shared" si="3"/>
        <v>0</v>
      </c>
      <c r="U31" s="3">
        <f t="shared" si="3"/>
        <v>379757.95</v>
      </c>
      <c r="V31" s="3">
        <f t="shared" si="3"/>
        <v>0</v>
      </c>
      <c r="W31" s="3">
        <f t="shared" si="3"/>
        <v>0</v>
      </c>
      <c r="X31" s="3">
        <f t="shared" si="3"/>
        <v>0</v>
      </c>
      <c r="Y31" s="3">
        <f t="shared" si="3"/>
        <v>0</v>
      </c>
      <c r="Z31" s="3">
        <f t="shared" si="3"/>
        <v>0</v>
      </c>
      <c r="AA31" s="3">
        <f t="shared" si="3"/>
        <v>0</v>
      </c>
      <c r="AB31" s="3">
        <f t="shared" si="3"/>
        <v>128137</v>
      </c>
      <c r="AC31" s="3">
        <f t="shared" si="3"/>
        <v>0</v>
      </c>
      <c r="AD31" s="3">
        <f t="shared" si="3"/>
        <v>0</v>
      </c>
      <c r="AE31" s="3">
        <f t="shared" si="3"/>
        <v>0</v>
      </c>
      <c r="AF31" s="3">
        <f t="shared" si="3"/>
        <v>0</v>
      </c>
      <c r="AG31" s="3">
        <f t="shared" si="3"/>
        <v>0</v>
      </c>
      <c r="AH31" s="3">
        <f t="shared" si="3"/>
        <v>0</v>
      </c>
      <c r="AI31" s="3">
        <f t="shared" si="3"/>
        <v>443286.94</v>
      </c>
      <c r="AJ31" s="3">
        <f t="shared" si="3"/>
        <v>1500000</v>
      </c>
    </row>
    <row r="32" spans="1:39" x14ac:dyDescent="0.35">
      <c r="A32" t="s">
        <v>8</v>
      </c>
      <c r="D32" s="3"/>
      <c r="F32" s="3">
        <f>+F14+F3-F31</f>
        <v>1413714.3000000003</v>
      </c>
      <c r="G32" s="3">
        <f t="shared" ref="G32:AJ32" si="4">+G3+G14-G31</f>
        <v>1413714.3000000003</v>
      </c>
      <c r="H32" s="3">
        <f t="shared" si="4"/>
        <v>1413714.3000000003</v>
      </c>
      <c r="I32" s="3">
        <f t="shared" si="4"/>
        <v>1413714.3000000003</v>
      </c>
      <c r="J32" s="3">
        <f t="shared" si="4"/>
        <v>913714.30000000028</v>
      </c>
      <c r="K32" s="3">
        <f t="shared" si="4"/>
        <v>747047.30000000028</v>
      </c>
      <c r="L32" s="3">
        <f t="shared" si="4"/>
        <v>739067.30000000028</v>
      </c>
      <c r="M32" s="3">
        <f t="shared" si="4"/>
        <v>739067.30000000028</v>
      </c>
      <c r="N32" s="3">
        <f t="shared" si="4"/>
        <v>739067.30000000028</v>
      </c>
      <c r="O32" s="3">
        <f t="shared" si="4"/>
        <v>739067.30000000028</v>
      </c>
      <c r="P32" s="3">
        <f t="shared" si="4"/>
        <v>739067.30000000028</v>
      </c>
      <c r="Q32" s="3">
        <f t="shared" si="4"/>
        <v>647791.30000000028</v>
      </c>
      <c r="R32" s="3">
        <f t="shared" si="4"/>
        <v>647791.30000000028</v>
      </c>
      <c r="S32" s="3">
        <f t="shared" si="4"/>
        <v>647791.30000000028</v>
      </c>
      <c r="T32" s="3">
        <f t="shared" si="4"/>
        <v>647791.30000000028</v>
      </c>
      <c r="U32" s="3">
        <f t="shared" si="4"/>
        <v>268033.35000000027</v>
      </c>
      <c r="V32" s="3">
        <f t="shared" si="4"/>
        <v>268033.35000000027</v>
      </c>
      <c r="W32" s="3">
        <f t="shared" si="4"/>
        <v>428233.35000000027</v>
      </c>
      <c r="X32" s="3">
        <f t="shared" si="4"/>
        <v>428233.35000000027</v>
      </c>
      <c r="Y32" s="3">
        <f t="shared" si="4"/>
        <v>428233.35000000027</v>
      </c>
      <c r="Z32" s="3">
        <f t="shared" si="4"/>
        <v>428233.35000000027</v>
      </c>
      <c r="AA32" s="3">
        <f t="shared" si="4"/>
        <v>428233.35000000027</v>
      </c>
      <c r="AB32" s="3">
        <f t="shared" si="4"/>
        <v>300096.35000000027</v>
      </c>
      <c r="AC32" s="3">
        <f t="shared" si="4"/>
        <v>300096.35000000027</v>
      </c>
      <c r="AD32" s="3">
        <f t="shared" si="4"/>
        <v>300096.35000000027</v>
      </c>
      <c r="AE32" s="3">
        <f t="shared" si="4"/>
        <v>300096.35000000027</v>
      </c>
      <c r="AF32" s="3">
        <f t="shared" si="4"/>
        <v>300096.35000000027</v>
      </c>
      <c r="AG32" s="3">
        <f t="shared" si="4"/>
        <v>300096.35000000027</v>
      </c>
      <c r="AH32" s="3">
        <f t="shared" si="4"/>
        <v>300096.35000000027</v>
      </c>
      <c r="AI32" s="3">
        <f t="shared" si="4"/>
        <v>2356809.41</v>
      </c>
      <c r="AJ32" s="3">
        <f t="shared" si="4"/>
        <v>856809.41000000015</v>
      </c>
    </row>
    <row r="33" spans="1:26" x14ac:dyDescent="0.35">
      <c r="D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 t="s">
        <v>13</v>
      </c>
    </row>
    <row r="34" spans="1:26" x14ac:dyDescent="0.35">
      <c r="D34" s="3"/>
      <c r="F34" s="3"/>
      <c r="G34" s="3"/>
      <c r="H34" s="3"/>
      <c r="I34" s="3"/>
      <c r="J34" s="3"/>
      <c r="K34" s="3">
        <v>1074022</v>
      </c>
      <c r="L34" s="3" t="s">
        <v>13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6" x14ac:dyDescent="0.35">
      <c r="D35" s="3"/>
      <c r="F35" s="3"/>
      <c r="G35" s="3"/>
      <c r="H35" s="3"/>
      <c r="I35" s="3"/>
      <c r="J35" s="3"/>
      <c r="K35" s="3">
        <f>+K32-K34</f>
        <v>-326974.69999999972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6" x14ac:dyDescent="0.35">
      <c r="D36" s="3"/>
      <c r="F36" s="3" t="s">
        <v>13</v>
      </c>
      <c r="G36" s="3" t="s">
        <v>13</v>
      </c>
      <c r="H36" s="3"/>
      <c r="I36" s="3"/>
      <c r="J36" s="3"/>
      <c r="K36" s="3">
        <f>+'NOV-19'!D16+'NOV-19'!D19+'NOV-19'!D20+'NOV-19'!D21+'NOV-19'!D22+'NOV-19'!D25</f>
        <v>345466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6" x14ac:dyDescent="0.35">
      <c r="D37" s="3"/>
      <c r="F37" s="3"/>
      <c r="G37" s="3"/>
      <c r="H37" s="3"/>
      <c r="I37" s="3"/>
      <c r="J37" s="3"/>
      <c r="K37" s="3">
        <f>+K36+K35</f>
        <v>18491.300000000279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6" x14ac:dyDescent="0.35">
      <c r="D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6" x14ac:dyDescent="0.35">
      <c r="A39" t="s">
        <v>371</v>
      </c>
      <c r="D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6" x14ac:dyDescent="0.35">
      <c r="D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K49"/>
  <sheetViews>
    <sheetView topLeftCell="A20" workbookViewId="0">
      <selection activeCell="A35" sqref="A35"/>
    </sheetView>
  </sheetViews>
  <sheetFormatPr baseColWidth="10" defaultColWidth="11.08984375" defaultRowHeight="14.5" x14ac:dyDescent="0.35"/>
  <cols>
    <col min="1" max="1" width="58.7265625" customWidth="1"/>
    <col min="2" max="2" width="15" customWidth="1"/>
    <col min="3" max="4" width="13.26953125" customWidth="1"/>
    <col min="5" max="5" width="13.1796875" customWidth="1"/>
    <col min="6" max="6" width="12" customWidth="1"/>
    <col min="7" max="16" width="13.1796875" customWidth="1"/>
    <col min="17" max="17" width="13.26953125" customWidth="1"/>
    <col min="18" max="19" width="12.7265625" customWidth="1"/>
    <col min="20" max="22" width="13.7265625" customWidth="1"/>
    <col min="23" max="36" width="13.5429687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43831</v>
      </c>
      <c r="G2" s="1">
        <v>43832</v>
      </c>
      <c r="H2" s="1">
        <v>43833</v>
      </c>
      <c r="I2" s="1">
        <v>43834</v>
      </c>
      <c r="J2" s="1">
        <v>43835</v>
      </c>
      <c r="K2" s="1">
        <v>43836</v>
      </c>
      <c r="L2" s="1">
        <v>43837</v>
      </c>
      <c r="M2" s="1">
        <v>43838</v>
      </c>
      <c r="N2" s="1">
        <v>43839</v>
      </c>
      <c r="O2" s="1">
        <v>43840</v>
      </c>
      <c r="P2" s="1">
        <v>43841</v>
      </c>
      <c r="Q2" s="1">
        <v>43842</v>
      </c>
      <c r="R2" s="1">
        <v>43843</v>
      </c>
      <c r="S2" s="1">
        <v>43844</v>
      </c>
      <c r="T2" s="1">
        <v>43845</v>
      </c>
      <c r="U2" s="1">
        <v>43846</v>
      </c>
      <c r="V2" s="1">
        <v>43847</v>
      </c>
      <c r="W2" s="1">
        <v>43848</v>
      </c>
      <c r="X2" s="1">
        <v>43849</v>
      </c>
      <c r="Y2" s="1">
        <v>43850</v>
      </c>
      <c r="Z2" s="1">
        <v>43851</v>
      </c>
      <c r="AA2" s="1">
        <v>43852</v>
      </c>
      <c r="AB2" s="1">
        <v>43853</v>
      </c>
      <c r="AC2" s="1">
        <v>43854</v>
      </c>
      <c r="AD2" s="1">
        <v>43855</v>
      </c>
      <c r="AE2" s="1">
        <v>43856</v>
      </c>
      <c r="AF2" s="1">
        <v>43857</v>
      </c>
      <c r="AG2" s="1">
        <v>43858</v>
      </c>
      <c r="AH2" s="1">
        <v>43859</v>
      </c>
      <c r="AI2" s="1">
        <v>43860</v>
      </c>
      <c r="AJ2" s="1">
        <v>43861</v>
      </c>
    </row>
    <row r="3" spans="1:37" x14ac:dyDescent="0.35">
      <c r="A3" t="s">
        <v>7</v>
      </c>
      <c r="F3" s="3">
        <f>+'DIC-19'!AJ32</f>
        <v>856809.41000000015</v>
      </c>
      <c r="G3" s="3">
        <f>+F41</f>
        <v>856809.41000000015</v>
      </c>
      <c r="H3" s="3">
        <f t="shared" ref="H3:V3" si="0">+G41</f>
        <v>856809.41000000015</v>
      </c>
      <c r="I3" s="3">
        <f t="shared" si="0"/>
        <v>-88840.589999999851</v>
      </c>
      <c r="J3" s="3">
        <f t="shared" si="0"/>
        <v>-88840.589999999851</v>
      </c>
      <c r="K3" s="3">
        <f t="shared" si="0"/>
        <v>-88840.589999999851</v>
      </c>
      <c r="L3" s="3">
        <f t="shared" si="0"/>
        <v>2389889.41</v>
      </c>
      <c r="M3" s="3">
        <f t="shared" si="0"/>
        <v>2092813.4100000001</v>
      </c>
      <c r="N3" s="3">
        <f t="shared" si="0"/>
        <v>1792813.4100000001</v>
      </c>
      <c r="O3" s="3">
        <f t="shared" si="0"/>
        <v>1792813.4100000001</v>
      </c>
      <c r="P3" s="3">
        <f t="shared" si="0"/>
        <v>1527789.4100000001</v>
      </c>
      <c r="Q3" s="3">
        <f t="shared" si="0"/>
        <v>1027789.4100000001</v>
      </c>
      <c r="R3" s="3">
        <f t="shared" si="0"/>
        <v>1027789.4100000001</v>
      </c>
      <c r="S3" s="3">
        <f t="shared" si="0"/>
        <v>1290068.4100000001</v>
      </c>
      <c r="T3" s="3">
        <f t="shared" si="0"/>
        <v>1286498.4100000001</v>
      </c>
      <c r="U3" s="3">
        <f t="shared" si="0"/>
        <v>1269498.4100000001</v>
      </c>
      <c r="V3" s="3">
        <f t="shared" si="0"/>
        <v>1269498.4100000001</v>
      </c>
      <c r="W3" s="3">
        <f t="shared" ref="W3:AJ3" si="1">+V41</f>
        <v>1269498.4100000001</v>
      </c>
      <c r="X3" s="3">
        <f t="shared" si="1"/>
        <v>1254487.4100000001</v>
      </c>
      <c r="Y3" s="3">
        <f t="shared" si="1"/>
        <v>1254487.4100000001</v>
      </c>
      <c r="Z3" s="3">
        <f t="shared" si="1"/>
        <v>1254487.4100000001</v>
      </c>
      <c r="AA3" s="3">
        <f t="shared" si="1"/>
        <v>1254487.4100000001</v>
      </c>
      <c r="AB3" s="3">
        <f t="shared" si="1"/>
        <v>1077267.4100000001</v>
      </c>
      <c r="AC3" s="3">
        <f t="shared" si="1"/>
        <v>1073697.4100000001</v>
      </c>
      <c r="AD3" s="3">
        <f t="shared" si="1"/>
        <v>1073697.4100000001</v>
      </c>
      <c r="AE3" s="3">
        <f t="shared" si="1"/>
        <v>1073697.4100000001</v>
      </c>
      <c r="AF3" s="3">
        <f t="shared" si="1"/>
        <v>1073697.4100000001</v>
      </c>
      <c r="AG3" s="3">
        <f t="shared" si="1"/>
        <v>1073697.4100000001</v>
      </c>
      <c r="AH3" s="3">
        <f t="shared" si="1"/>
        <v>1073697.4100000001</v>
      </c>
      <c r="AI3" s="3">
        <f t="shared" si="1"/>
        <v>823697.41000000015</v>
      </c>
      <c r="AJ3" s="3">
        <f t="shared" si="1"/>
        <v>823697.41000000015</v>
      </c>
      <c r="AK3" s="3" t="s">
        <v>13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37" x14ac:dyDescent="0.35">
      <c r="A5" t="s">
        <v>38</v>
      </c>
      <c r="B5" t="s">
        <v>40</v>
      </c>
      <c r="C5" s="5">
        <v>43799</v>
      </c>
      <c r="D5" s="3">
        <v>267000</v>
      </c>
      <c r="E5" s="2"/>
      <c r="F5" s="3"/>
      <c r="G5" s="3"/>
      <c r="I5" s="3"/>
      <c r="J5" s="3"/>
      <c r="K5" s="3"/>
      <c r="L5" s="3"/>
      <c r="N5" s="3"/>
      <c r="P5" s="3"/>
      <c r="Q5" s="3"/>
      <c r="R5" s="3">
        <f>+D5</f>
        <v>267000</v>
      </c>
      <c r="T5" s="3"/>
      <c r="U5" s="3"/>
      <c r="V5" s="3"/>
      <c r="W5" s="3"/>
    </row>
    <row r="6" spans="1:37" x14ac:dyDescent="0.35">
      <c r="A6" t="s">
        <v>79</v>
      </c>
      <c r="B6" t="s">
        <v>77</v>
      </c>
      <c r="C6" s="5">
        <v>43805</v>
      </c>
      <c r="D6" s="3">
        <v>267000</v>
      </c>
      <c r="E6" t="s">
        <v>44</v>
      </c>
      <c r="F6" s="3"/>
      <c r="G6" s="3"/>
      <c r="H6" s="3"/>
      <c r="I6" s="3"/>
      <c r="J6" s="3" t="s">
        <v>13</v>
      </c>
      <c r="L6" s="3"/>
      <c r="N6" s="3"/>
      <c r="P6" s="3"/>
      <c r="Q6" s="3"/>
      <c r="R6" s="3">
        <f>+D6</f>
        <v>267000</v>
      </c>
      <c r="T6" s="3"/>
      <c r="U6" s="3"/>
      <c r="V6" s="3"/>
      <c r="W6" s="3"/>
    </row>
    <row r="7" spans="1:37" x14ac:dyDescent="0.35">
      <c r="A7" t="s">
        <v>80</v>
      </c>
      <c r="B7" t="s">
        <v>78</v>
      </c>
      <c r="C7" s="5">
        <v>43817</v>
      </c>
      <c r="D7" s="3">
        <v>267000</v>
      </c>
      <c r="E7" t="s">
        <v>44</v>
      </c>
      <c r="F7" s="3"/>
      <c r="G7" s="3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7" x14ac:dyDescent="0.35">
      <c r="A8" t="s">
        <v>89</v>
      </c>
      <c r="B8" t="s">
        <v>90</v>
      </c>
      <c r="C8" s="5">
        <v>43820</v>
      </c>
      <c r="D8" s="3">
        <v>267000</v>
      </c>
      <c r="E8" t="s">
        <v>44</v>
      </c>
      <c r="F8" s="3"/>
      <c r="G8" s="3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7" x14ac:dyDescent="0.35">
      <c r="A9" t="s">
        <v>166</v>
      </c>
      <c r="B9" t="s">
        <v>19</v>
      </c>
      <c r="C9" s="5">
        <v>43836</v>
      </c>
      <c r="D9" s="3">
        <v>267000</v>
      </c>
      <c r="E9" t="s">
        <v>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</row>
    <row r="10" spans="1:37" x14ac:dyDescent="0.35">
      <c r="A10" t="s">
        <v>174</v>
      </c>
      <c r="B10" t="s">
        <v>55</v>
      </c>
      <c r="C10" s="5">
        <v>43848</v>
      </c>
      <c r="D10" s="3">
        <v>160200</v>
      </c>
      <c r="E10" t="s">
        <v>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</row>
    <row r="11" spans="1:37" x14ac:dyDescent="0.35">
      <c r="A11" t="s">
        <v>60</v>
      </c>
      <c r="F11" s="3">
        <v>0</v>
      </c>
      <c r="G11" s="3">
        <v>0</v>
      </c>
      <c r="H11" s="3"/>
      <c r="I11" s="3"/>
      <c r="J11" s="3"/>
      <c r="K11" s="3">
        <v>2500000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37" x14ac:dyDescent="0.35">
      <c r="A12" t="s">
        <v>1</v>
      </c>
      <c r="F12" s="3"/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37" x14ac:dyDescent="0.35">
      <c r="A13" t="s">
        <v>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37" x14ac:dyDescent="0.35"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37" x14ac:dyDescent="0.35"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37" x14ac:dyDescent="0.35">
      <c r="A16" s="2" t="s">
        <v>6</v>
      </c>
      <c r="F16" s="3">
        <f t="shared" ref="F16:AJ16" si="2">SUM(F5:F15)</f>
        <v>0</v>
      </c>
      <c r="G16" s="3">
        <f t="shared" si="2"/>
        <v>0</v>
      </c>
      <c r="H16" s="3">
        <f t="shared" si="2"/>
        <v>0</v>
      </c>
      <c r="I16" s="3">
        <f t="shared" si="2"/>
        <v>0</v>
      </c>
      <c r="J16" s="3">
        <f t="shared" si="2"/>
        <v>0</v>
      </c>
      <c r="K16" s="3">
        <f t="shared" si="2"/>
        <v>2500000</v>
      </c>
      <c r="L16" s="3">
        <f t="shared" si="2"/>
        <v>0</v>
      </c>
      <c r="M16" s="3">
        <f t="shared" si="2"/>
        <v>0</v>
      </c>
      <c r="N16" s="3">
        <f t="shared" si="2"/>
        <v>0</v>
      </c>
      <c r="O16" s="3">
        <f t="shared" si="2"/>
        <v>0</v>
      </c>
      <c r="P16" s="3">
        <f t="shared" si="2"/>
        <v>0</v>
      </c>
      <c r="Q16" s="3">
        <f t="shared" si="2"/>
        <v>0</v>
      </c>
      <c r="R16" s="3">
        <f t="shared" si="2"/>
        <v>534000</v>
      </c>
      <c r="S16" s="3">
        <f t="shared" si="2"/>
        <v>0</v>
      </c>
      <c r="T16" s="3">
        <f t="shared" si="2"/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3">
        <f t="shared" si="2"/>
        <v>0</v>
      </c>
      <c r="Y16" s="3">
        <f t="shared" si="2"/>
        <v>0</v>
      </c>
      <c r="Z16" s="3">
        <f t="shared" si="2"/>
        <v>0</v>
      </c>
      <c r="AA16" s="3">
        <f t="shared" si="2"/>
        <v>0</v>
      </c>
      <c r="AB16" s="3">
        <f t="shared" si="2"/>
        <v>0</v>
      </c>
      <c r="AC16" s="3">
        <f t="shared" si="2"/>
        <v>0</v>
      </c>
      <c r="AD16" s="3">
        <f t="shared" si="2"/>
        <v>0</v>
      </c>
      <c r="AE16" s="3">
        <f t="shared" si="2"/>
        <v>0</v>
      </c>
      <c r="AF16" s="3">
        <f t="shared" si="2"/>
        <v>0</v>
      </c>
      <c r="AG16" s="3">
        <f t="shared" si="2"/>
        <v>0</v>
      </c>
      <c r="AH16" s="3">
        <f t="shared" si="2"/>
        <v>0</v>
      </c>
      <c r="AI16" s="3">
        <f t="shared" si="2"/>
        <v>0</v>
      </c>
      <c r="AJ16" s="3">
        <f t="shared" si="2"/>
        <v>0</v>
      </c>
    </row>
    <row r="17" spans="1:36" x14ac:dyDescent="0.35">
      <c r="A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6" x14ac:dyDescent="0.35">
      <c r="A18" s="2" t="s">
        <v>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6" x14ac:dyDescent="0.35">
      <c r="A19" t="s">
        <v>75</v>
      </c>
      <c r="B19" s="63" t="s">
        <v>87</v>
      </c>
      <c r="C19" s="67">
        <v>43819</v>
      </c>
      <c r="D19" s="3">
        <v>250000</v>
      </c>
      <c r="E19" t="s">
        <v>5</v>
      </c>
      <c r="F19" s="3"/>
      <c r="G19" s="3"/>
      <c r="H19" s="3"/>
      <c r="I19" s="3"/>
      <c r="O19" s="3">
        <f>+D19</f>
        <v>250000</v>
      </c>
      <c r="P19" s="3"/>
      <c r="Q19" s="3"/>
      <c r="R19" s="3"/>
      <c r="S19" s="3"/>
      <c r="T19" s="3"/>
      <c r="U19" s="3"/>
      <c r="V19" s="3"/>
      <c r="W19" s="3"/>
    </row>
    <row r="20" spans="1:36" x14ac:dyDescent="0.35">
      <c r="A20" t="s">
        <v>197</v>
      </c>
      <c r="B20" s="63" t="s">
        <v>165</v>
      </c>
      <c r="C20" s="67">
        <v>43832</v>
      </c>
      <c r="D20" s="3">
        <v>177220</v>
      </c>
      <c r="E20" t="s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A20" s="3">
        <f>+D20</f>
        <v>177220</v>
      </c>
    </row>
    <row r="21" spans="1:36" x14ac:dyDescent="0.35">
      <c r="A21" t="s">
        <v>185</v>
      </c>
      <c r="B21" s="63" t="s">
        <v>152</v>
      </c>
      <c r="C21" s="67">
        <v>43833</v>
      </c>
      <c r="D21" s="3">
        <v>930125</v>
      </c>
      <c r="E21" t="s">
        <v>4</v>
      </c>
      <c r="F21" s="3"/>
      <c r="G21" s="3"/>
      <c r="H21" s="3">
        <v>930125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6" x14ac:dyDescent="0.35">
      <c r="A22" t="s">
        <v>154</v>
      </c>
      <c r="B22" s="63" t="s">
        <v>153</v>
      </c>
      <c r="C22" s="67">
        <v>43833</v>
      </c>
      <c r="D22" s="3">
        <v>3145</v>
      </c>
      <c r="E22" t="s">
        <v>4</v>
      </c>
      <c r="F22" s="3"/>
      <c r="G22" s="3"/>
      <c r="H22" s="3">
        <v>3145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6" x14ac:dyDescent="0.35">
      <c r="A23" t="s">
        <v>155</v>
      </c>
      <c r="B23" s="63" t="s">
        <v>156</v>
      </c>
      <c r="C23" s="67">
        <v>43833</v>
      </c>
      <c r="D23" s="3">
        <v>12380</v>
      </c>
      <c r="E23" t="s">
        <v>4</v>
      </c>
      <c r="F23" s="3"/>
      <c r="G23" s="3"/>
      <c r="H23" s="3">
        <v>12380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6" x14ac:dyDescent="0.35">
      <c r="A24" t="s">
        <v>158</v>
      </c>
      <c r="B24" s="63" t="s">
        <v>157</v>
      </c>
      <c r="C24" s="67">
        <v>43836</v>
      </c>
      <c r="D24" s="3">
        <v>17580</v>
      </c>
      <c r="E24" t="s">
        <v>4</v>
      </c>
      <c r="F24" s="3"/>
      <c r="G24" s="3"/>
      <c r="H24" s="3"/>
      <c r="I24" s="3"/>
      <c r="J24" s="3"/>
      <c r="K24" s="3">
        <f>+D24</f>
        <v>17580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6" x14ac:dyDescent="0.35">
      <c r="A25" t="s">
        <v>159</v>
      </c>
      <c r="B25" s="63" t="s">
        <v>160</v>
      </c>
      <c r="C25" s="67">
        <v>43836</v>
      </c>
      <c r="D25" s="3">
        <v>3690</v>
      </c>
      <c r="E25" t="s">
        <v>4</v>
      </c>
      <c r="F25" s="3"/>
      <c r="G25" s="3"/>
      <c r="H25" s="3"/>
      <c r="I25" s="3"/>
      <c r="J25" s="3"/>
      <c r="K25" s="3">
        <f>+D25</f>
        <v>3690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6" x14ac:dyDescent="0.35">
      <c r="A26" t="s">
        <v>187</v>
      </c>
      <c r="B26" s="68" t="s">
        <v>186</v>
      </c>
      <c r="C26" s="67">
        <v>43836</v>
      </c>
      <c r="D26" s="3">
        <v>250000</v>
      </c>
      <c r="E26" t="s">
        <v>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AH26" s="3">
        <f>+D26</f>
        <v>250000</v>
      </c>
    </row>
    <row r="27" spans="1:36" x14ac:dyDescent="0.35">
      <c r="A27" t="s">
        <v>161</v>
      </c>
      <c r="B27" s="63" t="s">
        <v>162</v>
      </c>
      <c r="C27" s="67">
        <v>43837</v>
      </c>
      <c r="D27" s="3">
        <v>297076</v>
      </c>
      <c r="E27" t="s">
        <v>4</v>
      </c>
      <c r="F27" s="3"/>
      <c r="G27" s="3"/>
      <c r="H27" s="3"/>
      <c r="I27" s="3"/>
      <c r="J27" s="3"/>
      <c r="K27" s="3"/>
      <c r="L27" s="3">
        <f>+D27</f>
        <v>297076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6" x14ac:dyDescent="0.35">
      <c r="A28" t="s">
        <v>163</v>
      </c>
      <c r="B28" s="63" t="s">
        <v>164</v>
      </c>
      <c r="C28" s="67">
        <v>43838</v>
      </c>
      <c r="D28" s="3">
        <v>440735</v>
      </c>
      <c r="E28" t="s">
        <v>5</v>
      </c>
      <c r="F28" s="3"/>
      <c r="G28" s="3"/>
      <c r="H28" s="3"/>
      <c r="I28" s="3"/>
      <c r="J28" s="3"/>
      <c r="K28" s="3"/>
      <c r="M28" s="3">
        <v>300000</v>
      </c>
      <c r="N28" s="3"/>
      <c r="O28" s="3"/>
      <c r="P28" s="3"/>
      <c r="Q28" s="3"/>
      <c r="R28" s="3">
        <v>140735</v>
      </c>
      <c r="S28" s="3" t="s">
        <v>13</v>
      </c>
      <c r="V28" s="3"/>
      <c r="X28" s="3"/>
      <c r="Y28" s="3"/>
      <c r="Z28" s="3"/>
      <c r="AA28" s="3"/>
      <c r="AC28" s="3"/>
      <c r="AD28" s="3" t="s">
        <v>13</v>
      </c>
      <c r="AE28" s="3"/>
      <c r="AF28" s="3"/>
      <c r="AG28" s="3"/>
      <c r="AH28" s="3"/>
      <c r="AI28" s="3"/>
      <c r="AJ28" s="3"/>
    </row>
    <row r="29" spans="1:36" x14ac:dyDescent="0.35">
      <c r="A29" t="s">
        <v>182</v>
      </c>
      <c r="B29" t="s">
        <v>172</v>
      </c>
      <c r="C29" s="67">
        <v>43840</v>
      </c>
      <c r="D29" s="3">
        <v>15024</v>
      </c>
      <c r="E29" t="s">
        <v>4</v>
      </c>
      <c r="F29" s="3" t="s">
        <v>98</v>
      </c>
      <c r="G29" s="3"/>
      <c r="H29" s="3"/>
      <c r="I29" s="3"/>
      <c r="J29" s="3"/>
      <c r="K29" s="3"/>
      <c r="L29" s="3"/>
      <c r="M29" s="3"/>
      <c r="N29" s="3"/>
      <c r="O29" s="3">
        <f>+D29</f>
        <v>15024</v>
      </c>
      <c r="P29" s="3"/>
      <c r="Q29" s="3"/>
      <c r="R29" s="3"/>
      <c r="S29" s="3"/>
      <c r="T29" s="3"/>
      <c r="U29" s="3"/>
      <c r="V29" s="3"/>
      <c r="W29" s="3"/>
    </row>
    <row r="30" spans="1:36" x14ac:dyDescent="0.35">
      <c r="A30" s="4" t="s">
        <v>167</v>
      </c>
      <c r="B30" s="68" t="s">
        <v>178</v>
      </c>
      <c r="C30" s="67">
        <v>43841</v>
      </c>
      <c r="D30" s="3">
        <v>500000</v>
      </c>
      <c r="E30" t="s">
        <v>5</v>
      </c>
      <c r="F30" s="3"/>
      <c r="G30" s="3"/>
      <c r="H30" s="3" t="s">
        <v>13</v>
      </c>
      <c r="I30" s="3"/>
      <c r="O30" s="3"/>
      <c r="P30" s="3">
        <f>+D30</f>
        <v>500000</v>
      </c>
      <c r="Q30" s="3"/>
      <c r="R30" s="3"/>
      <c r="S30" s="3"/>
      <c r="T30" s="3"/>
      <c r="U30" s="3"/>
      <c r="V30" s="3"/>
      <c r="W30" s="3"/>
    </row>
    <row r="31" spans="1:36" x14ac:dyDescent="0.35">
      <c r="A31" t="s">
        <v>168</v>
      </c>
      <c r="B31" s="24">
        <v>6895175876</v>
      </c>
      <c r="C31" s="67">
        <v>43843</v>
      </c>
      <c r="D31" s="3">
        <f>+R31</f>
        <v>228954</v>
      </c>
      <c r="E31" t="s">
        <v>4</v>
      </c>
      <c r="F31" s="3"/>
      <c r="G31" s="3" t="s">
        <v>13</v>
      </c>
      <c r="H31" s="3"/>
      <c r="I31" s="3"/>
      <c r="J31" s="3"/>
      <c r="K31" s="3"/>
      <c r="L31" s="3"/>
      <c r="M31" s="3"/>
      <c r="N31" s="3"/>
      <c r="R31" s="3">
        <v>228954</v>
      </c>
      <c r="S31" s="3"/>
      <c r="T31" s="3"/>
      <c r="U31" s="3"/>
      <c r="V31" s="3"/>
      <c r="W31" s="3"/>
    </row>
    <row r="32" spans="1:36" x14ac:dyDescent="0.35">
      <c r="A32" t="s">
        <v>185</v>
      </c>
      <c r="B32" s="68" t="s">
        <v>184</v>
      </c>
      <c r="C32" s="67">
        <v>43843</v>
      </c>
      <c r="D32" s="3">
        <v>-97968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>+D32</f>
        <v>-97968</v>
      </c>
      <c r="S32" s="3"/>
      <c r="T32" s="3"/>
      <c r="U32" s="3"/>
      <c r="V32" s="3"/>
      <c r="W32" s="3"/>
    </row>
    <row r="33" spans="1:36" x14ac:dyDescent="0.35">
      <c r="A33" t="s">
        <v>32</v>
      </c>
      <c r="B33" s="63" t="s">
        <v>188</v>
      </c>
      <c r="C33" s="5">
        <v>43844</v>
      </c>
      <c r="D33" s="3">
        <v>3570</v>
      </c>
      <c r="E33" t="s">
        <v>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>
        <f>+D33</f>
        <v>3570</v>
      </c>
      <c r="T33" s="3"/>
      <c r="U33" s="3"/>
      <c r="V33" s="3"/>
      <c r="W33" s="3"/>
    </row>
    <row r="34" spans="1:36" x14ac:dyDescent="0.35">
      <c r="A34" t="s">
        <v>189</v>
      </c>
      <c r="B34" t="s">
        <v>193</v>
      </c>
      <c r="C34" s="5">
        <v>43845</v>
      </c>
      <c r="D34" s="3">
        <v>17000</v>
      </c>
      <c r="E34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>
        <f>+D34</f>
        <v>17000</v>
      </c>
      <c r="U34" s="3"/>
      <c r="V34" s="3"/>
      <c r="W34" s="3"/>
    </row>
    <row r="35" spans="1:36" x14ac:dyDescent="0.35">
      <c r="A35" t="s">
        <v>181</v>
      </c>
      <c r="C35" s="67">
        <v>43848</v>
      </c>
      <c r="D35" s="3">
        <f>+W35</f>
        <v>15011</v>
      </c>
      <c r="E35" t="s">
        <v>4</v>
      </c>
      <c r="F35" s="3" t="s">
        <v>13</v>
      </c>
      <c r="G35" s="3" t="s">
        <v>13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>
        <v>15011</v>
      </c>
    </row>
    <row r="36" spans="1:36" x14ac:dyDescent="0.35">
      <c r="A36" t="s">
        <v>32</v>
      </c>
      <c r="B36" s="63" t="s">
        <v>183</v>
      </c>
      <c r="C36" s="5">
        <v>43853</v>
      </c>
      <c r="D36" s="3">
        <v>3570</v>
      </c>
      <c r="E36" t="s">
        <v>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B36" s="3">
        <f>+D36</f>
        <v>3570</v>
      </c>
    </row>
    <row r="37" spans="1:36" x14ac:dyDescent="0.35">
      <c r="A37" t="s">
        <v>194</v>
      </c>
      <c r="B37" t="s">
        <v>195</v>
      </c>
      <c r="C37" s="67">
        <v>43861</v>
      </c>
      <c r="D37" s="3">
        <v>7000</v>
      </c>
      <c r="E37" t="s">
        <v>4</v>
      </c>
      <c r="F37" s="3"/>
      <c r="G37" s="3"/>
      <c r="H37" s="3"/>
      <c r="V37" s="3"/>
      <c r="AH37" s="3" t="s">
        <v>13</v>
      </c>
      <c r="AI37" s="3" t="s">
        <v>13</v>
      </c>
      <c r="AJ37" s="3">
        <f>+D37</f>
        <v>7000</v>
      </c>
    </row>
    <row r="38" spans="1:36" x14ac:dyDescent="0.35">
      <c r="A38" t="s">
        <v>13</v>
      </c>
      <c r="B38" t="s">
        <v>13</v>
      </c>
      <c r="C38" s="5" t="s">
        <v>13</v>
      </c>
      <c r="D38" s="3" t="s">
        <v>13</v>
      </c>
      <c r="E38" t="s">
        <v>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36" x14ac:dyDescent="0.35">
      <c r="C39" s="5"/>
      <c r="D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36" x14ac:dyDescent="0.35">
      <c r="A40" s="2" t="s">
        <v>9</v>
      </c>
      <c r="F40" s="3">
        <f t="shared" ref="F40:AJ40" si="3">SUM(F19:F39)</f>
        <v>0</v>
      </c>
      <c r="G40" s="3">
        <f t="shared" si="3"/>
        <v>0</v>
      </c>
      <c r="H40" s="3">
        <f t="shared" si="3"/>
        <v>945650</v>
      </c>
      <c r="I40" s="3">
        <f t="shared" si="3"/>
        <v>0</v>
      </c>
      <c r="J40" s="3">
        <f t="shared" si="3"/>
        <v>0</v>
      </c>
      <c r="K40" s="3">
        <f t="shared" si="3"/>
        <v>21270</v>
      </c>
      <c r="L40" s="3">
        <f t="shared" si="3"/>
        <v>297076</v>
      </c>
      <c r="M40" s="3">
        <f t="shared" si="3"/>
        <v>300000</v>
      </c>
      <c r="N40" s="3">
        <f t="shared" si="3"/>
        <v>0</v>
      </c>
      <c r="O40" s="3">
        <f t="shared" si="3"/>
        <v>265024</v>
      </c>
      <c r="P40" s="3">
        <f t="shared" si="3"/>
        <v>500000</v>
      </c>
      <c r="Q40" s="3">
        <f t="shared" si="3"/>
        <v>0</v>
      </c>
      <c r="R40" s="3">
        <f t="shared" si="3"/>
        <v>271721</v>
      </c>
      <c r="S40" s="3">
        <f t="shared" si="3"/>
        <v>3570</v>
      </c>
      <c r="T40" s="3">
        <f t="shared" si="3"/>
        <v>17000</v>
      </c>
      <c r="U40" s="3">
        <f t="shared" si="3"/>
        <v>0</v>
      </c>
      <c r="V40" s="3">
        <f t="shared" si="3"/>
        <v>0</v>
      </c>
      <c r="W40" s="3">
        <f t="shared" si="3"/>
        <v>15011</v>
      </c>
      <c r="X40" s="3">
        <f t="shared" si="3"/>
        <v>0</v>
      </c>
      <c r="Y40" s="3">
        <f t="shared" si="3"/>
        <v>0</v>
      </c>
      <c r="Z40" s="3">
        <f t="shared" si="3"/>
        <v>0</v>
      </c>
      <c r="AA40" s="3">
        <f t="shared" si="3"/>
        <v>177220</v>
      </c>
      <c r="AB40" s="3">
        <f t="shared" si="3"/>
        <v>3570</v>
      </c>
      <c r="AC40" s="3">
        <f t="shared" si="3"/>
        <v>0</v>
      </c>
      <c r="AD40" s="3">
        <f t="shared" si="3"/>
        <v>0</v>
      </c>
      <c r="AE40" s="3">
        <f t="shared" si="3"/>
        <v>0</v>
      </c>
      <c r="AF40" s="3">
        <f t="shared" si="3"/>
        <v>0</v>
      </c>
      <c r="AG40" s="3">
        <f t="shared" si="3"/>
        <v>0</v>
      </c>
      <c r="AH40" s="3">
        <f t="shared" si="3"/>
        <v>250000</v>
      </c>
      <c r="AI40" s="3">
        <f t="shared" si="3"/>
        <v>0</v>
      </c>
      <c r="AJ40" s="3">
        <f t="shared" si="3"/>
        <v>7000</v>
      </c>
    </row>
    <row r="41" spans="1:36" x14ac:dyDescent="0.35">
      <c r="A41" t="s">
        <v>8</v>
      </c>
      <c r="F41" s="3">
        <f>+F16+F3-F40</f>
        <v>856809.41000000015</v>
      </c>
      <c r="G41" s="3">
        <f t="shared" ref="G41:AJ41" si="4">+G3+G16-G40</f>
        <v>856809.41000000015</v>
      </c>
      <c r="H41" s="3">
        <f t="shared" si="4"/>
        <v>-88840.589999999851</v>
      </c>
      <c r="I41" s="3">
        <f t="shared" si="4"/>
        <v>-88840.589999999851</v>
      </c>
      <c r="J41" s="3">
        <f t="shared" si="4"/>
        <v>-88840.589999999851</v>
      </c>
      <c r="K41" s="3">
        <f t="shared" si="4"/>
        <v>2389889.41</v>
      </c>
      <c r="L41" s="3">
        <f t="shared" si="4"/>
        <v>2092813.4100000001</v>
      </c>
      <c r="M41" s="3">
        <f t="shared" si="4"/>
        <v>1792813.4100000001</v>
      </c>
      <c r="N41" s="3">
        <f t="shared" si="4"/>
        <v>1792813.4100000001</v>
      </c>
      <c r="O41" s="3">
        <f t="shared" si="4"/>
        <v>1527789.4100000001</v>
      </c>
      <c r="P41" s="3">
        <f t="shared" si="4"/>
        <v>1027789.4100000001</v>
      </c>
      <c r="Q41" s="3">
        <f t="shared" si="4"/>
        <v>1027789.4100000001</v>
      </c>
      <c r="R41" s="3">
        <f t="shared" si="4"/>
        <v>1290068.4100000001</v>
      </c>
      <c r="S41" s="3">
        <f t="shared" si="4"/>
        <v>1286498.4100000001</v>
      </c>
      <c r="T41" s="3">
        <f t="shared" si="4"/>
        <v>1269498.4100000001</v>
      </c>
      <c r="U41" s="3">
        <f t="shared" si="4"/>
        <v>1269498.4100000001</v>
      </c>
      <c r="V41" s="3">
        <f t="shared" si="4"/>
        <v>1269498.4100000001</v>
      </c>
      <c r="W41" s="3">
        <f t="shared" si="4"/>
        <v>1254487.4100000001</v>
      </c>
      <c r="X41" s="3">
        <f t="shared" si="4"/>
        <v>1254487.4100000001</v>
      </c>
      <c r="Y41" s="3">
        <f t="shared" si="4"/>
        <v>1254487.4100000001</v>
      </c>
      <c r="Z41" s="3">
        <f t="shared" si="4"/>
        <v>1254487.4100000001</v>
      </c>
      <c r="AA41" s="3">
        <f t="shared" si="4"/>
        <v>1077267.4100000001</v>
      </c>
      <c r="AB41" s="3">
        <f t="shared" si="4"/>
        <v>1073697.4100000001</v>
      </c>
      <c r="AC41" s="3">
        <f t="shared" si="4"/>
        <v>1073697.4100000001</v>
      </c>
      <c r="AD41" s="3">
        <f t="shared" si="4"/>
        <v>1073697.4100000001</v>
      </c>
      <c r="AE41" s="3">
        <f t="shared" si="4"/>
        <v>1073697.4100000001</v>
      </c>
      <c r="AF41" s="3">
        <f t="shared" si="4"/>
        <v>1073697.4100000001</v>
      </c>
      <c r="AG41" s="3">
        <f t="shared" si="4"/>
        <v>1073697.4100000001</v>
      </c>
      <c r="AH41" s="3">
        <f t="shared" si="4"/>
        <v>823697.41000000015</v>
      </c>
      <c r="AI41" s="3">
        <f t="shared" si="4"/>
        <v>823697.41000000015</v>
      </c>
      <c r="AJ41" s="3">
        <f t="shared" si="4"/>
        <v>816697.41000000015</v>
      </c>
    </row>
    <row r="42" spans="1:36" x14ac:dyDescent="0.3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36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36" x14ac:dyDescent="0.35">
      <c r="F44" s="3"/>
      <c r="G44" s="3"/>
      <c r="H44" s="3"/>
      <c r="I44" s="3"/>
      <c r="J44" s="3"/>
      <c r="K44" s="3"/>
      <c r="L44" s="3"/>
      <c r="M44" s="3"/>
      <c r="N44" s="3"/>
      <c r="O44" s="3"/>
      <c r="P44" s="3" t="s">
        <v>13</v>
      </c>
      <c r="Q44" s="3"/>
      <c r="R44" s="3"/>
      <c r="S44" s="3"/>
      <c r="T44" s="3"/>
      <c r="U44" s="3"/>
      <c r="V44" s="3"/>
      <c r="W44" s="3"/>
    </row>
    <row r="45" spans="1:36" x14ac:dyDescent="0.35">
      <c r="F45" s="3"/>
      <c r="G45" s="3" t="s">
        <v>13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36" x14ac:dyDescent="0.3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36" x14ac:dyDescent="0.35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36" x14ac:dyDescent="0.35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6:23" x14ac:dyDescent="0.35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L50"/>
  <sheetViews>
    <sheetView topLeftCell="A16" workbookViewId="0">
      <selection activeCell="A21" sqref="A21"/>
    </sheetView>
  </sheetViews>
  <sheetFormatPr baseColWidth="10" defaultColWidth="11.08984375" defaultRowHeight="14.5" x14ac:dyDescent="0.35"/>
  <cols>
    <col min="1" max="1" width="36" customWidth="1"/>
    <col min="2" max="4" width="13.26953125" customWidth="1"/>
    <col min="5" max="5" width="13.1796875" customWidth="1"/>
    <col min="7" max="16" width="13.1796875" customWidth="1"/>
    <col min="20" max="20" width="12.7265625" customWidth="1"/>
    <col min="21" max="21" width="12.5429687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43862</v>
      </c>
      <c r="G2" s="1">
        <v>43863</v>
      </c>
      <c r="H2" s="1">
        <v>43864</v>
      </c>
      <c r="I2" s="1">
        <v>43865</v>
      </c>
      <c r="J2" s="1">
        <v>43866</v>
      </c>
      <c r="K2" s="1">
        <v>43867</v>
      </c>
      <c r="L2" s="1">
        <v>43868</v>
      </c>
      <c r="M2" s="1">
        <v>43869</v>
      </c>
      <c r="N2" s="1">
        <v>43870</v>
      </c>
      <c r="O2" s="1">
        <v>43871</v>
      </c>
      <c r="P2" s="1">
        <v>43872</v>
      </c>
      <c r="Q2" s="1">
        <v>43873</v>
      </c>
      <c r="R2" s="1">
        <v>43874</v>
      </c>
      <c r="S2" s="1">
        <v>43875</v>
      </c>
      <c r="T2" s="1">
        <v>43876</v>
      </c>
      <c r="U2" s="1">
        <v>43877</v>
      </c>
      <c r="V2" s="1">
        <v>43878</v>
      </c>
      <c r="W2" s="1">
        <v>43879</v>
      </c>
      <c r="X2" s="1">
        <v>43880</v>
      </c>
      <c r="Y2" s="1">
        <v>43881</v>
      </c>
      <c r="Z2" s="1">
        <v>43882</v>
      </c>
      <c r="AA2" s="1">
        <v>43883</v>
      </c>
      <c r="AB2" s="1">
        <v>43884</v>
      </c>
      <c r="AC2" s="1">
        <v>43885</v>
      </c>
      <c r="AD2" s="1">
        <v>43886</v>
      </c>
      <c r="AE2" s="1">
        <v>43887</v>
      </c>
      <c r="AF2" s="1">
        <v>43888</v>
      </c>
      <c r="AG2" s="1">
        <v>43889</v>
      </c>
      <c r="AH2" s="1">
        <v>43890</v>
      </c>
      <c r="AI2" s="1" t="s">
        <v>13</v>
      </c>
      <c r="AJ2" s="1" t="s">
        <v>13</v>
      </c>
      <c r="AK2" s="1" t="s">
        <v>13</v>
      </c>
    </row>
    <row r="3" spans="1:37" x14ac:dyDescent="0.35">
      <c r="A3" t="s">
        <v>7</v>
      </c>
      <c r="F3" s="3">
        <f>+'ENE-20'!AJ41</f>
        <v>816697.41000000015</v>
      </c>
      <c r="G3" s="3">
        <f t="shared" ref="G3:AH3" si="0">+F42</f>
        <v>816697.41000000015</v>
      </c>
      <c r="H3" s="3">
        <f t="shared" si="0"/>
        <v>816697.41000000015</v>
      </c>
      <c r="I3" s="3">
        <f t="shared" si="0"/>
        <v>786632.41000000015</v>
      </c>
      <c r="J3" s="3">
        <f t="shared" si="0"/>
        <v>786632.41000000015</v>
      </c>
      <c r="K3" s="3">
        <f t="shared" si="0"/>
        <v>786632.41000000015</v>
      </c>
      <c r="L3" s="3">
        <f t="shared" si="0"/>
        <v>774632.41000000015</v>
      </c>
      <c r="M3" s="3">
        <f t="shared" si="0"/>
        <v>774632.41000000015</v>
      </c>
      <c r="N3" s="3">
        <f t="shared" si="0"/>
        <v>774632.41000000015</v>
      </c>
      <c r="O3" s="3">
        <f t="shared" si="0"/>
        <v>774632.41000000015</v>
      </c>
      <c r="P3" s="3">
        <f t="shared" si="0"/>
        <v>774632.41000000015</v>
      </c>
      <c r="Q3" s="3">
        <f t="shared" si="0"/>
        <v>774632.41000000015</v>
      </c>
      <c r="R3" s="3">
        <f t="shared" si="0"/>
        <v>774632.41000000015</v>
      </c>
      <c r="S3" s="3">
        <f t="shared" si="0"/>
        <v>39718.410000000149</v>
      </c>
      <c r="T3" s="3">
        <f t="shared" si="0"/>
        <v>32648.410000000149</v>
      </c>
      <c r="U3" s="3">
        <f t="shared" si="0"/>
        <v>25148.410000000149</v>
      </c>
      <c r="V3" s="3">
        <f t="shared" si="0"/>
        <v>25148.410000000149</v>
      </c>
      <c r="W3" s="3">
        <f t="shared" si="0"/>
        <v>25148.410000000149</v>
      </c>
      <c r="X3" s="3">
        <f t="shared" si="0"/>
        <v>-39510.589999999851</v>
      </c>
      <c r="Y3" s="3">
        <f t="shared" si="0"/>
        <v>-39510.589999999851</v>
      </c>
      <c r="Z3" s="3">
        <f t="shared" si="0"/>
        <v>-47527.589999999851</v>
      </c>
      <c r="AA3" s="3">
        <f t="shared" si="0"/>
        <v>-62166.589999999851</v>
      </c>
      <c r="AB3" s="3">
        <f t="shared" si="0"/>
        <v>-62166.589999999851</v>
      </c>
      <c r="AC3" s="3">
        <f t="shared" si="0"/>
        <v>-62166.589999999851</v>
      </c>
      <c r="AD3" s="3">
        <f t="shared" si="0"/>
        <v>-65491.589999999851</v>
      </c>
      <c r="AE3" s="3">
        <f t="shared" si="0"/>
        <v>-65491.589999999851</v>
      </c>
      <c r="AF3" s="3">
        <f t="shared" si="0"/>
        <v>-65491.589999999851</v>
      </c>
      <c r="AG3" s="3">
        <f t="shared" si="0"/>
        <v>-65491.589999999851</v>
      </c>
      <c r="AH3" s="3">
        <f t="shared" si="0"/>
        <v>-85085.589999999851</v>
      </c>
      <c r="AI3" s="3" t="s">
        <v>13</v>
      </c>
      <c r="AJ3" s="3" t="s">
        <v>13</v>
      </c>
      <c r="AK3" s="3" t="s">
        <v>13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37" x14ac:dyDescent="0.35">
      <c r="A5" t="s">
        <v>80</v>
      </c>
      <c r="B5" t="s">
        <v>78</v>
      </c>
      <c r="C5" s="5">
        <v>43817</v>
      </c>
      <c r="D5" s="3">
        <v>267000</v>
      </c>
      <c r="E5" t="s">
        <v>44</v>
      </c>
      <c r="F5" s="3"/>
      <c r="G5" s="3"/>
      <c r="H5" s="3"/>
      <c r="I5" s="3"/>
      <c r="L5" s="3"/>
      <c r="M5" s="3"/>
      <c r="N5" s="3"/>
      <c r="O5" s="3"/>
      <c r="P5" s="3"/>
      <c r="R5" s="3"/>
      <c r="S5" s="3"/>
      <c r="T5" s="3"/>
      <c r="U5" s="3"/>
      <c r="V5" s="3"/>
      <c r="AF5" s="3" t="s">
        <v>13</v>
      </c>
      <c r="AH5" s="3" t="s">
        <v>13</v>
      </c>
    </row>
    <row r="6" spans="1:37" x14ac:dyDescent="0.35">
      <c r="A6" t="s">
        <v>89</v>
      </c>
      <c r="B6" t="s">
        <v>90</v>
      </c>
      <c r="C6" s="5">
        <v>43820</v>
      </c>
      <c r="D6" s="3">
        <v>267000</v>
      </c>
      <c r="E6" t="s">
        <v>44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/>
      <c r="U6" s="3"/>
      <c r="V6" s="3"/>
      <c r="W6" s="3"/>
      <c r="AF6" s="3" t="s">
        <v>13</v>
      </c>
      <c r="AH6" s="3" t="s">
        <v>13</v>
      </c>
    </row>
    <row r="7" spans="1:37" x14ac:dyDescent="0.35">
      <c r="A7" t="s">
        <v>166</v>
      </c>
      <c r="B7" t="s">
        <v>19</v>
      </c>
      <c r="C7" s="5">
        <v>43836</v>
      </c>
      <c r="D7" s="3">
        <v>267000</v>
      </c>
      <c r="E7" t="s">
        <v>44</v>
      </c>
      <c r="F7" s="3"/>
      <c r="G7" s="3"/>
      <c r="H7" s="3"/>
      <c r="I7" s="3"/>
      <c r="J7" s="3"/>
      <c r="L7" s="3"/>
      <c r="M7" s="3"/>
      <c r="N7" s="3"/>
      <c r="O7" s="3"/>
      <c r="P7" s="3"/>
      <c r="R7" s="3"/>
      <c r="S7" s="3"/>
      <c r="T7" s="3"/>
      <c r="U7" s="3"/>
      <c r="V7" s="3"/>
      <c r="W7" s="3"/>
      <c r="AF7" t="s">
        <v>13</v>
      </c>
      <c r="AH7" s="3" t="s">
        <v>13</v>
      </c>
    </row>
    <row r="8" spans="1:37" x14ac:dyDescent="0.35">
      <c r="A8" t="s">
        <v>174</v>
      </c>
      <c r="B8" t="s">
        <v>55</v>
      </c>
      <c r="C8" s="5">
        <v>43848</v>
      </c>
      <c r="D8" s="3">
        <v>160200</v>
      </c>
      <c r="E8" t="s">
        <v>44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AH8" s="3" t="s">
        <v>13</v>
      </c>
    </row>
    <row r="9" spans="1:37" x14ac:dyDescent="0.35">
      <c r="A9" t="s">
        <v>199</v>
      </c>
      <c r="B9" t="s">
        <v>63</v>
      </c>
      <c r="C9" s="5">
        <v>43865</v>
      </c>
      <c r="D9" s="3">
        <v>160200</v>
      </c>
      <c r="E9" t="s">
        <v>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H9" s="3" t="s">
        <v>13</v>
      </c>
    </row>
    <row r="10" spans="1:37" x14ac:dyDescent="0.35">
      <c r="A10" t="s">
        <v>203</v>
      </c>
      <c r="B10" t="s">
        <v>58</v>
      </c>
      <c r="C10" s="5">
        <v>43866</v>
      </c>
      <c r="D10" s="3">
        <v>33728</v>
      </c>
      <c r="E10" t="s">
        <v>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AH10" s="3" t="s">
        <v>13</v>
      </c>
    </row>
    <row r="11" spans="1:37" x14ac:dyDescent="0.35">
      <c r="A11" t="s">
        <v>207</v>
      </c>
      <c r="B11" t="s">
        <v>208</v>
      </c>
      <c r="C11" s="5">
        <v>43876</v>
      </c>
      <c r="D11" s="3">
        <v>160200</v>
      </c>
      <c r="E11" t="s">
        <v>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37" x14ac:dyDescent="0.35">
      <c r="A12" t="s">
        <v>235</v>
      </c>
      <c r="B12" t="s">
        <v>234</v>
      </c>
      <c r="C12" s="5">
        <v>43882</v>
      </c>
      <c r="D12" s="3">
        <v>160200</v>
      </c>
      <c r="E12" t="s">
        <v>44</v>
      </c>
      <c r="F12" s="3"/>
      <c r="G12" s="3"/>
      <c r="H12" s="3"/>
      <c r="I12" s="3" t="s">
        <v>13</v>
      </c>
      <c r="J12" s="3" t="s">
        <v>13</v>
      </c>
      <c r="K12" s="3" t="s">
        <v>13</v>
      </c>
      <c r="L12" s="3" t="s">
        <v>13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37" x14ac:dyDescent="0.35">
      <c r="C13" s="5"/>
      <c r="D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37" x14ac:dyDescent="0.35">
      <c r="A14" t="s">
        <v>60</v>
      </c>
      <c r="F14" s="3">
        <v>0</v>
      </c>
      <c r="G14" s="3">
        <v>0</v>
      </c>
      <c r="H14" s="3"/>
      <c r="I14" s="3"/>
      <c r="J14" s="3"/>
      <c r="K14" s="3" t="s">
        <v>13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37" x14ac:dyDescent="0.35">
      <c r="A15" t="s">
        <v>1</v>
      </c>
      <c r="F15" s="3"/>
      <c r="G15" s="3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37" x14ac:dyDescent="0.35"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4" x14ac:dyDescent="0.35"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4" x14ac:dyDescent="0.35">
      <c r="A18" s="2" t="s">
        <v>6</v>
      </c>
      <c r="F18" s="3">
        <f>SUM(F5:F17)</f>
        <v>0</v>
      </c>
      <c r="G18" s="3">
        <f t="shared" ref="G18:AG18" si="1">SUM(G5:G17)</f>
        <v>0</v>
      </c>
      <c r="H18" s="3">
        <f t="shared" si="1"/>
        <v>0</v>
      </c>
      <c r="I18" s="3">
        <f t="shared" si="1"/>
        <v>0</v>
      </c>
      <c r="J18" s="3">
        <f t="shared" si="1"/>
        <v>0</v>
      </c>
      <c r="K18" s="3">
        <f t="shared" si="1"/>
        <v>0</v>
      </c>
      <c r="L18" s="3">
        <f t="shared" si="1"/>
        <v>0</v>
      </c>
      <c r="M18" s="3">
        <f t="shared" si="1"/>
        <v>0</v>
      </c>
      <c r="N18" s="3">
        <f t="shared" si="1"/>
        <v>0</v>
      </c>
      <c r="O18" s="3">
        <f t="shared" si="1"/>
        <v>0</v>
      </c>
      <c r="P18" s="3">
        <f t="shared" si="1"/>
        <v>0</v>
      </c>
      <c r="Q18" s="3">
        <f>SUM(Q5:Q17)</f>
        <v>0</v>
      </c>
      <c r="R18" s="3">
        <f t="shared" si="1"/>
        <v>0</v>
      </c>
      <c r="S18" s="3">
        <f t="shared" si="1"/>
        <v>0</v>
      </c>
      <c r="T18" s="3">
        <f t="shared" si="1"/>
        <v>0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3">
        <f t="shared" si="1"/>
        <v>0</v>
      </c>
      <c r="Y18" s="3">
        <f t="shared" si="1"/>
        <v>0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>SUM(AH5:AH17)</f>
        <v>0</v>
      </c>
    </row>
    <row r="19" spans="1:34" x14ac:dyDescent="0.35">
      <c r="A19" s="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4" x14ac:dyDescent="0.35">
      <c r="A20" s="2" t="s">
        <v>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4" x14ac:dyDescent="0.35">
      <c r="A21" t="s">
        <v>190</v>
      </c>
      <c r="B21" s="63" t="s">
        <v>191</v>
      </c>
      <c r="C21" s="5">
        <v>43864</v>
      </c>
      <c r="D21" s="3">
        <v>16065</v>
      </c>
      <c r="E21" t="s">
        <v>5</v>
      </c>
      <c r="F21" s="3"/>
      <c r="G21" s="3"/>
      <c r="H21" s="3">
        <f>+D21</f>
        <v>16065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4" x14ac:dyDescent="0.35">
      <c r="A22" t="s">
        <v>218</v>
      </c>
      <c r="B22" t="s">
        <v>192</v>
      </c>
      <c r="C22" s="5">
        <v>43864</v>
      </c>
      <c r="D22" s="3">
        <v>14000</v>
      </c>
      <c r="E22" t="s">
        <v>4</v>
      </c>
      <c r="F22" s="3"/>
      <c r="G22" s="3"/>
      <c r="H22" s="3">
        <f>+D22</f>
        <v>14000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4" x14ac:dyDescent="0.35">
      <c r="A23" s="4" t="s">
        <v>202</v>
      </c>
      <c r="B23" t="s">
        <v>229</v>
      </c>
      <c r="C23" s="67">
        <v>43867</v>
      </c>
      <c r="D23" s="3">
        <v>500000</v>
      </c>
      <c r="E23" t="s">
        <v>5</v>
      </c>
      <c r="F23" s="3"/>
      <c r="G23" s="3" t="s">
        <v>13</v>
      </c>
      <c r="H23" s="3" t="s">
        <v>13</v>
      </c>
      <c r="I23" s="3"/>
      <c r="M23" s="3"/>
      <c r="N23" s="3"/>
      <c r="O23" s="3"/>
      <c r="P23" s="3"/>
      <c r="Q23" s="3"/>
      <c r="R23" s="3">
        <f>+D23</f>
        <v>500000</v>
      </c>
      <c r="S23" s="3"/>
      <c r="T23" s="3"/>
      <c r="U23" s="3"/>
      <c r="V23" s="3"/>
      <c r="W23" s="3"/>
    </row>
    <row r="24" spans="1:34" x14ac:dyDescent="0.35">
      <c r="A24" t="s">
        <v>227</v>
      </c>
      <c r="B24" t="s">
        <v>228</v>
      </c>
      <c r="C24" s="5">
        <v>43867</v>
      </c>
      <c r="D24" s="3">
        <v>118014</v>
      </c>
      <c r="E24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">
        <v>13</v>
      </c>
      <c r="L24" t="s">
        <v>13</v>
      </c>
      <c r="M24" s="3"/>
      <c r="N24" s="3" t="s">
        <v>13</v>
      </c>
      <c r="O24" s="3"/>
      <c r="P24" s="3"/>
      <c r="Q24" s="3"/>
      <c r="R24" s="3">
        <f>('DIC-19'!W5+'ENE-20'!R5+'ENE-20'!R6)*0.17</f>
        <v>118014.00000000001</v>
      </c>
      <c r="S24" s="3"/>
      <c r="U24" s="3"/>
      <c r="V24" s="3" t="s">
        <v>13</v>
      </c>
      <c r="W24" s="3" t="s">
        <v>13</v>
      </c>
      <c r="X24" s="3" t="s">
        <v>13</v>
      </c>
      <c r="Y24" t="s">
        <v>13</v>
      </c>
      <c r="Z24" s="3" t="s">
        <v>13</v>
      </c>
    </row>
    <row r="25" spans="1:34" x14ac:dyDescent="0.35">
      <c r="A25" t="s">
        <v>222</v>
      </c>
      <c r="B25" t="s">
        <v>13</v>
      </c>
      <c r="C25" s="5">
        <v>43871</v>
      </c>
      <c r="D25" s="3">
        <f>+R25</f>
        <v>116900</v>
      </c>
      <c r="E25" t="s">
        <v>13</v>
      </c>
      <c r="F25" s="3"/>
      <c r="G25" s="3" t="s">
        <v>13</v>
      </c>
      <c r="H25" s="3" t="s">
        <v>13</v>
      </c>
      <c r="I25" s="3"/>
      <c r="J25" s="3"/>
      <c r="K25" s="3"/>
      <c r="L25" s="3"/>
      <c r="M25" s="3"/>
      <c r="N25" s="3"/>
      <c r="O25" s="3">
        <f>+'DIC-19'!J18*(1/0.9-1)</f>
        <v>0</v>
      </c>
      <c r="P25" s="3"/>
      <c r="Q25" s="3" t="s">
        <v>13</v>
      </c>
      <c r="R25" s="3">
        <v>116900</v>
      </c>
      <c r="T25" s="3"/>
      <c r="U25" s="3"/>
      <c r="V25" s="3"/>
      <c r="W25" s="3"/>
    </row>
    <row r="26" spans="1:34" x14ac:dyDescent="0.35">
      <c r="A26" t="s">
        <v>217</v>
      </c>
      <c r="B26" t="s">
        <v>201</v>
      </c>
      <c r="C26" s="5">
        <v>43867</v>
      </c>
      <c r="D26" s="3">
        <v>12000</v>
      </c>
      <c r="E26" t="s">
        <v>4</v>
      </c>
      <c r="F26" s="3"/>
      <c r="G26" s="3" t="s">
        <v>13</v>
      </c>
      <c r="H26" s="3"/>
      <c r="I26" s="3"/>
      <c r="J26" s="3"/>
      <c r="K26" s="3">
        <f>+D26</f>
        <v>12000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34" x14ac:dyDescent="0.35">
      <c r="A27" s="4" t="s">
        <v>211</v>
      </c>
      <c r="B27" t="s">
        <v>209</v>
      </c>
      <c r="C27" s="5">
        <v>43875</v>
      </c>
      <c r="D27" s="3">
        <v>7070</v>
      </c>
      <c r="E27" t="s">
        <v>4</v>
      </c>
      <c r="F27" s="3"/>
      <c r="G27" s="3"/>
      <c r="H27" s="3"/>
      <c r="I27" s="3" t="s">
        <v>13</v>
      </c>
      <c r="J27" s="3"/>
      <c r="K27" s="3"/>
      <c r="L27" s="3"/>
      <c r="M27" s="3"/>
      <c r="N27" s="3"/>
      <c r="O27" s="3"/>
      <c r="P27" s="3"/>
      <c r="Q27" s="3"/>
      <c r="R27" s="3"/>
      <c r="S27" s="3">
        <v>7070</v>
      </c>
      <c r="T27" s="3"/>
      <c r="U27" s="3"/>
      <c r="V27" s="3"/>
      <c r="W27" s="3"/>
    </row>
    <row r="28" spans="1:34" x14ac:dyDescent="0.35">
      <c r="A28" s="4" t="s">
        <v>211</v>
      </c>
      <c r="B28" t="s">
        <v>210</v>
      </c>
      <c r="C28" s="5">
        <v>43876</v>
      </c>
      <c r="D28" s="3">
        <v>7500</v>
      </c>
      <c r="E28" t="s">
        <v>4</v>
      </c>
      <c r="F28" s="3"/>
      <c r="G28" s="3"/>
      <c r="H28" s="3"/>
      <c r="I28" s="3" t="s">
        <v>13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>
        <v>7500</v>
      </c>
      <c r="U28" s="3"/>
      <c r="V28" s="3"/>
      <c r="W28" s="3"/>
    </row>
    <row r="29" spans="1:34" x14ac:dyDescent="0.35">
      <c r="A29" s="4" t="s">
        <v>219</v>
      </c>
      <c r="B29" t="s">
        <v>212</v>
      </c>
      <c r="C29" s="5">
        <v>43879</v>
      </c>
      <c r="D29" s="3">
        <v>13000</v>
      </c>
      <c r="E29" t="s">
        <v>4</v>
      </c>
      <c r="F29" s="3"/>
      <c r="G29" s="3"/>
      <c r="H29" s="3"/>
      <c r="I29" s="3" t="s">
        <v>13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>
        <v>13000</v>
      </c>
    </row>
    <row r="30" spans="1:34" x14ac:dyDescent="0.35">
      <c r="A30" s="4" t="s">
        <v>213</v>
      </c>
      <c r="B30" s="63" t="s">
        <v>214</v>
      </c>
      <c r="C30" s="5">
        <v>43879</v>
      </c>
      <c r="D30" s="3">
        <v>15959</v>
      </c>
      <c r="E30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>
        <v>15959</v>
      </c>
      <c r="AE30" s="3"/>
      <c r="AF30" s="3"/>
      <c r="AG30" s="3"/>
      <c r="AH30" s="3"/>
    </row>
    <row r="31" spans="1:34" x14ac:dyDescent="0.35">
      <c r="A31" t="s">
        <v>215</v>
      </c>
      <c r="B31" s="63" t="s">
        <v>216</v>
      </c>
      <c r="C31" s="5">
        <v>43879</v>
      </c>
      <c r="D31" s="3">
        <v>35700</v>
      </c>
      <c r="E31" t="s">
        <v>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>
        <v>35700</v>
      </c>
      <c r="AE31" s="3"/>
      <c r="AF31" s="3"/>
      <c r="AG31" s="3"/>
      <c r="AH31" s="3"/>
    </row>
    <row r="32" spans="1:34" x14ac:dyDescent="0.35">
      <c r="A32" s="4" t="s">
        <v>230</v>
      </c>
      <c r="B32" t="s">
        <v>233</v>
      </c>
      <c r="C32" s="67">
        <v>43881</v>
      </c>
      <c r="D32" s="3">
        <v>8017</v>
      </c>
      <c r="E32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>
        <v>8017</v>
      </c>
      <c r="AE32" s="3"/>
      <c r="AF32" s="3"/>
      <c r="AG32" s="3"/>
      <c r="AH32" s="3"/>
    </row>
    <row r="33" spans="1:38" x14ac:dyDescent="0.35">
      <c r="A33" t="s">
        <v>232</v>
      </c>
      <c r="B33" t="s">
        <v>231</v>
      </c>
      <c r="C33" s="67">
        <v>43882</v>
      </c>
      <c r="D33" s="3">
        <v>14639</v>
      </c>
      <c r="E33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Y33" s="3" t="s">
        <v>13</v>
      </c>
      <c r="Z33" s="3">
        <v>14639</v>
      </c>
      <c r="AE33" s="3"/>
      <c r="AF33" s="3"/>
      <c r="AG33" s="3"/>
      <c r="AH33" s="3"/>
    </row>
    <row r="34" spans="1:38" x14ac:dyDescent="0.35">
      <c r="A34" t="s">
        <v>236</v>
      </c>
      <c r="C34" s="67">
        <v>43882</v>
      </c>
      <c r="D34" s="3">
        <v>18185</v>
      </c>
      <c r="E34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E34" s="3"/>
      <c r="AF34" s="3"/>
      <c r="AG34" s="3"/>
      <c r="AH34" s="3"/>
    </row>
    <row r="35" spans="1:38" x14ac:dyDescent="0.35">
      <c r="A35" t="s">
        <v>237</v>
      </c>
      <c r="B35" s="63" t="s">
        <v>238</v>
      </c>
      <c r="C35" s="67">
        <v>43885</v>
      </c>
      <c r="D35" s="3">
        <v>3325</v>
      </c>
      <c r="E35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C35" s="3">
        <v>3325</v>
      </c>
      <c r="AE35" s="3"/>
      <c r="AF35" s="3"/>
      <c r="AG35" s="3"/>
      <c r="AH35" s="3"/>
    </row>
    <row r="36" spans="1:38" x14ac:dyDescent="0.35">
      <c r="A36" t="s">
        <v>236</v>
      </c>
      <c r="C36" s="67">
        <v>43889</v>
      </c>
      <c r="D36" s="3">
        <v>19594</v>
      </c>
      <c r="E36" t="s">
        <v>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F36" s="3"/>
      <c r="AG36" s="3">
        <v>19594</v>
      </c>
      <c r="AH36" s="3"/>
    </row>
    <row r="37" spans="1:38" x14ac:dyDescent="0.35">
      <c r="B37" t="s">
        <v>13</v>
      </c>
      <c r="C37" s="5"/>
      <c r="D37" s="70" t="s">
        <v>13</v>
      </c>
      <c r="E37" t="s">
        <v>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38" x14ac:dyDescent="0.35">
      <c r="C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38" x14ac:dyDescent="0.35">
      <c r="C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38" x14ac:dyDescent="0.35">
      <c r="C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38" x14ac:dyDescent="0.35">
      <c r="A41" s="2" t="s">
        <v>9</v>
      </c>
      <c r="F41" s="3">
        <f t="shared" ref="F41:AH41" si="2">SUM(F21:F37)</f>
        <v>0</v>
      </c>
      <c r="G41" s="3">
        <f t="shared" si="2"/>
        <v>0</v>
      </c>
      <c r="H41" s="3">
        <f t="shared" si="2"/>
        <v>30065</v>
      </c>
      <c r="I41" s="3">
        <f t="shared" si="2"/>
        <v>0</v>
      </c>
      <c r="J41" s="3">
        <f t="shared" si="2"/>
        <v>0</v>
      </c>
      <c r="K41" s="3">
        <f t="shared" si="2"/>
        <v>12000</v>
      </c>
      <c r="L41" s="3">
        <f t="shared" si="2"/>
        <v>0</v>
      </c>
      <c r="M41" s="3">
        <f t="shared" si="2"/>
        <v>0</v>
      </c>
      <c r="N41" s="3">
        <f t="shared" si="2"/>
        <v>0</v>
      </c>
      <c r="O41" s="3">
        <f t="shared" si="2"/>
        <v>0</v>
      </c>
      <c r="P41" s="3">
        <f t="shared" si="2"/>
        <v>0</v>
      </c>
      <c r="Q41" s="3">
        <f t="shared" si="2"/>
        <v>0</v>
      </c>
      <c r="R41" s="3">
        <f t="shared" si="2"/>
        <v>734914</v>
      </c>
      <c r="S41" s="3">
        <f t="shared" si="2"/>
        <v>7070</v>
      </c>
      <c r="T41" s="3">
        <f t="shared" si="2"/>
        <v>7500</v>
      </c>
      <c r="U41" s="3">
        <f t="shared" si="2"/>
        <v>0</v>
      </c>
      <c r="V41" s="3">
        <f t="shared" si="2"/>
        <v>0</v>
      </c>
      <c r="W41" s="3">
        <f t="shared" si="2"/>
        <v>64659</v>
      </c>
      <c r="X41" s="3">
        <f t="shared" si="2"/>
        <v>0</v>
      </c>
      <c r="Y41" s="3">
        <f t="shared" si="2"/>
        <v>8017</v>
      </c>
      <c r="Z41" s="3">
        <f t="shared" si="2"/>
        <v>14639</v>
      </c>
      <c r="AA41" s="3">
        <f t="shared" si="2"/>
        <v>0</v>
      </c>
      <c r="AB41" s="3">
        <f t="shared" si="2"/>
        <v>0</v>
      </c>
      <c r="AC41" s="3">
        <f t="shared" si="2"/>
        <v>3325</v>
      </c>
      <c r="AD41" s="3">
        <f t="shared" si="2"/>
        <v>0</v>
      </c>
      <c r="AE41" s="3">
        <f t="shared" si="2"/>
        <v>0</v>
      </c>
      <c r="AF41" s="3">
        <f t="shared" si="2"/>
        <v>0</v>
      </c>
      <c r="AG41" s="3">
        <f t="shared" si="2"/>
        <v>19594</v>
      </c>
      <c r="AH41" s="3">
        <f t="shared" si="2"/>
        <v>0</v>
      </c>
      <c r="AI41" s="3" t="s">
        <v>13</v>
      </c>
      <c r="AJ41" s="3" t="s">
        <v>13</v>
      </c>
      <c r="AK41" s="3" t="s">
        <v>13</v>
      </c>
      <c r="AL41" s="3" t="s">
        <v>13</v>
      </c>
    </row>
    <row r="42" spans="1:38" x14ac:dyDescent="0.35">
      <c r="A42" t="s">
        <v>8</v>
      </c>
      <c r="F42" s="3">
        <f>+F18+F3-F41</f>
        <v>816697.41000000015</v>
      </c>
      <c r="G42" s="3">
        <f t="shared" ref="G42:AH42" si="3">+G3+G18-G41</f>
        <v>816697.41000000015</v>
      </c>
      <c r="H42" s="3">
        <f t="shared" si="3"/>
        <v>786632.41000000015</v>
      </c>
      <c r="I42" s="3">
        <f t="shared" si="3"/>
        <v>786632.41000000015</v>
      </c>
      <c r="J42" s="3">
        <f t="shared" si="3"/>
        <v>786632.41000000015</v>
      </c>
      <c r="K42" s="3">
        <f t="shared" si="3"/>
        <v>774632.41000000015</v>
      </c>
      <c r="L42" s="3">
        <f t="shared" si="3"/>
        <v>774632.41000000015</v>
      </c>
      <c r="M42" s="3">
        <f t="shared" si="3"/>
        <v>774632.41000000015</v>
      </c>
      <c r="N42" s="3">
        <f t="shared" si="3"/>
        <v>774632.41000000015</v>
      </c>
      <c r="O42" s="3">
        <f t="shared" si="3"/>
        <v>774632.41000000015</v>
      </c>
      <c r="P42" s="3">
        <f t="shared" si="3"/>
        <v>774632.41000000015</v>
      </c>
      <c r="Q42" s="3">
        <f t="shared" si="3"/>
        <v>774632.41000000015</v>
      </c>
      <c r="R42" s="3">
        <f t="shared" si="3"/>
        <v>39718.410000000149</v>
      </c>
      <c r="S42" s="3">
        <f t="shared" si="3"/>
        <v>32648.410000000149</v>
      </c>
      <c r="T42" s="3">
        <f t="shared" si="3"/>
        <v>25148.410000000149</v>
      </c>
      <c r="U42" s="3">
        <f t="shared" si="3"/>
        <v>25148.410000000149</v>
      </c>
      <c r="V42" s="3">
        <f t="shared" si="3"/>
        <v>25148.410000000149</v>
      </c>
      <c r="W42" s="3">
        <f t="shared" si="3"/>
        <v>-39510.589999999851</v>
      </c>
      <c r="X42" s="3">
        <f t="shared" si="3"/>
        <v>-39510.589999999851</v>
      </c>
      <c r="Y42" s="3">
        <f t="shared" si="3"/>
        <v>-47527.589999999851</v>
      </c>
      <c r="Z42" s="3">
        <f t="shared" si="3"/>
        <v>-62166.589999999851</v>
      </c>
      <c r="AA42" s="3">
        <f t="shared" si="3"/>
        <v>-62166.589999999851</v>
      </c>
      <c r="AB42" s="3">
        <f t="shared" si="3"/>
        <v>-62166.589999999851</v>
      </c>
      <c r="AC42" s="3">
        <f t="shared" si="3"/>
        <v>-65491.589999999851</v>
      </c>
      <c r="AD42" s="3">
        <f t="shared" si="3"/>
        <v>-65491.589999999851</v>
      </c>
      <c r="AE42" s="3">
        <f t="shared" si="3"/>
        <v>-65491.589999999851</v>
      </c>
      <c r="AF42" s="3">
        <f t="shared" si="3"/>
        <v>-65491.589999999851</v>
      </c>
      <c r="AG42" s="3">
        <f t="shared" si="3"/>
        <v>-85085.589999999851</v>
      </c>
      <c r="AH42" s="3">
        <f t="shared" si="3"/>
        <v>-85085.589999999851</v>
      </c>
      <c r="AI42" s="3" t="s">
        <v>13</v>
      </c>
      <c r="AJ42" s="3" t="s">
        <v>13</v>
      </c>
      <c r="AK42" t="s">
        <v>13</v>
      </c>
    </row>
    <row r="43" spans="1:38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38" x14ac:dyDescent="0.35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38" x14ac:dyDescent="0.3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38" x14ac:dyDescent="0.35">
      <c r="F46" s="3"/>
      <c r="G46" s="3" t="s">
        <v>13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38" x14ac:dyDescent="0.35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38" x14ac:dyDescent="0.35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6:23" x14ac:dyDescent="0.35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6:23" x14ac:dyDescent="0.35"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K66"/>
  <sheetViews>
    <sheetView topLeftCell="A38" workbookViewId="0">
      <selection activeCell="A50" sqref="A50"/>
    </sheetView>
  </sheetViews>
  <sheetFormatPr baseColWidth="10" defaultColWidth="11.08984375" defaultRowHeight="14.5" x14ac:dyDescent="0.35"/>
  <cols>
    <col min="1" max="1" width="41.72656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8" max="18" width="13.26953125" customWidth="1"/>
    <col min="19" max="19" width="12.1796875" customWidth="1"/>
    <col min="20" max="20" width="12.7265625" customWidth="1"/>
    <col min="21" max="21" width="12.54296875" customWidth="1"/>
    <col min="22" max="22" width="13.26953125" customWidth="1"/>
    <col min="23" max="23" width="12.54296875" customWidth="1"/>
    <col min="24" max="33" width="12.81640625" customWidth="1"/>
    <col min="34" max="35" width="13.54296875" customWidth="1"/>
    <col min="36" max="36" width="13.8164062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43891</v>
      </c>
      <c r="G2" s="1">
        <v>43892</v>
      </c>
      <c r="H2" s="73">
        <v>43893</v>
      </c>
      <c r="I2" s="1">
        <v>43894</v>
      </c>
      <c r="J2" s="1">
        <v>43895</v>
      </c>
      <c r="K2" s="1">
        <v>43896</v>
      </c>
      <c r="L2" s="1">
        <v>43897</v>
      </c>
      <c r="M2" s="1">
        <v>43898</v>
      </c>
      <c r="N2" s="1">
        <v>43899</v>
      </c>
      <c r="O2" s="1">
        <v>43900</v>
      </c>
      <c r="P2" s="1">
        <v>43901</v>
      </c>
      <c r="Q2" s="1">
        <v>43902</v>
      </c>
      <c r="R2" s="1">
        <v>43903</v>
      </c>
      <c r="S2" s="1">
        <v>43904</v>
      </c>
      <c r="T2" s="1">
        <v>43905</v>
      </c>
      <c r="U2" s="1">
        <v>43906</v>
      </c>
      <c r="V2" s="1">
        <v>43907</v>
      </c>
      <c r="W2" s="1">
        <v>43908</v>
      </c>
      <c r="X2" s="1">
        <v>43909</v>
      </c>
      <c r="Y2" s="1">
        <v>43910</v>
      </c>
      <c r="Z2" s="1">
        <v>43911</v>
      </c>
      <c r="AA2" s="1">
        <v>43912</v>
      </c>
      <c r="AB2" s="1">
        <v>43913</v>
      </c>
      <c r="AC2" s="1">
        <v>43914</v>
      </c>
      <c r="AD2" s="114">
        <v>43915</v>
      </c>
      <c r="AE2" s="1">
        <v>43916</v>
      </c>
      <c r="AF2" s="1">
        <v>43917</v>
      </c>
      <c r="AG2" s="1">
        <v>43918</v>
      </c>
      <c r="AH2" s="1">
        <v>43919</v>
      </c>
      <c r="AI2" s="1">
        <v>43920</v>
      </c>
      <c r="AJ2" s="1">
        <v>43921</v>
      </c>
      <c r="AK2" s="1" t="s">
        <v>13</v>
      </c>
    </row>
    <row r="3" spans="1:37" x14ac:dyDescent="0.35">
      <c r="A3" t="s">
        <v>7</v>
      </c>
      <c r="F3" s="3">
        <f>+'FEB-20'!AH42</f>
        <v>-85085.589999999851</v>
      </c>
      <c r="G3" s="3">
        <f t="shared" ref="G3:AH3" si="0">+F58</f>
        <v>-85085.589999999851</v>
      </c>
      <c r="H3" s="7">
        <f t="shared" si="0"/>
        <v>-85085.589999999851</v>
      </c>
      <c r="I3" s="3">
        <f t="shared" si="0"/>
        <v>-85085.589999999851</v>
      </c>
      <c r="J3" s="3">
        <f t="shared" si="0"/>
        <v>-85085.589999999851</v>
      </c>
      <c r="K3" s="3">
        <f t="shared" si="0"/>
        <v>-85085.589999999851</v>
      </c>
      <c r="L3" s="3">
        <f t="shared" si="0"/>
        <v>-85085.589999999851</v>
      </c>
      <c r="M3" s="3">
        <f t="shared" si="0"/>
        <v>-85085.589999999851</v>
      </c>
      <c r="N3" s="3">
        <f t="shared" si="0"/>
        <v>-85085.589999999851</v>
      </c>
      <c r="O3" s="3">
        <f t="shared" si="0"/>
        <v>-85085.589999999851</v>
      </c>
      <c r="P3" s="3">
        <f t="shared" si="0"/>
        <v>-93585.589999999851</v>
      </c>
      <c r="Q3" s="3">
        <f t="shared" si="0"/>
        <v>-93585.589999999851</v>
      </c>
      <c r="R3" s="3">
        <f t="shared" si="0"/>
        <v>-291140.58999999985</v>
      </c>
      <c r="S3" s="3">
        <f t="shared" si="0"/>
        <v>-306140.58999999985</v>
      </c>
      <c r="T3" s="3">
        <f t="shared" si="0"/>
        <v>-313177.58999999985</v>
      </c>
      <c r="U3" s="3">
        <f t="shared" si="0"/>
        <v>-313177.58999999985</v>
      </c>
      <c r="V3" s="3">
        <f t="shared" si="0"/>
        <v>-321445.58999999985</v>
      </c>
      <c r="W3" s="3">
        <f t="shared" si="0"/>
        <v>-321445.58999999985</v>
      </c>
      <c r="X3" s="3">
        <f t="shared" si="0"/>
        <v>1117055.4100000001</v>
      </c>
      <c r="Y3" s="3">
        <f t="shared" si="0"/>
        <v>1041199.6733053223</v>
      </c>
      <c r="Z3" s="3">
        <f t="shared" si="0"/>
        <v>1026449.6733053223</v>
      </c>
      <c r="AA3" s="3">
        <f t="shared" si="0"/>
        <v>1026449.6733053223</v>
      </c>
      <c r="AB3" s="3">
        <f t="shared" si="0"/>
        <v>1026449.6733053223</v>
      </c>
      <c r="AC3" s="3">
        <f t="shared" si="0"/>
        <v>1026449.6733053223</v>
      </c>
      <c r="AD3" s="71">
        <f t="shared" si="0"/>
        <v>1026449.6733053223</v>
      </c>
      <c r="AE3" s="3">
        <f t="shared" si="0"/>
        <v>1026449.6733053223</v>
      </c>
      <c r="AF3" s="3">
        <f t="shared" si="0"/>
        <v>1026449.6733053223</v>
      </c>
      <c r="AG3" s="3">
        <f t="shared" si="0"/>
        <v>1026449.6733053223</v>
      </c>
      <c r="AH3" s="3">
        <f t="shared" si="0"/>
        <v>1026449.6733053223</v>
      </c>
      <c r="AI3" s="3">
        <f>+AH58</f>
        <v>1026449.6733053223</v>
      </c>
      <c r="AJ3" s="3">
        <f>+AI58</f>
        <v>1026449.6733053223</v>
      </c>
      <c r="AK3" s="3" t="s">
        <v>13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7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D4" s="61"/>
    </row>
    <row r="5" spans="1:37" x14ac:dyDescent="0.35">
      <c r="A5" t="s">
        <v>80</v>
      </c>
      <c r="B5" t="s">
        <v>78</v>
      </c>
      <c r="C5" s="5">
        <v>43817</v>
      </c>
      <c r="D5" s="3">
        <v>267000</v>
      </c>
      <c r="E5" t="s">
        <v>44</v>
      </c>
      <c r="F5" s="3" t="s">
        <v>13</v>
      </c>
      <c r="G5" s="3"/>
      <c r="H5" s="7"/>
      <c r="I5" s="3"/>
      <c r="L5" s="3"/>
      <c r="M5" s="3"/>
      <c r="N5" s="3"/>
      <c r="O5" s="3"/>
      <c r="P5" s="3"/>
      <c r="R5" s="3"/>
      <c r="S5" s="3"/>
      <c r="U5" s="3"/>
      <c r="V5" s="3"/>
      <c r="AD5" s="61"/>
      <c r="AH5" s="3" t="s">
        <v>13</v>
      </c>
      <c r="AI5" s="3" t="s">
        <v>13</v>
      </c>
      <c r="AJ5" s="3">
        <v>0</v>
      </c>
    </row>
    <row r="6" spans="1:37" x14ac:dyDescent="0.35">
      <c r="A6" t="s">
        <v>199</v>
      </c>
      <c r="B6" t="s">
        <v>63</v>
      </c>
      <c r="C6" s="5">
        <v>43865</v>
      </c>
      <c r="D6" s="3">
        <v>160200</v>
      </c>
      <c r="E6" t="s">
        <v>44</v>
      </c>
      <c r="F6" s="3"/>
      <c r="G6" s="3"/>
      <c r="H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AD6" s="61"/>
      <c r="AH6" s="3" t="s">
        <v>13</v>
      </c>
      <c r="AI6" s="3" t="s">
        <v>13</v>
      </c>
      <c r="AJ6" s="3" t="s">
        <v>13</v>
      </c>
    </row>
    <row r="7" spans="1:37" x14ac:dyDescent="0.35">
      <c r="A7" t="s">
        <v>203</v>
      </c>
      <c r="B7" t="s">
        <v>58</v>
      </c>
      <c r="C7" s="5">
        <v>43866</v>
      </c>
      <c r="D7" s="3">
        <v>33728</v>
      </c>
      <c r="E7" t="s">
        <v>44</v>
      </c>
      <c r="F7" s="3"/>
      <c r="G7" s="3"/>
      <c r="H7" s="7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AD7" s="61"/>
      <c r="AH7" s="3" t="s">
        <v>13</v>
      </c>
      <c r="AI7" s="3" t="s">
        <v>13</v>
      </c>
      <c r="AJ7" s="3" t="s">
        <v>13</v>
      </c>
    </row>
    <row r="8" spans="1:37" x14ac:dyDescent="0.35">
      <c r="A8" t="s">
        <v>207</v>
      </c>
      <c r="B8" t="s">
        <v>208</v>
      </c>
      <c r="C8" s="5">
        <v>43876</v>
      </c>
      <c r="D8" s="3">
        <v>160200</v>
      </c>
      <c r="E8" t="s">
        <v>44</v>
      </c>
      <c r="F8" s="3"/>
      <c r="G8" s="3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U8" s="3"/>
      <c r="V8" s="3"/>
      <c r="W8" s="3"/>
      <c r="AD8" s="61"/>
      <c r="AH8" s="3" t="s">
        <v>13</v>
      </c>
      <c r="AI8" s="3" t="s">
        <v>13</v>
      </c>
      <c r="AJ8" s="3" t="s">
        <v>13</v>
      </c>
    </row>
    <row r="9" spans="1:37" x14ac:dyDescent="0.35">
      <c r="A9" t="s">
        <v>235</v>
      </c>
      <c r="B9" t="s">
        <v>234</v>
      </c>
      <c r="C9" s="5">
        <v>43882</v>
      </c>
      <c r="D9" s="3">
        <v>160200</v>
      </c>
      <c r="E9" t="s">
        <v>44</v>
      </c>
      <c r="F9" s="3"/>
      <c r="G9" s="3"/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3"/>
      <c r="V9" s="3"/>
      <c r="W9" s="3"/>
      <c r="AD9" s="61"/>
      <c r="AH9" s="3" t="s">
        <v>13</v>
      </c>
      <c r="AI9" s="3" t="s">
        <v>13</v>
      </c>
      <c r="AJ9" s="3" t="s">
        <v>13</v>
      </c>
    </row>
    <row r="10" spans="1:37" x14ac:dyDescent="0.35">
      <c r="C10" s="5"/>
      <c r="D10" s="3">
        <f>SUM(D6:D9)*1.19</f>
        <v>612050.31999999995</v>
      </c>
      <c r="F10" s="3"/>
      <c r="G10" s="3"/>
      <c r="H10" s="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AD10" s="61"/>
      <c r="AJ10" s="3" t="s">
        <v>13</v>
      </c>
    </row>
    <row r="11" spans="1:37" x14ac:dyDescent="0.35">
      <c r="A11" t="s">
        <v>60</v>
      </c>
      <c r="F11" s="3">
        <v>0</v>
      </c>
      <c r="G11" s="3">
        <v>0</v>
      </c>
      <c r="H11" s="7"/>
      <c r="I11" s="3"/>
      <c r="J11" s="3"/>
      <c r="K11" s="3" t="s">
        <v>13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D11" s="61"/>
    </row>
    <row r="12" spans="1:37" x14ac:dyDescent="0.35">
      <c r="A12" t="s">
        <v>1</v>
      </c>
      <c r="D12" s="3">
        <v>2500000</v>
      </c>
      <c r="F12" s="3"/>
      <c r="G12" s="3">
        <v>0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>
        <v>2500000</v>
      </c>
      <c r="AD12" s="61"/>
    </row>
    <row r="13" spans="1:37" x14ac:dyDescent="0.35">
      <c r="A13" t="s">
        <v>204</v>
      </c>
      <c r="F13" s="3"/>
      <c r="G13" s="3"/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D13" s="61"/>
      <c r="AI13" s="3" t="s">
        <v>13</v>
      </c>
      <c r="AJ13" s="3" t="s">
        <v>13</v>
      </c>
      <c r="AK13" t="s">
        <v>13</v>
      </c>
    </row>
    <row r="14" spans="1:37" x14ac:dyDescent="0.35">
      <c r="F14" s="3"/>
      <c r="G14" s="3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D14" s="61"/>
    </row>
    <row r="15" spans="1:37" x14ac:dyDescent="0.35">
      <c r="F15" s="3"/>
      <c r="G15" s="3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D15" s="61"/>
    </row>
    <row r="16" spans="1:37" x14ac:dyDescent="0.35">
      <c r="A16" s="2" t="s">
        <v>6</v>
      </c>
      <c r="F16" s="3">
        <f t="shared" ref="F16:AI16" si="1">SUM(F5:F15)</f>
        <v>0</v>
      </c>
      <c r="G16" s="3">
        <f t="shared" si="1"/>
        <v>0</v>
      </c>
      <c r="H16" s="7">
        <f t="shared" si="1"/>
        <v>0</v>
      </c>
      <c r="I16" s="3">
        <f t="shared" si="1"/>
        <v>0</v>
      </c>
      <c r="J16" s="3">
        <f t="shared" si="1"/>
        <v>0</v>
      </c>
      <c r="K16" s="3">
        <f t="shared" si="1"/>
        <v>0</v>
      </c>
      <c r="L16" s="3">
        <f t="shared" si="1"/>
        <v>0</v>
      </c>
      <c r="M16" s="3">
        <f t="shared" si="1"/>
        <v>0</v>
      </c>
      <c r="N16" s="3">
        <f t="shared" si="1"/>
        <v>0</v>
      </c>
      <c r="O16" s="3">
        <f t="shared" si="1"/>
        <v>0</v>
      </c>
      <c r="P16" s="3">
        <f t="shared" si="1"/>
        <v>0</v>
      </c>
      <c r="Q16" s="3">
        <f t="shared" si="1"/>
        <v>0</v>
      </c>
      <c r="R16" s="3">
        <f t="shared" si="1"/>
        <v>0</v>
      </c>
      <c r="S16" s="3">
        <f t="shared" si="1"/>
        <v>0</v>
      </c>
      <c r="T16" s="3">
        <f t="shared" si="1"/>
        <v>0</v>
      </c>
      <c r="U16" s="3">
        <f t="shared" si="1"/>
        <v>0</v>
      </c>
      <c r="V16" s="3">
        <f t="shared" si="1"/>
        <v>0</v>
      </c>
      <c r="W16" s="3">
        <f t="shared" si="1"/>
        <v>2500000</v>
      </c>
      <c r="X16" s="3">
        <f t="shared" si="1"/>
        <v>0</v>
      </c>
      <c r="Y16" s="3">
        <f t="shared" si="1"/>
        <v>0</v>
      </c>
      <c r="Z16" s="3">
        <f t="shared" si="1"/>
        <v>0</v>
      </c>
      <c r="AA16" s="3">
        <f>SUM(AA5:AA15)</f>
        <v>0</v>
      </c>
      <c r="AB16" s="3">
        <f t="shared" si="1"/>
        <v>0</v>
      </c>
      <c r="AC16" s="3">
        <f t="shared" si="1"/>
        <v>0</v>
      </c>
      <c r="AD16" s="71">
        <f t="shared" si="1"/>
        <v>0</v>
      </c>
      <c r="AE16" s="3">
        <f t="shared" si="1"/>
        <v>0</v>
      </c>
      <c r="AF16" s="3">
        <f>SUM(AF5:AF15)</f>
        <v>0</v>
      </c>
      <c r="AG16" s="3">
        <f t="shared" si="1"/>
        <v>0</v>
      </c>
      <c r="AH16" s="3">
        <f t="shared" si="1"/>
        <v>0</v>
      </c>
      <c r="AI16" s="3">
        <f t="shared" si="1"/>
        <v>0</v>
      </c>
      <c r="AJ16" s="3">
        <f>SUM(AJ5:AJ15)</f>
        <v>0</v>
      </c>
    </row>
    <row r="17" spans="1:36" x14ac:dyDescent="0.35">
      <c r="A17" s="2"/>
      <c r="F17" s="3"/>
      <c r="G17" s="3"/>
      <c r="H17" s="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71"/>
      <c r="AE17" s="3"/>
      <c r="AF17" s="3"/>
      <c r="AG17" s="3"/>
      <c r="AH17" s="3"/>
      <c r="AI17" s="3"/>
      <c r="AJ17" s="3"/>
    </row>
    <row r="18" spans="1:36" x14ac:dyDescent="0.35">
      <c r="A18" s="2" t="s">
        <v>2</v>
      </c>
      <c r="F18" s="3"/>
      <c r="G18" s="3"/>
      <c r="H18" s="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71"/>
      <c r="AE18" s="3"/>
      <c r="AF18" s="3"/>
      <c r="AG18" s="3"/>
      <c r="AH18" s="3"/>
      <c r="AI18" s="3"/>
      <c r="AJ18" s="3"/>
    </row>
    <row r="19" spans="1:36" x14ac:dyDescent="0.35">
      <c r="A19" s="4" t="s">
        <v>288</v>
      </c>
      <c r="B19" t="s">
        <v>321</v>
      </c>
      <c r="C19" s="5">
        <v>43906</v>
      </c>
      <c r="D19" s="3">
        <v>4278</v>
      </c>
      <c r="E19" t="s">
        <v>4</v>
      </c>
      <c r="F19" s="3"/>
      <c r="G19" s="3"/>
      <c r="H19" s="7"/>
      <c r="I19" s="3"/>
      <c r="J19" s="3"/>
      <c r="K19" s="3"/>
      <c r="L19" s="3"/>
      <c r="M19" s="3"/>
      <c r="N19" s="3"/>
      <c r="O19" s="3"/>
      <c r="P19" s="3"/>
      <c r="Q19" s="3" t="s">
        <v>13</v>
      </c>
      <c r="R19" s="3"/>
      <c r="S19" s="3"/>
      <c r="T19" s="3"/>
      <c r="U19" s="3">
        <v>4278</v>
      </c>
      <c r="V19" s="3"/>
      <c r="W19" s="3"/>
      <c r="AD19" s="61"/>
    </row>
    <row r="20" spans="1:36" x14ac:dyDescent="0.35">
      <c r="A20" t="s">
        <v>198</v>
      </c>
      <c r="B20" s="63" t="s">
        <v>196</v>
      </c>
      <c r="C20" s="5">
        <v>43864</v>
      </c>
      <c r="D20" s="3">
        <v>285243</v>
      </c>
      <c r="E20" s="3">
        <f>+D20/3</f>
        <v>95081</v>
      </c>
      <c r="F20" s="3"/>
      <c r="G20" s="3"/>
      <c r="H20" s="7"/>
      <c r="I20" s="3"/>
      <c r="J20" s="3"/>
      <c r="K20" s="3"/>
      <c r="L20" s="3"/>
      <c r="M20" s="3"/>
      <c r="N20" s="3"/>
      <c r="P20" s="3"/>
      <c r="Q20" s="3"/>
      <c r="R20" s="3"/>
      <c r="S20" s="3"/>
      <c r="U20" s="3"/>
      <c r="V20" s="3"/>
      <c r="W20" s="3"/>
      <c r="X20" s="3"/>
      <c r="Y20" s="3"/>
      <c r="Z20" s="3"/>
      <c r="AA20" s="3"/>
      <c r="AB20" s="3"/>
      <c r="AC20" s="3"/>
      <c r="AD20" s="71"/>
      <c r="AE20" s="3"/>
      <c r="AF20" s="3"/>
      <c r="AG20" s="3"/>
      <c r="AH20" s="3"/>
      <c r="AJ20" s="3">
        <v>0</v>
      </c>
    </row>
    <row r="21" spans="1:36" x14ac:dyDescent="0.35">
      <c r="A21" t="s">
        <v>294</v>
      </c>
      <c r="B21" s="63" t="s">
        <v>293</v>
      </c>
      <c r="C21" s="5">
        <v>43884</v>
      </c>
      <c r="D21" s="71">
        <v>253499</v>
      </c>
      <c r="F21" s="3"/>
      <c r="G21" s="3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U21" s="3"/>
      <c r="V21" s="3"/>
      <c r="W21" s="107">
        <v>253499</v>
      </c>
      <c r="AD21" s="61"/>
    </row>
    <row r="22" spans="1:36" x14ac:dyDescent="0.35">
      <c r="A22" s="4" t="s">
        <v>296</v>
      </c>
      <c r="B22" s="63" t="s">
        <v>295</v>
      </c>
      <c r="C22" s="5">
        <v>43890</v>
      </c>
      <c r="D22" s="3">
        <v>220655</v>
      </c>
      <c r="E22" s="3">
        <f>+(81600+3*21008)*1.19</f>
        <v>172102.56</v>
      </c>
      <c r="F22" s="3" t="s">
        <v>13</v>
      </c>
      <c r="G22" s="3" t="s">
        <v>13</v>
      </c>
      <c r="H22" s="7" t="s">
        <v>13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 t="s">
        <v>13</v>
      </c>
      <c r="AD22" s="61"/>
    </row>
    <row r="23" spans="1:36" x14ac:dyDescent="0.35">
      <c r="A23" s="4" t="s">
        <v>240</v>
      </c>
      <c r="B23" s="68" t="s">
        <v>239</v>
      </c>
      <c r="C23" s="67">
        <v>43892</v>
      </c>
      <c r="D23" s="3">
        <f>45500*1.19</f>
        <v>54145</v>
      </c>
      <c r="E23" t="s">
        <v>13</v>
      </c>
      <c r="F23" s="3"/>
      <c r="G23" s="3">
        <v>0</v>
      </c>
      <c r="H23" s="7"/>
      <c r="I23" s="3"/>
      <c r="J23" s="3"/>
      <c r="K23" s="3"/>
      <c r="L23" s="3"/>
      <c r="M23" s="3"/>
      <c r="N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71"/>
      <c r="AE23" s="3"/>
      <c r="AF23" s="3"/>
      <c r="AG23" s="3"/>
      <c r="AH23" s="3"/>
      <c r="AI23" s="3"/>
      <c r="AJ23" s="3"/>
    </row>
    <row r="24" spans="1:36" x14ac:dyDescent="0.35">
      <c r="A24" s="4" t="s">
        <v>324</v>
      </c>
      <c r="B24" s="24" t="s">
        <v>338</v>
      </c>
      <c r="C24" s="67">
        <v>43896</v>
      </c>
      <c r="D24" s="3">
        <v>500000</v>
      </c>
      <c r="E24" t="s">
        <v>5</v>
      </c>
      <c r="F24" s="3"/>
      <c r="G24" s="3"/>
      <c r="H24" s="7" t="s">
        <v>13</v>
      </c>
      <c r="I24" s="3"/>
      <c r="M24" s="3"/>
      <c r="N24" s="3"/>
      <c r="O24" s="3"/>
      <c r="P24" s="3"/>
      <c r="Q24" s="3"/>
      <c r="S24" s="3"/>
      <c r="T24" s="3"/>
      <c r="V24" s="3"/>
      <c r="W24" s="107">
        <f>+D24</f>
        <v>500000</v>
      </c>
      <c r="Y24" s="3"/>
      <c r="Z24" s="3"/>
      <c r="AA24" s="3"/>
      <c r="AB24" s="3"/>
      <c r="AC24" s="3"/>
      <c r="AD24" s="71"/>
      <c r="AE24" s="3"/>
      <c r="AF24" s="3"/>
      <c r="AG24" s="3"/>
      <c r="AH24" s="3"/>
      <c r="AI24" s="3"/>
      <c r="AJ24" s="3"/>
    </row>
    <row r="25" spans="1:36" x14ac:dyDescent="0.35">
      <c r="A25" s="4" t="s">
        <v>273</v>
      </c>
      <c r="B25" t="s">
        <v>274</v>
      </c>
      <c r="C25" s="5">
        <v>43900</v>
      </c>
      <c r="D25" s="3">
        <v>8500</v>
      </c>
      <c r="E25" t="s">
        <v>4</v>
      </c>
      <c r="F25" s="3"/>
      <c r="G25" s="3"/>
      <c r="H25" s="7"/>
      <c r="I25" s="3"/>
      <c r="J25" s="3"/>
      <c r="K25" s="3"/>
      <c r="L25" s="3"/>
      <c r="M25" s="3"/>
      <c r="N25" s="3"/>
      <c r="O25" s="3">
        <v>8500</v>
      </c>
      <c r="P25" s="3"/>
      <c r="Q25" s="3"/>
      <c r="R25" s="3"/>
      <c r="S25" s="3"/>
      <c r="T25" s="3"/>
      <c r="U25" s="3"/>
      <c r="V25" s="3"/>
      <c r="W25" s="3"/>
      <c r="AD25" s="61"/>
      <c r="AF25" t="s">
        <v>13</v>
      </c>
    </row>
    <row r="26" spans="1:36" x14ac:dyDescent="0.35">
      <c r="A26" t="s">
        <v>246</v>
      </c>
      <c r="B26" t="s">
        <v>13</v>
      </c>
      <c r="C26" s="5">
        <v>43902</v>
      </c>
      <c r="D26" s="3">
        <v>75855.736694677878</v>
      </c>
      <c r="E26" t="s">
        <v>13</v>
      </c>
      <c r="F26" s="3"/>
      <c r="G26" s="3" t="s">
        <v>13</v>
      </c>
      <c r="H26" s="7"/>
      <c r="I26" s="3"/>
      <c r="J26" s="3"/>
      <c r="K26" s="3"/>
      <c r="L26" s="3"/>
      <c r="M26" s="3"/>
      <c r="N26" s="3"/>
      <c r="P26" s="3"/>
      <c r="Q26" s="3"/>
      <c r="R26" s="3"/>
      <c r="S26" s="3"/>
      <c r="T26" s="3"/>
      <c r="V26" s="3"/>
      <c r="X26" s="107">
        <f>+(('FEB-20'!D23+'FEB-20'!D24)/0.8925)*0.1075+0.0025*SUM('ABR-20'!D9:D13)/1.19</f>
        <v>75855.736694677878</v>
      </c>
      <c r="Y26" s="3"/>
      <c r="Z26" s="3"/>
      <c r="AA26" s="3"/>
      <c r="AB26" s="3"/>
      <c r="AC26" s="3"/>
      <c r="AD26" s="71"/>
      <c r="AE26" s="3"/>
      <c r="AF26" s="3"/>
      <c r="AG26" s="3"/>
      <c r="AH26" s="3"/>
      <c r="AI26" s="3"/>
      <c r="AJ26" s="3"/>
    </row>
    <row r="27" spans="1:36" x14ac:dyDescent="0.35">
      <c r="A27" t="s">
        <v>275</v>
      </c>
      <c r="B27" s="63" t="s">
        <v>276</v>
      </c>
      <c r="C27" s="5">
        <v>43902</v>
      </c>
      <c r="D27" s="3">
        <v>19635</v>
      </c>
      <c r="E27" t="s">
        <v>5</v>
      </c>
      <c r="F27" s="3"/>
      <c r="G27" s="3"/>
      <c r="H27" s="7"/>
      <c r="I27" s="3"/>
      <c r="J27" s="3"/>
      <c r="K27" s="3"/>
      <c r="L27" s="3"/>
      <c r="M27" s="3"/>
      <c r="N27" s="3"/>
      <c r="O27" s="3"/>
      <c r="P27" s="3"/>
      <c r="Q27" s="3">
        <v>19635</v>
      </c>
      <c r="R27" s="3"/>
      <c r="S27" s="3"/>
      <c r="T27" s="3"/>
      <c r="U27" s="3"/>
      <c r="V27" s="3"/>
      <c r="W27" s="3"/>
      <c r="X27" t="s">
        <v>13</v>
      </c>
      <c r="AD27" s="61"/>
    </row>
    <row r="28" spans="1:36" x14ac:dyDescent="0.35">
      <c r="A28" s="4" t="s">
        <v>277</v>
      </c>
      <c r="B28" s="63" t="s">
        <v>278</v>
      </c>
      <c r="C28" s="5">
        <v>43902</v>
      </c>
      <c r="D28" s="71">
        <v>11662</v>
      </c>
      <c r="E28" t="s">
        <v>5</v>
      </c>
      <c r="F28" s="3"/>
      <c r="G28" s="3"/>
      <c r="H28" s="7"/>
      <c r="I28" s="3"/>
      <c r="J28" s="3"/>
      <c r="K28" s="3"/>
      <c r="L28" s="3"/>
      <c r="M28" s="3"/>
      <c r="N28" s="3"/>
      <c r="O28" s="3"/>
      <c r="P28" s="3"/>
      <c r="Q28" s="3">
        <v>11662</v>
      </c>
      <c r="R28" s="3"/>
      <c r="S28" s="3"/>
      <c r="T28" s="3"/>
      <c r="U28" s="3"/>
      <c r="V28" s="3"/>
      <c r="W28" s="109" t="s">
        <v>13</v>
      </c>
      <c r="AD28" s="61"/>
    </row>
    <row r="29" spans="1:36" x14ac:dyDescent="0.35">
      <c r="A29" t="s">
        <v>279</v>
      </c>
      <c r="B29" s="63" t="s">
        <v>280</v>
      </c>
      <c r="C29" s="67">
        <v>43902</v>
      </c>
      <c r="D29" s="3">
        <v>14000</v>
      </c>
      <c r="E29" t="s">
        <v>4</v>
      </c>
      <c r="F29" s="3"/>
      <c r="G29" s="3"/>
      <c r="H29" s="7"/>
      <c r="I29" s="3"/>
      <c r="J29" s="3"/>
      <c r="K29" s="3"/>
      <c r="L29" s="3"/>
      <c r="M29" s="3"/>
      <c r="N29" s="3"/>
      <c r="O29" s="3"/>
      <c r="P29" s="3"/>
      <c r="Q29" s="3">
        <v>14000</v>
      </c>
      <c r="R29" s="3"/>
      <c r="S29" s="3"/>
      <c r="T29" s="3"/>
      <c r="U29" s="3"/>
      <c r="V29" s="3"/>
      <c r="W29" s="3"/>
      <c r="AD29" s="61"/>
    </row>
    <row r="30" spans="1:36" x14ac:dyDescent="0.35">
      <c r="A30" s="4" t="s">
        <v>281</v>
      </c>
      <c r="B30" t="s">
        <v>282</v>
      </c>
      <c r="C30" s="5">
        <v>43902</v>
      </c>
      <c r="D30" s="3">
        <v>15903</v>
      </c>
      <c r="E30" t="s">
        <v>4</v>
      </c>
      <c r="F30" s="3"/>
      <c r="G30" s="3"/>
      <c r="H30" s="7"/>
      <c r="I30" s="3"/>
      <c r="J30" s="3"/>
      <c r="K30" s="3"/>
      <c r="L30" s="3"/>
      <c r="M30" s="3"/>
      <c r="N30" s="3"/>
      <c r="O30" s="3"/>
      <c r="P30" s="3"/>
      <c r="Q30" s="3">
        <v>15903</v>
      </c>
      <c r="R30" s="3"/>
      <c r="S30" s="3"/>
      <c r="T30" s="3"/>
      <c r="U30" s="3"/>
      <c r="V30" s="3"/>
      <c r="W30" s="3"/>
      <c r="AD30" s="61"/>
    </row>
    <row r="31" spans="1:36" x14ac:dyDescent="0.35">
      <c r="A31" s="4" t="s">
        <v>283</v>
      </c>
      <c r="B31" s="63" t="s">
        <v>327</v>
      </c>
      <c r="C31" s="5">
        <v>43902</v>
      </c>
      <c r="D31" s="3">
        <v>14490</v>
      </c>
      <c r="E31" t="s">
        <v>4</v>
      </c>
      <c r="F31" s="3"/>
      <c r="G31" s="3"/>
      <c r="H31" s="7"/>
      <c r="I31" s="3"/>
      <c r="J31" s="3"/>
      <c r="K31" s="3"/>
      <c r="L31" s="3"/>
      <c r="M31" s="3"/>
      <c r="N31" s="3"/>
      <c r="O31" s="3"/>
      <c r="P31" s="3"/>
      <c r="Q31" s="3">
        <v>14490</v>
      </c>
      <c r="R31" s="3"/>
      <c r="S31" s="3"/>
      <c r="T31" s="3"/>
      <c r="U31" s="3"/>
      <c r="V31" s="3"/>
      <c r="W31" s="3"/>
      <c r="AD31" s="61"/>
    </row>
    <row r="32" spans="1:36" x14ac:dyDescent="0.35">
      <c r="A32" s="4" t="s">
        <v>284</v>
      </c>
      <c r="B32" s="63" t="s">
        <v>336</v>
      </c>
      <c r="C32" s="5">
        <v>43902</v>
      </c>
      <c r="D32" s="3">
        <v>116875</v>
      </c>
      <c r="E32" t="s">
        <v>5</v>
      </c>
      <c r="F32" s="3"/>
      <c r="G32" s="3"/>
      <c r="H32" s="7"/>
      <c r="I32" s="3"/>
      <c r="J32" s="3"/>
      <c r="K32" s="3"/>
      <c r="L32" s="3"/>
      <c r="M32" s="3"/>
      <c r="N32" s="3"/>
      <c r="O32" s="3"/>
      <c r="P32" s="3"/>
      <c r="Q32" s="3">
        <v>116875</v>
      </c>
      <c r="R32" s="3"/>
      <c r="S32" s="3"/>
      <c r="T32" s="3"/>
      <c r="U32" s="3"/>
      <c r="V32" s="3"/>
      <c r="W32" s="3"/>
      <c r="AD32" s="61"/>
    </row>
    <row r="33" spans="1:36" x14ac:dyDescent="0.35">
      <c r="A33" s="4" t="s">
        <v>335</v>
      </c>
      <c r="B33" s="63" t="s">
        <v>285</v>
      </c>
      <c r="C33" s="5">
        <v>43902</v>
      </c>
      <c r="D33" s="71">
        <v>4990</v>
      </c>
      <c r="E33" t="s">
        <v>4</v>
      </c>
      <c r="F33" s="3"/>
      <c r="G33" s="3"/>
      <c r="H33" s="7"/>
      <c r="I33" s="3"/>
      <c r="J33" s="3"/>
      <c r="K33" s="3"/>
      <c r="L33" s="3"/>
      <c r="M33" s="3"/>
      <c r="N33" s="3"/>
      <c r="O33" s="3"/>
      <c r="P33" s="3"/>
      <c r="Q33" s="3">
        <v>4990</v>
      </c>
      <c r="R33" s="3"/>
      <c r="S33" s="3"/>
      <c r="T33" s="3"/>
      <c r="U33" s="3"/>
      <c r="V33" s="3"/>
      <c r="W33" s="3"/>
      <c r="AD33" s="61"/>
    </row>
    <row r="34" spans="1:36" x14ac:dyDescent="0.35">
      <c r="A34" s="4" t="s">
        <v>287</v>
      </c>
      <c r="B34" t="s">
        <v>289</v>
      </c>
      <c r="C34" s="5">
        <v>43903</v>
      </c>
      <c r="D34" s="3">
        <v>15000</v>
      </c>
      <c r="E34" t="s">
        <v>4</v>
      </c>
      <c r="F34" s="3"/>
      <c r="G34" s="3"/>
      <c r="H34" s="7"/>
      <c r="I34" s="3"/>
      <c r="J34" s="3"/>
      <c r="K34" s="3"/>
      <c r="L34" s="3"/>
      <c r="M34" s="3"/>
      <c r="N34" s="3"/>
      <c r="O34" s="3"/>
      <c r="P34" s="3"/>
      <c r="Q34" s="3"/>
      <c r="R34" s="3">
        <v>15000</v>
      </c>
      <c r="S34" s="3"/>
      <c r="T34" s="3"/>
      <c r="U34" s="3"/>
      <c r="V34" s="3"/>
      <c r="W34" s="3"/>
      <c r="AD34" s="61"/>
    </row>
    <row r="35" spans="1:36" x14ac:dyDescent="0.35">
      <c r="A35" s="4" t="s">
        <v>288</v>
      </c>
      <c r="B35" t="s">
        <v>286</v>
      </c>
      <c r="C35" s="5">
        <v>43904</v>
      </c>
      <c r="D35" s="3">
        <v>7037</v>
      </c>
      <c r="E35" t="s">
        <v>4</v>
      </c>
      <c r="F35" s="3"/>
      <c r="G35" s="3"/>
      <c r="H35" s="7"/>
      <c r="I35" s="3"/>
      <c r="J35" s="3"/>
      <c r="K35" s="3"/>
      <c r="L35" s="3"/>
      <c r="M35" s="3"/>
      <c r="N35" s="3"/>
      <c r="O35" s="3"/>
      <c r="P35" s="3"/>
      <c r="Q35" s="3"/>
      <c r="R35" s="3"/>
      <c r="S35" s="3">
        <v>7037</v>
      </c>
      <c r="T35" s="3"/>
      <c r="U35" s="3"/>
      <c r="V35" s="3"/>
      <c r="W35" s="3"/>
      <c r="AD35" s="61"/>
    </row>
    <row r="36" spans="1:36" x14ac:dyDescent="0.35">
      <c r="A36" t="s">
        <v>298</v>
      </c>
      <c r="B36" s="63" t="s">
        <v>297</v>
      </c>
      <c r="C36" s="5">
        <v>43905</v>
      </c>
      <c r="D36" s="3">
        <v>125998</v>
      </c>
      <c r="F36" s="3"/>
      <c r="G36" s="3"/>
      <c r="H36" s="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D36" s="61"/>
      <c r="AJ36" s="3" t="s">
        <v>13</v>
      </c>
    </row>
    <row r="37" spans="1:36" x14ac:dyDescent="0.35">
      <c r="A37" s="4" t="s">
        <v>322</v>
      </c>
      <c r="B37" t="s">
        <v>323</v>
      </c>
      <c r="C37" s="5">
        <v>43906</v>
      </c>
      <c r="D37" s="71">
        <v>3990</v>
      </c>
      <c r="E37" t="s">
        <v>4</v>
      </c>
      <c r="F37" s="3"/>
      <c r="G37" s="3"/>
      <c r="H37" s="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v>3990</v>
      </c>
      <c r="V37" s="3"/>
      <c r="W37" s="3"/>
      <c r="AD37" s="61"/>
    </row>
    <row r="38" spans="1:36" x14ac:dyDescent="0.35">
      <c r="A38" t="s">
        <v>332</v>
      </c>
      <c r="B38" s="63" t="s">
        <v>326</v>
      </c>
      <c r="C38" s="5">
        <v>43906</v>
      </c>
      <c r="D38" s="3">
        <v>24395</v>
      </c>
      <c r="F38" s="3"/>
      <c r="G38" s="3"/>
      <c r="H38" s="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AD38" s="61"/>
    </row>
    <row r="39" spans="1:36" x14ac:dyDescent="0.35">
      <c r="A39" t="s">
        <v>334</v>
      </c>
      <c r="B39" s="63" t="s">
        <v>333</v>
      </c>
      <c r="C39" s="5">
        <v>43909</v>
      </c>
      <c r="D39" s="3">
        <v>250007</v>
      </c>
      <c r="E39" t="s">
        <v>5</v>
      </c>
      <c r="F39" s="3"/>
      <c r="G39" s="3"/>
      <c r="H39" s="7"/>
      <c r="I39" s="3"/>
      <c r="J39" s="3"/>
      <c r="K39" s="3"/>
      <c r="L39" s="3"/>
      <c r="M39" s="3"/>
      <c r="N39" s="3"/>
      <c r="P39" s="3"/>
      <c r="Q39" s="3"/>
      <c r="R39" s="3"/>
      <c r="S39" s="3"/>
      <c r="V39" s="3"/>
      <c r="W39" s="107">
        <v>250000</v>
      </c>
      <c r="Y39" s="3"/>
      <c r="Z39" s="3"/>
      <c r="AA39" s="3"/>
      <c r="AB39" s="3"/>
      <c r="AC39" s="3"/>
      <c r="AD39" s="71"/>
      <c r="AE39" s="3"/>
      <c r="AF39" s="3"/>
      <c r="AG39" s="3"/>
      <c r="AH39" s="3"/>
      <c r="AI39" s="3"/>
      <c r="AJ39" s="3"/>
    </row>
    <row r="40" spans="1:36" x14ac:dyDescent="0.35">
      <c r="A40" s="4" t="s">
        <v>328</v>
      </c>
      <c r="B40" t="s">
        <v>329</v>
      </c>
      <c r="C40" s="5">
        <v>43910</v>
      </c>
      <c r="D40" s="3">
        <v>14750</v>
      </c>
      <c r="E40" t="s">
        <v>4</v>
      </c>
      <c r="F40" s="3"/>
      <c r="G40" s="3"/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>
        <v>14750</v>
      </c>
      <c r="AD40" s="61"/>
    </row>
    <row r="41" spans="1:36" x14ac:dyDescent="0.35">
      <c r="A41" t="s">
        <v>248</v>
      </c>
      <c r="B41" s="63" t="s">
        <v>331</v>
      </c>
      <c r="C41" s="5">
        <v>43916</v>
      </c>
      <c r="D41" s="3">
        <f>58000</f>
        <v>58000</v>
      </c>
      <c r="E41" t="s">
        <v>5</v>
      </c>
      <c r="F41" s="3"/>
      <c r="G41" s="3"/>
      <c r="H41" s="7"/>
      <c r="I41" s="3"/>
      <c r="J41" s="3"/>
      <c r="K41" s="3"/>
      <c r="L41" s="3"/>
      <c r="M41" s="3"/>
      <c r="N41" s="3"/>
      <c r="P41" s="3"/>
      <c r="Q41" s="3"/>
      <c r="R41" s="3"/>
      <c r="S41" s="3"/>
      <c r="V41" s="3"/>
      <c r="W41" s="107">
        <v>58000</v>
      </c>
      <c r="Y41" s="3"/>
      <c r="Z41" s="3"/>
      <c r="AA41" s="3"/>
      <c r="AB41" s="3"/>
      <c r="AC41" s="3"/>
      <c r="AD41" s="71"/>
      <c r="AE41" s="3"/>
      <c r="AF41" s="3"/>
      <c r="AG41" s="3"/>
      <c r="AH41" s="3"/>
      <c r="AI41" s="3"/>
      <c r="AJ41" s="3"/>
    </row>
    <row r="42" spans="1:36" x14ac:dyDescent="0.35">
      <c r="A42" t="s">
        <v>198</v>
      </c>
      <c r="B42" s="63" t="s">
        <v>355</v>
      </c>
      <c r="C42" s="5">
        <v>43920</v>
      </c>
      <c r="D42" s="3">
        <v>149048</v>
      </c>
      <c r="E42" s="3">
        <f>83500*1.19*14/30</f>
        <v>46370.333333333336</v>
      </c>
      <c r="F42" s="3"/>
      <c r="G42" s="3"/>
      <c r="H42" s="7"/>
      <c r="I42" s="3"/>
      <c r="J42" s="3"/>
      <c r="K42" s="3"/>
      <c r="L42" s="3"/>
      <c r="M42" s="3"/>
      <c r="N42" s="3"/>
      <c r="P42" s="3"/>
      <c r="Q42" s="3"/>
      <c r="R42" s="3"/>
      <c r="S42" s="3"/>
      <c r="V42" s="3"/>
      <c r="W42" s="3"/>
      <c r="Y42" s="3"/>
      <c r="Z42" s="3"/>
      <c r="AA42" s="3"/>
      <c r="AB42" s="3"/>
      <c r="AC42" s="3"/>
      <c r="AD42" s="71"/>
      <c r="AE42" s="3"/>
      <c r="AF42" s="3"/>
      <c r="AG42" s="3"/>
      <c r="AH42" s="3"/>
      <c r="AI42" s="3"/>
      <c r="AJ42" s="3"/>
    </row>
    <row r="43" spans="1:36" x14ac:dyDescent="0.35">
      <c r="C43" s="5"/>
      <c r="D43" s="3"/>
      <c r="F43" s="3"/>
      <c r="G43" s="3"/>
      <c r="H43" s="7"/>
      <c r="I43" s="3"/>
      <c r="J43" s="3"/>
      <c r="K43" s="3"/>
      <c r="L43" s="3"/>
      <c r="M43" s="3"/>
      <c r="N43" s="3"/>
      <c r="P43" s="3"/>
      <c r="Q43" s="3"/>
      <c r="R43" s="3"/>
      <c r="S43" s="3"/>
      <c r="V43" s="3"/>
      <c r="W43" s="3"/>
      <c r="Y43" s="3"/>
      <c r="Z43" s="3"/>
      <c r="AA43" s="3"/>
      <c r="AB43" s="3"/>
      <c r="AC43" s="3"/>
      <c r="AD43" s="71"/>
      <c r="AE43" s="3"/>
      <c r="AF43" s="3"/>
      <c r="AG43" s="3"/>
      <c r="AH43" s="3"/>
      <c r="AI43" s="3"/>
      <c r="AJ43" s="3"/>
    </row>
    <row r="44" spans="1:36" x14ac:dyDescent="0.35">
      <c r="C44" s="5" t="s">
        <v>82</v>
      </c>
      <c r="D44" s="3">
        <f>+D21+D28+D33+D37</f>
        <v>274141</v>
      </c>
      <c r="F44" s="3"/>
      <c r="G44" s="3"/>
      <c r="H44" s="7"/>
      <c r="I44" s="3"/>
      <c r="J44" s="3"/>
      <c r="K44" s="3"/>
      <c r="L44" s="3"/>
      <c r="M44" s="3"/>
      <c r="N44" s="3"/>
      <c r="P44" s="3"/>
      <c r="Q44" s="3"/>
      <c r="R44" s="3"/>
      <c r="S44" s="3"/>
      <c r="V44" s="3"/>
      <c r="W44" s="3"/>
      <c r="Y44" s="3"/>
      <c r="Z44" s="3"/>
      <c r="AA44" s="3"/>
      <c r="AB44" s="3"/>
      <c r="AC44" s="3"/>
      <c r="AD44" s="71"/>
      <c r="AE44" s="3"/>
      <c r="AF44" s="3"/>
      <c r="AG44" s="3"/>
      <c r="AH44" s="3"/>
      <c r="AI44" s="3"/>
      <c r="AJ44" s="3"/>
    </row>
    <row r="45" spans="1:36" x14ac:dyDescent="0.35">
      <c r="C45" s="5"/>
      <c r="D45" s="3"/>
      <c r="F45" s="3"/>
      <c r="G45" s="3"/>
      <c r="H45" s="7"/>
      <c r="I45" s="3"/>
      <c r="J45" s="3"/>
      <c r="K45" s="3"/>
      <c r="L45" s="3"/>
      <c r="M45" s="3"/>
      <c r="N45" s="3"/>
      <c r="P45" s="3"/>
      <c r="Q45" s="3"/>
      <c r="R45" s="3"/>
      <c r="S45" s="3"/>
      <c r="V45" s="3"/>
      <c r="W45" s="3"/>
      <c r="Y45" s="3"/>
      <c r="Z45" s="3"/>
      <c r="AA45" s="3"/>
      <c r="AB45" s="3"/>
      <c r="AC45" s="3"/>
      <c r="AD45" s="71"/>
      <c r="AE45" s="3"/>
      <c r="AF45" s="3"/>
      <c r="AG45" s="3"/>
      <c r="AH45" s="3"/>
      <c r="AI45" s="3"/>
      <c r="AJ45" s="3"/>
    </row>
    <row r="46" spans="1:36" x14ac:dyDescent="0.35">
      <c r="C46" s="5"/>
      <c r="D46" s="3"/>
      <c r="F46" s="3"/>
      <c r="G46" s="3"/>
      <c r="H46" s="7"/>
      <c r="I46" s="3"/>
      <c r="J46" s="3"/>
      <c r="K46" s="3"/>
      <c r="L46" s="3"/>
      <c r="M46" s="3"/>
      <c r="N46" s="3"/>
      <c r="P46" s="3"/>
      <c r="Q46" s="3"/>
      <c r="R46" s="3"/>
      <c r="S46" s="3"/>
      <c r="V46" s="3"/>
      <c r="W46" s="3"/>
      <c r="Y46" s="3"/>
      <c r="Z46" s="3"/>
      <c r="AA46" s="3"/>
      <c r="AB46" s="3"/>
      <c r="AC46" s="3"/>
      <c r="AD46" s="71"/>
      <c r="AE46" s="3"/>
      <c r="AF46" s="3"/>
      <c r="AG46" s="3"/>
      <c r="AH46" s="3"/>
      <c r="AI46" s="3"/>
      <c r="AJ46" s="3"/>
    </row>
    <row r="47" spans="1:36" x14ac:dyDescent="0.35">
      <c r="F47" s="3"/>
      <c r="G47" s="3"/>
      <c r="H47" s="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V47" s="3"/>
      <c r="W47" s="3"/>
      <c r="AC47" t="s">
        <v>13</v>
      </c>
      <c r="AD47" s="61"/>
      <c r="AJ47" s="3" t="s">
        <v>13</v>
      </c>
    </row>
    <row r="48" spans="1:36" x14ac:dyDescent="0.35">
      <c r="A48" s="50" t="s">
        <v>340</v>
      </c>
      <c r="B48" s="8" t="s">
        <v>291</v>
      </c>
      <c r="C48" s="8" t="s">
        <v>292</v>
      </c>
      <c r="D48" s="10">
        <v>370000</v>
      </c>
      <c r="F48" s="3"/>
      <c r="G48" s="3"/>
      <c r="H48" s="7"/>
      <c r="I48" s="3"/>
      <c r="J48" s="3"/>
      <c r="K48" s="3"/>
      <c r="L48" s="3"/>
      <c r="M48" s="3"/>
      <c r="N48" s="3"/>
      <c r="P48" s="3"/>
      <c r="Q48" s="3"/>
      <c r="R48" s="3"/>
      <c r="S48" s="3"/>
      <c r="T48" t="s">
        <v>13</v>
      </c>
      <c r="V48" s="3"/>
      <c r="W48" s="3"/>
      <c r="X48" s="3"/>
      <c r="Y48" s="3"/>
      <c r="Z48" s="3"/>
      <c r="AA48" s="3"/>
      <c r="AB48" s="3" t="s">
        <v>13</v>
      </c>
      <c r="AC48" s="3"/>
      <c r="AD48" s="71"/>
      <c r="AE48" s="3"/>
      <c r="AF48" s="3"/>
      <c r="AG48" s="3"/>
      <c r="AH48" s="3"/>
      <c r="AI48" s="3"/>
      <c r="AJ48" s="3"/>
    </row>
    <row r="49" spans="1:36" x14ac:dyDescent="0.35">
      <c r="A49" s="8" t="s">
        <v>247</v>
      </c>
      <c r="B49" s="8" t="s">
        <v>13</v>
      </c>
      <c r="C49" s="9"/>
      <c r="D49" s="10">
        <f>431000*1.19</f>
        <v>512890</v>
      </c>
      <c r="E49" t="s">
        <v>13</v>
      </c>
      <c r="F49" s="3"/>
      <c r="G49" s="3"/>
      <c r="H49" s="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AD49" s="61"/>
    </row>
    <row r="50" spans="1:36" x14ac:dyDescent="0.35">
      <c r="A50" s="50" t="s">
        <v>341</v>
      </c>
      <c r="B50" s="8"/>
      <c r="C50" s="8"/>
      <c r="D50" s="10">
        <f>2150*100*1.19</f>
        <v>255850</v>
      </c>
      <c r="F50" s="3"/>
      <c r="G50" s="3"/>
      <c r="H50" s="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AD50" s="61"/>
    </row>
    <row r="51" spans="1:36" x14ac:dyDescent="0.35">
      <c r="A51" s="50" t="s">
        <v>342</v>
      </c>
      <c r="B51" s="8"/>
      <c r="C51" s="8"/>
      <c r="D51" s="10">
        <f>138000*2</f>
        <v>276000</v>
      </c>
      <c r="F51" s="3"/>
      <c r="G51" s="3"/>
      <c r="H51" s="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AD51" s="61"/>
    </row>
    <row r="52" spans="1:36" x14ac:dyDescent="0.35">
      <c r="A52" s="50" t="s">
        <v>348</v>
      </c>
      <c r="B52" s="8"/>
      <c r="C52" s="8"/>
      <c r="D52" s="10">
        <f>65000*1.19</f>
        <v>77350</v>
      </c>
      <c r="F52" s="3"/>
      <c r="G52" s="3"/>
      <c r="H52" s="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AD52" s="61"/>
    </row>
    <row r="53" spans="1:36" x14ac:dyDescent="0.35">
      <c r="A53" s="50" t="s">
        <v>346</v>
      </c>
      <c r="B53" s="8"/>
      <c r="C53" s="8"/>
      <c r="D53" s="10">
        <v>200000</v>
      </c>
      <c r="F53" s="3"/>
      <c r="G53" s="3"/>
      <c r="H53" s="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AD53" s="61"/>
    </row>
    <row r="54" spans="1:36" x14ac:dyDescent="0.35">
      <c r="A54" s="50" t="s">
        <v>347</v>
      </c>
      <c r="B54" s="8"/>
      <c r="C54" s="8"/>
      <c r="D54" s="10">
        <v>800000</v>
      </c>
      <c r="F54" s="3"/>
      <c r="G54" s="3"/>
      <c r="H54" s="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AD54" s="61"/>
    </row>
    <row r="55" spans="1:36" x14ac:dyDescent="0.35">
      <c r="A55" s="4"/>
      <c r="D55" s="3"/>
      <c r="F55" s="3"/>
      <c r="G55" s="3"/>
      <c r="H55" s="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AD55" s="61"/>
    </row>
    <row r="56" spans="1:36" x14ac:dyDescent="0.35">
      <c r="A56" s="4"/>
      <c r="F56" s="3"/>
      <c r="G56" s="3"/>
      <c r="H56" s="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AD56" s="61"/>
    </row>
    <row r="57" spans="1:36" x14ac:dyDescent="0.35">
      <c r="A57" s="2" t="s">
        <v>9</v>
      </c>
      <c r="F57" s="3">
        <f t="shared" ref="F57:AJ57" si="2">SUM(F19:F56)</f>
        <v>0</v>
      </c>
      <c r="G57" s="3">
        <f t="shared" si="2"/>
        <v>0</v>
      </c>
      <c r="H57" s="3">
        <f t="shared" si="2"/>
        <v>0</v>
      </c>
      <c r="I57" s="3">
        <f t="shared" si="2"/>
        <v>0</v>
      </c>
      <c r="J57" s="3">
        <f t="shared" si="2"/>
        <v>0</v>
      </c>
      <c r="K57" s="3">
        <f t="shared" si="2"/>
        <v>0</v>
      </c>
      <c r="L57" s="3">
        <f t="shared" si="2"/>
        <v>0</v>
      </c>
      <c r="M57" s="3">
        <f t="shared" si="2"/>
        <v>0</v>
      </c>
      <c r="N57" s="3">
        <f t="shared" si="2"/>
        <v>0</v>
      </c>
      <c r="O57" s="3">
        <f t="shared" si="2"/>
        <v>8500</v>
      </c>
      <c r="P57" s="3">
        <f t="shared" si="2"/>
        <v>0</v>
      </c>
      <c r="Q57" s="3">
        <f t="shared" si="2"/>
        <v>197555</v>
      </c>
      <c r="R57" s="3">
        <f t="shared" si="2"/>
        <v>15000</v>
      </c>
      <c r="S57" s="3">
        <f t="shared" si="2"/>
        <v>7037</v>
      </c>
      <c r="T57" s="3">
        <f t="shared" si="2"/>
        <v>0</v>
      </c>
      <c r="U57" s="3">
        <f t="shared" si="2"/>
        <v>8268</v>
      </c>
      <c r="V57" s="3">
        <f t="shared" si="2"/>
        <v>0</v>
      </c>
      <c r="W57" s="3">
        <f t="shared" si="2"/>
        <v>1061499</v>
      </c>
      <c r="X57" s="3">
        <f t="shared" si="2"/>
        <v>75855.736694677878</v>
      </c>
      <c r="Y57" s="3">
        <f t="shared" si="2"/>
        <v>14750</v>
      </c>
      <c r="Z57" s="3">
        <f t="shared" si="2"/>
        <v>0</v>
      </c>
      <c r="AA57" s="3">
        <f t="shared" si="2"/>
        <v>0</v>
      </c>
      <c r="AB57" s="3">
        <f t="shared" si="2"/>
        <v>0</v>
      </c>
      <c r="AC57" s="3">
        <f t="shared" si="2"/>
        <v>0</v>
      </c>
      <c r="AD57" s="71">
        <f t="shared" si="2"/>
        <v>0</v>
      </c>
      <c r="AE57" s="3">
        <f t="shared" si="2"/>
        <v>0</v>
      </c>
      <c r="AF57" s="3">
        <f t="shared" si="2"/>
        <v>0</v>
      </c>
      <c r="AG57" s="3">
        <f t="shared" si="2"/>
        <v>0</v>
      </c>
      <c r="AH57" s="3">
        <f t="shared" si="2"/>
        <v>0</v>
      </c>
      <c r="AI57" s="3">
        <f t="shared" si="2"/>
        <v>0</v>
      </c>
      <c r="AJ57" s="3">
        <f t="shared" si="2"/>
        <v>0</v>
      </c>
    </row>
    <row r="58" spans="1:36" x14ac:dyDescent="0.35">
      <c r="A58" t="s">
        <v>8</v>
      </c>
      <c r="F58" s="3">
        <f>+F16+F3-F57</f>
        <v>-85085.589999999851</v>
      </c>
      <c r="G58" s="3">
        <f t="shared" ref="G58:AJ58" si="3">+G3+G16-G57</f>
        <v>-85085.589999999851</v>
      </c>
      <c r="H58" s="7">
        <f t="shared" si="3"/>
        <v>-85085.589999999851</v>
      </c>
      <c r="I58" s="3">
        <f t="shared" si="3"/>
        <v>-85085.589999999851</v>
      </c>
      <c r="J58" s="3">
        <f t="shared" si="3"/>
        <v>-85085.589999999851</v>
      </c>
      <c r="K58" s="3">
        <f t="shared" si="3"/>
        <v>-85085.589999999851</v>
      </c>
      <c r="L58" s="3">
        <f t="shared" si="3"/>
        <v>-85085.589999999851</v>
      </c>
      <c r="M58" s="3">
        <f t="shared" si="3"/>
        <v>-85085.589999999851</v>
      </c>
      <c r="N58" s="3">
        <f t="shared" si="3"/>
        <v>-85085.589999999851</v>
      </c>
      <c r="O58" s="3">
        <f t="shared" si="3"/>
        <v>-93585.589999999851</v>
      </c>
      <c r="P58" s="3">
        <f t="shared" si="3"/>
        <v>-93585.589999999851</v>
      </c>
      <c r="Q58" s="3">
        <f t="shared" si="3"/>
        <v>-291140.58999999985</v>
      </c>
      <c r="R58" s="3">
        <f t="shared" si="3"/>
        <v>-306140.58999999985</v>
      </c>
      <c r="S58" s="3">
        <f t="shared" si="3"/>
        <v>-313177.58999999985</v>
      </c>
      <c r="T58" s="3">
        <f t="shared" si="3"/>
        <v>-313177.58999999985</v>
      </c>
      <c r="U58" s="3">
        <f t="shared" si="3"/>
        <v>-321445.58999999985</v>
      </c>
      <c r="V58" s="3">
        <f t="shared" si="3"/>
        <v>-321445.58999999985</v>
      </c>
      <c r="W58" s="3">
        <f t="shared" si="3"/>
        <v>1117055.4100000001</v>
      </c>
      <c r="X58" s="3">
        <f t="shared" si="3"/>
        <v>1041199.6733053223</v>
      </c>
      <c r="Y58" s="3">
        <f t="shared" si="3"/>
        <v>1026449.6733053223</v>
      </c>
      <c r="Z58" s="3">
        <f t="shared" si="3"/>
        <v>1026449.6733053223</v>
      </c>
      <c r="AA58" s="3">
        <f t="shared" si="3"/>
        <v>1026449.6733053223</v>
      </c>
      <c r="AB58" s="3">
        <f t="shared" si="3"/>
        <v>1026449.6733053223</v>
      </c>
      <c r="AC58" s="3">
        <f t="shared" si="3"/>
        <v>1026449.6733053223</v>
      </c>
      <c r="AD58" s="71">
        <f t="shared" si="3"/>
        <v>1026449.6733053223</v>
      </c>
      <c r="AE58" s="3">
        <f t="shared" si="3"/>
        <v>1026449.6733053223</v>
      </c>
      <c r="AF58" s="3">
        <f t="shared" si="3"/>
        <v>1026449.6733053223</v>
      </c>
      <c r="AG58" s="3">
        <f t="shared" si="3"/>
        <v>1026449.6733053223</v>
      </c>
      <c r="AH58" s="3">
        <f t="shared" si="3"/>
        <v>1026449.6733053223</v>
      </c>
      <c r="AI58" s="3">
        <f t="shared" si="3"/>
        <v>1026449.6733053223</v>
      </c>
      <c r="AJ58" s="3">
        <f t="shared" si="3"/>
        <v>1026449.6733053223</v>
      </c>
    </row>
    <row r="59" spans="1:36" x14ac:dyDescent="0.35"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AJ59" s="3" t="s">
        <v>13</v>
      </c>
    </row>
    <row r="60" spans="1:36" x14ac:dyDescent="0.35"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36" x14ac:dyDescent="0.35"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36" x14ac:dyDescent="0.35">
      <c r="F62" s="3"/>
      <c r="G62" s="3" t="s">
        <v>13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36" x14ac:dyDescent="0.35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36" x14ac:dyDescent="0.35"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6:23" x14ac:dyDescent="0.35"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6:23" x14ac:dyDescent="0.35"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K42"/>
  <sheetViews>
    <sheetView workbookViewId="0"/>
  </sheetViews>
  <sheetFormatPr baseColWidth="10" defaultColWidth="11.08984375" defaultRowHeight="14.5" x14ac:dyDescent="0.35"/>
  <cols>
    <col min="1" max="1" width="46.269531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20" max="20" width="12.7265625" customWidth="1"/>
    <col min="21" max="21" width="12.54296875" customWidth="1"/>
    <col min="22" max="22" width="13.26953125" customWidth="1"/>
    <col min="30" max="30" width="13.54296875" customWidth="1"/>
    <col min="35" max="35" width="13.3632812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43922</v>
      </c>
      <c r="G2" s="1">
        <v>43923</v>
      </c>
      <c r="H2" s="1">
        <v>43924</v>
      </c>
      <c r="I2" s="1">
        <v>43925</v>
      </c>
      <c r="J2" s="1">
        <v>43926</v>
      </c>
      <c r="K2" s="1">
        <v>43927</v>
      </c>
      <c r="L2" s="1">
        <v>43928</v>
      </c>
      <c r="M2" s="1">
        <v>43929</v>
      </c>
      <c r="N2" s="1">
        <v>43930</v>
      </c>
      <c r="O2" s="1">
        <v>43931</v>
      </c>
      <c r="P2" s="1">
        <v>43932</v>
      </c>
      <c r="Q2" s="1">
        <v>43933</v>
      </c>
      <c r="R2" s="1">
        <v>43934</v>
      </c>
      <c r="S2" s="1">
        <v>43935</v>
      </c>
      <c r="T2" s="1">
        <v>43936</v>
      </c>
      <c r="U2" s="1">
        <v>43937</v>
      </c>
      <c r="V2" s="1">
        <v>43938</v>
      </c>
      <c r="W2" s="1">
        <v>43939</v>
      </c>
      <c r="X2" s="1">
        <v>43940</v>
      </c>
      <c r="Y2" s="1">
        <v>43941</v>
      </c>
      <c r="Z2" s="1">
        <v>43942</v>
      </c>
      <c r="AA2" s="1">
        <v>43943</v>
      </c>
      <c r="AB2" s="1">
        <v>43944</v>
      </c>
      <c r="AC2" s="1">
        <v>43945</v>
      </c>
      <c r="AD2" s="1">
        <v>43946</v>
      </c>
      <c r="AE2" s="1">
        <v>43947</v>
      </c>
      <c r="AF2" s="1">
        <v>43948</v>
      </c>
      <c r="AG2" s="1">
        <v>43949</v>
      </c>
      <c r="AH2" s="1">
        <v>43950</v>
      </c>
      <c r="AI2" s="1">
        <v>43951</v>
      </c>
      <c r="AJ2" s="1" t="s">
        <v>13</v>
      </c>
      <c r="AK2" s="1" t="s">
        <v>13</v>
      </c>
    </row>
    <row r="3" spans="1:37" x14ac:dyDescent="0.35">
      <c r="A3" t="s">
        <v>7</v>
      </c>
      <c r="F3" s="3">
        <f>+'MAR-20'!AJ58</f>
        <v>1026449.6733053223</v>
      </c>
      <c r="G3" s="3">
        <f t="shared" ref="G3:AI3" si="0">+F34</f>
        <v>1026449.6733053223</v>
      </c>
      <c r="H3" s="3">
        <f t="shared" si="0"/>
        <v>1026449.6733053223</v>
      </c>
      <c r="I3" s="3">
        <f t="shared" si="0"/>
        <v>1026449.6733053223</v>
      </c>
      <c r="J3" s="3">
        <f t="shared" si="0"/>
        <v>1026449.6733053223</v>
      </c>
      <c r="K3" s="3">
        <f t="shared" si="0"/>
        <v>1026449.6733053223</v>
      </c>
      <c r="L3" s="3">
        <f t="shared" si="0"/>
        <v>1026449.6733053223</v>
      </c>
      <c r="M3" s="3">
        <f t="shared" si="0"/>
        <v>1026449.6733053223</v>
      </c>
      <c r="N3" s="3">
        <f t="shared" si="0"/>
        <v>1293449.6733053224</v>
      </c>
      <c r="O3" s="3">
        <f t="shared" si="0"/>
        <v>852714.67330532242</v>
      </c>
      <c r="P3" s="3">
        <f t="shared" si="0"/>
        <v>247100.58366946806</v>
      </c>
      <c r="Q3" s="3">
        <f t="shared" si="0"/>
        <v>247100.58366946806</v>
      </c>
      <c r="R3" s="3">
        <f t="shared" si="0"/>
        <v>247100.58366946806</v>
      </c>
      <c r="S3" s="3">
        <f t="shared" si="0"/>
        <v>247100.58366946806</v>
      </c>
      <c r="T3" s="3">
        <f t="shared" si="0"/>
        <v>222705.58366946806</v>
      </c>
      <c r="U3" s="3">
        <f t="shared" si="0"/>
        <v>222705.58366946806</v>
      </c>
      <c r="V3" s="3">
        <f t="shared" si="0"/>
        <v>222705.58366946806</v>
      </c>
      <c r="W3" s="3">
        <f t="shared" si="0"/>
        <v>222705.58366946806</v>
      </c>
      <c r="X3" s="3">
        <f t="shared" si="0"/>
        <v>222705.58366946806</v>
      </c>
      <c r="Y3" s="3">
        <f t="shared" si="0"/>
        <v>222705.58366946806</v>
      </c>
      <c r="Z3" s="3">
        <f t="shared" si="0"/>
        <v>222705.58366946806</v>
      </c>
      <c r="AA3" s="3">
        <f t="shared" si="0"/>
        <v>222705.58366946806</v>
      </c>
      <c r="AB3" s="3">
        <f t="shared" si="0"/>
        <v>222705.58366946806</v>
      </c>
      <c r="AC3" s="3">
        <f t="shared" si="0"/>
        <v>222705.58366946806</v>
      </c>
      <c r="AD3" s="3">
        <f t="shared" si="0"/>
        <v>222705.58366946806</v>
      </c>
      <c r="AE3" s="3">
        <f t="shared" si="0"/>
        <v>222705.58366946806</v>
      </c>
      <c r="AF3" s="3">
        <f t="shared" si="0"/>
        <v>222705.58366946806</v>
      </c>
      <c r="AG3" s="3">
        <f t="shared" si="0"/>
        <v>97707.583669468062</v>
      </c>
      <c r="AH3" s="3">
        <f t="shared" si="0"/>
        <v>97707.583669468062</v>
      </c>
      <c r="AI3" s="3">
        <f t="shared" si="0"/>
        <v>97707.583669468062</v>
      </c>
      <c r="AJ3" s="3" t="s">
        <v>13</v>
      </c>
      <c r="AK3" s="3" t="s">
        <v>13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37" x14ac:dyDescent="0.35">
      <c r="A5" t="s">
        <v>80</v>
      </c>
      <c r="B5" t="s">
        <v>78</v>
      </c>
      <c r="C5" s="5">
        <v>43817</v>
      </c>
      <c r="D5" s="3">
        <v>267000</v>
      </c>
      <c r="E5" t="s">
        <v>5</v>
      </c>
      <c r="F5" s="3"/>
      <c r="G5" s="3"/>
      <c r="H5" s="3"/>
      <c r="I5" s="3"/>
      <c r="J5" s="3"/>
      <c r="K5" s="3"/>
      <c r="L5" s="3"/>
      <c r="M5" s="3">
        <v>267000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37" x14ac:dyDescent="0.35">
      <c r="A6" t="s">
        <v>89</v>
      </c>
      <c r="B6" t="s">
        <v>90</v>
      </c>
      <c r="C6" s="5">
        <v>43820</v>
      </c>
      <c r="D6" s="3">
        <v>267000</v>
      </c>
      <c r="E6" t="s">
        <v>44</v>
      </c>
      <c r="F6" s="3"/>
      <c r="G6" s="3"/>
      <c r="H6" s="3"/>
      <c r="I6" s="3"/>
      <c r="J6" s="3"/>
      <c r="L6" s="3"/>
      <c r="N6" s="3"/>
      <c r="O6" s="3"/>
      <c r="P6" s="3"/>
      <c r="R6" s="3"/>
      <c r="S6" s="3"/>
      <c r="T6" s="3" t="s">
        <v>13</v>
      </c>
      <c r="U6" s="3"/>
      <c r="V6" s="3"/>
      <c r="W6" s="3"/>
      <c r="AF6" s="3" t="s">
        <v>13</v>
      </c>
      <c r="AJ6" s="3" t="s">
        <v>13</v>
      </c>
    </row>
    <row r="7" spans="1:37" x14ac:dyDescent="0.35">
      <c r="A7" t="s">
        <v>166</v>
      </c>
      <c r="B7" t="s">
        <v>19</v>
      </c>
      <c r="C7" s="5">
        <v>43836</v>
      </c>
      <c r="D7" s="3">
        <v>267000</v>
      </c>
      <c r="E7" t="s">
        <v>44</v>
      </c>
      <c r="F7" s="3"/>
      <c r="G7" s="3"/>
      <c r="H7" s="3"/>
      <c r="I7" s="3"/>
      <c r="J7" s="3"/>
      <c r="L7" s="3"/>
      <c r="M7" s="3"/>
      <c r="N7" s="3"/>
      <c r="O7" s="3"/>
      <c r="P7" s="3"/>
      <c r="R7" s="3"/>
      <c r="S7" s="3"/>
      <c r="T7" s="3" t="s">
        <v>13</v>
      </c>
      <c r="U7" s="3"/>
      <c r="V7" s="3"/>
      <c r="W7" s="3"/>
      <c r="AF7" t="s">
        <v>13</v>
      </c>
      <c r="AJ7" s="3" t="s">
        <v>13</v>
      </c>
    </row>
    <row r="8" spans="1:37" x14ac:dyDescent="0.35">
      <c r="A8" t="s">
        <v>174</v>
      </c>
      <c r="B8" t="s">
        <v>55</v>
      </c>
      <c r="C8" s="5">
        <v>43848</v>
      </c>
      <c r="D8" s="3">
        <v>160200</v>
      </c>
      <c r="E8" t="s">
        <v>44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 t="s">
        <v>13</v>
      </c>
      <c r="AJ8" s="3" t="s">
        <v>13</v>
      </c>
    </row>
    <row r="9" spans="1:37" x14ac:dyDescent="0.35">
      <c r="A9" t="s">
        <v>199</v>
      </c>
      <c r="B9" t="s">
        <v>63</v>
      </c>
      <c r="C9" s="5">
        <v>43865</v>
      </c>
      <c r="D9" s="3">
        <v>160200</v>
      </c>
      <c r="E9" t="s">
        <v>44</v>
      </c>
      <c r="F9" s="3"/>
      <c r="G9" s="3"/>
      <c r="H9" s="3"/>
      <c r="I9" s="3" t="s">
        <v>13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J9" s="3" t="s">
        <v>13</v>
      </c>
    </row>
    <row r="10" spans="1:37" x14ac:dyDescent="0.35">
      <c r="A10" t="s">
        <v>203</v>
      </c>
      <c r="B10" t="s">
        <v>58</v>
      </c>
      <c r="C10" s="5">
        <v>43866</v>
      </c>
      <c r="D10" s="3">
        <v>33728</v>
      </c>
      <c r="E10" t="s">
        <v>44</v>
      </c>
      <c r="F10" s="3"/>
      <c r="G10" s="3"/>
      <c r="H10" s="3"/>
      <c r="I10" s="3"/>
      <c r="J10" s="3" t="s">
        <v>13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AJ10" s="3" t="s">
        <v>13</v>
      </c>
    </row>
    <row r="11" spans="1:37" x14ac:dyDescent="0.35">
      <c r="A11" t="s">
        <v>207</v>
      </c>
      <c r="B11" t="s">
        <v>208</v>
      </c>
      <c r="C11" s="5">
        <v>43876</v>
      </c>
      <c r="D11" s="3">
        <v>160200</v>
      </c>
      <c r="E11" t="s">
        <v>44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 t="s">
        <v>13</v>
      </c>
      <c r="T11" s="3" t="s">
        <v>13</v>
      </c>
      <c r="U11" s="3"/>
      <c r="V11" s="3"/>
      <c r="W11" s="3"/>
      <c r="AJ11" s="3" t="s">
        <v>13</v>
      </c>
    </row>
    <row r="12" spans="1:37" x14ac:dyDescent="0.35">
      <c r="A12" t="s">
        <v>235</v>
      </c>
      <c r="B12" t="s">
        <v>234</v>
      </c>
      <c r="C12" s="5">
        <v>43882</v>
      </c>
      <c r="D12" s="3">
        <v>160200</v>
      </c>
      <c r="E12" t="s">
        <v>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  <c r="AJ12" s="3" t="s">
        <v>13</v>
      </c>
    </row>
    <row r="13" spans="1:37" x14ac:dyDescent="0.35">
      <c r="A13" t="s">
        <v>242</v>
      </c>
      <c r="B13" t="s">
        <v>243</v>
      </c>
      <c r="C13" s="5">
        <v>43889</v>
      </c>
      <c r="D13" s="3">
        <v>160200</v>
      </c>
      <c r="E13" t="s">
        <v>44</v>
      </c>
      <c r="F13" s="3" t="s">
        <v>13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</row>
    <row r="14" spans="1:37" x14ac:dyDescent="0.35">
      <c r="A14" t="s">
        <v>244</v>
      </c>
      <c r="B14" t="s">
        <v>245</v>
      </c>
      <c r="C14" s="5">
        <v>43892</v>
      </c>
      <c r="D14" s="3">
        <f>28475.41*1.19</f>
        <v>33885.7379</v>
      </c>
      <c r="E14" t="s">
        <v>44</v>
      </c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 t="s">
        <v>13</v>
      </c>
      <c r="U14" s="3"/>
      <c r="V14" s="3"/>
      <c r="W14" s="3"/>
      <c r="AC14" t="s">
        <v>13</v>
      </c>
    </row>
    <row r="15" spans="1:37" x14ac:dyDescent="0.35">
      <c r="A15" t="s">
        <v>299</v>
      </c>
      <c r="B15" t="s">
        <v>300</v>
      </c>
      <c r="C15" s="5">
        <v>43904</v>
      </c>
      <c r="D15" s="3">
        <v>160200</v>
      </c>
      <c r="E15" t="s">
        <v>44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13</v>
      </c>
      <c r="U15" s="3"/>
      <c r="V15" s="3"/>
      <c r="W15" s="3"/>
    </row>
    <row r="16" spans="1:37" x14ac:dyDescent="0.35">
      <c r="A16" t="s">
        <v>345</v>
      </c>
      <c r="B16" t="s">
        <v>344</v>
      </c>
      <c r="C16" s="5" t="s">
        <v>13</v>
      </c>
      <c r="D16" s="3">
        <f>4500*60</f>
        <v>270000</v>
      </c>
      <c r="F16" s="3" t="s">
        <v>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7" x14ac:dyDescent="0.35">
      <c r="C17" s="5"/>
      <c r="D17" s="3" t="s">
        <v>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7" x14ac:dyDescent="0.35">
      <c r="A18" t="s">
        <v>60</v>
      </c>
      <c r="F18" s="3">
        <v>0</v>
      </c>
      <c r="G18" s="3">
        <v>0</v>
      </c>
      <c r="H18" s="3"/>
      <c r="I18" s="3"/>
      <c r="J18" s="3"/>
      <c r="K18" s="3" t="s">
        <v>13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7" x14ac:dyDescent="0.35">
      <c r="A19" t="s">
        <v>1</v>
      </c>
      <c r="F19" s="3"/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7" x14ac:dyDescent="0.35">
      <c r="A20" t="s">
        <v>204</v>
      </c>
      <c r="D20" s="3">
        <v>2001574</v>
      </c>
      <c r="F20" s="3"/>
      <c r="G20" s="3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I20" s="3" t="s">
        <v>13</v>
      </c>
      <c r="AK20" t="s">
        <v>13</v>
      </c>
    </row>
    <row r="21" spans="1:37" x14ac:dyDescent="0.35"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7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7" x14ac:dyDescent="0.35">
      <c r="A23" s="2" t="s">
        <v>6</v>
      </c>
      <c r="F23" s="3">
        <f t="shared" ref="F23:AI23" si="1">SUM(F6:F22)</f>
        <v>0</v>
      </c>
      <c r="G23" s="3">
        <f t="shared" si="1"/>
        <v>0</v>
      </c>
      <c r="H23" s="3">
        <f t="shared" si="1"/>
        <v>0</v>
      </c>
      <c r="I23" s="3">
        <f t="shared" si="1"/>
        <v>0</v>
      </c>
      <c r="J23" s="3">
        <f t="shared" si="1"/>
        <v>0</v>
      </c>
      <c r="K23" s="3">
        <f t="shared" si="1"/>
        <v>0</v>
      </c>
      <c r="L23" s="3">
        <f t="shared" si="1"/>
        <v>0</v>
      </c>
      <c r="M23" s="3">
        <f>SUM(M5:M22)</f>
        <v>267000</v>
      </c>
      <c r="N23" s="3">
        <f t="shared" si="1"/>
        <v>0</v>
      </c>
      <c r="O23" s="3">
        <f t="shared" si="1"/>
        <v>0</v>
      </c>
      <c r="P23" s="3">
        <f t="shared" si="1"/>
        <v>0</v>
      </c>
      <c r="Q23" s="3">
        <f t="shared" si="1"/>
        <v>0</v>
      </c>
      <c r="R23" s="3">
        <f t="shared" si="1"/>
        <v>0</v>
      </c>
      <c r="S23" s="3">
        <f t="shared" si="1"/>
        <v>0</v>
      </c>
      <c r="T23" s="3">
        <f t="shared" si="1"/>
        <v>0</v>
      </c>
      <c r="U23" s="3">
        <f t="shared" si="1"/>
        <v>0</v>
      </c>
      <c r="V23" s="3">
        <f t="shared" si="1"/>
        <v>0</v>
      </c>
      <c r="W23" s="3">
        <f t="shared" si="1"/>
        <v>0</v>
      </c>
      <c r="X23" s="3">
        <f t="shared" si="1"/>
        <v>0</v>
      </c>
      <c r="Y23" s="3">
        <f t="shared" si="1"/>
        <v>0</v>
      </c>
      <c r="Z23" s="3">
        <f t="shared" si="1"/>
        <v>0</v>
      </c>
      <c r="AA23" s="3">
        <f t="shared" si="1"/>
        <v>0</v>
      </c>
      <c r="AB23" s="3">
        <f t="shared" si="1"/>
        <v>0</v>
      </c>
      <c r="AC23" s="3">
        <f t="shared" si="1"/>
        <v>0</v>
      </c>
      <c r="AD23" s="3">
        <f t="shared" si="1"/>
        <v>0</v>
      </c>
      <c r="AE23" s="3">
        <f t="shared" si="1"/>
        <v>0</v>
      </c>
      <c r="AF23" s="3">
        <f t="shared" si="1"/>
        <v>0</v>
      </c>
      <c r="AG23" s="3">
        <f t="shared" si="1"/>
        <v>0</v>
      </c>
      <c r="AH23" s="3">
        <f>SUM(AH6:AH22)</f>
        <v>0</v>
      </c>
      <c r="AI23" s="3">
        <f t="shared" si="1"/>
        <v>0</v>
      </c>
      <c r="AJ23" s="3" t="s">
        <v>13</v>
      </c>
    </row>
    <row r="24" spans="1:37" x14ac:dyDescent="0.35">
      <c r="A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7" x14ac:dyDescent="0.35">
      <c r="A25" s="2" t="s">
        <v>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7" x14ac:dyDescent="0.35">
      <c r="A26" t="s">
        <v>332</v>
      </c>
      <c r="B26" s="63" t="s">
        <v>326</v>
      </c>
      <c r="C26" s="5">
        <v>43906</v>
      </c>
      <c r="D26" s="3">
        <v>24395</v>
      </c>
      <c r="E26" t="s">
        <v>5</v>
      </c>
      <c r="G26" s="3"/>
      <c r="H26" s="3"/>
      <c r="I26" s="3"/>
      <c r="J26" s="3"/>
      <c r="K26" s="3"/>
      <c r="L26" s="3"/>
      <c r="M26" s="3"/>
      <c r="P26" s="3"/>
      <c r="Q26" s="3"/>
      <c r="S26" s="3">
        <v>24395</v>
      </c>
      <c r="T26" s="3"/>
      <c r="U26" s="3"/>
      <c r="V26" s="3"/>
      <c r="W26" s="3"/>
    </row>
    <row r="27" spans="1:37" x14ac:dyDescent="0.35">
      <c r="A27" t="s">
        <v>298</v>
      </c>
      <c r="B27" s="63" t="s">
        <v>297</v>
      </c>
      <c r="C27" s="5">
        <v>43905</v>
      </c>
      <c r="D27" s="3">
        <v>124998</v>
      </c>
      <c r="F27" s="3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U27" s="3"/>
      <c r="V27" s="3"/>
      <c r="W27" s="3"/>
      <c r="AF27" s="3">
        <v>124998</v>
      </c>
    </row>
    <row r="28" spans="1:37" x14ac:dyDescent="0.35">
      <c r="A28" s="4" t="s">
        <v>351</v>
      </c>
      <c r="B28" s="24" t="s">
        <v>352</v>
      </c>
      <c r="C28" s="67">
        <v>43926</v>
      </c>
      <c r="D28" s="3">
        <v>500000</v>
      </c>
      <c r="F28" s="3"/>
      <c r="G28" s="3"/>
      <c r="H28" s="3"/>
      <c r="I28" s="3"/>
      <c r="K28" s="3" t="s">
        <v>13</v>
      </c>
      <c r="L28" s="3"/>
      <c r="M28" s="3"/>
      <c r="O28" s="3">
        <v>500000</v>
      </c>
      <c r="P28" s="3"/>
      <c r="Q28" s="3"/>
      <c r="R28" s="3"/>
      <c r="S28" s="3"/>
      <c r="T28" s="3"/>
      <c r="U28" s="3"/>
      <c r="V28" s="3"/>
      <c r="W28" s="3"/>
      <c r="X28" t="s">
        <v>13</v>
      </c>
    </row>
    <row r="29" spans="1:37" x14ac:dyDescent="0.35">
      <c r="A29" t="s">
        <v>339</v>
      </c>
      <c r="F29" s="3"/>
      <c r="G29" s="3"/>
      <c r="H29" s="3"/>
      <c r="I29" s="3"/>
      <c r="J29" s="3"/>
      <c r="K29" s="3"/>
      <c r="L29" s="3"/>
      <c r="M29" s="3"/>
      <c r="N29" s="3"/>
      <c r="O29" s="3">
        <f>+'MAR-20'!W24*0.1075/0.8925+('ABR-20'!D14+'ABR-20'!D15)*0.0025*0</f>
        <v>60224.089635854347</v>
      </c>
      <c r="P29" s="3"/>
      <c r="R29" s="3"/>
      <c r="S29" s="3"/>
      <c r="T29" s="3"/>
      <c r="U29" s="3"/>
      <c r="V29" s="3"/>
      <c r="W29" s="3"/>
    </row>
    <row r="30" spans="1:37" x14ac:dyDescent="0.35">
      <c r="A30" t="s">
        <v>349</v>
      </c>
      <c r="B30" t="s">
        <v>350</v>
      </c>
      <c r="C30" s="67" t="s">
        <v>13</v>
      </c>
      <c r="D30" s="3">
        <v>440735</v>
      </c>
      <c r="F30" s="3"/>
      <c r="G30" s="3"/>
      <c r="H30" s="3"/>
      <c r="I30" s="3"/>
      <c r="J30" s="3"/>
      <c r="K30" s="3"/>
      <c r="L30" s="3"/>
      <c r="M30" s="3"/>
      <c r="N30" s="3">
        <v>440735</v>
      </c>
      <c r="O30" s="3"/>
      <c r="P30" s="3"/>
      <c r="Q30" s="3"/>
      <c r="R30" s="3"/>
      <c r="S30" s="3"/>
      <c r="T30" s="3"/>
      <c r="U30" s="3"/>
      <c r="V30" s="3"/>
      <c r="W30" s="3"/>
    </row>
    <row r="31" spans="1:37" x14ac:dyDescent="0.35">
      <c r="A31" t="s">
        <v>353</v>
      </c>
      <c r="B31" t="s">
        <v>354</v>
      </c>
      <c r="C31" s="5" t="s">
        <v>13</v>
      </c>
      <c r="D31" s="3">
        <v>45390</v>
      </c>
      <c r="F31" s="3"/>
      <c r="G31" s="3"/>
      <c r="H31" s="3"/>
      <c r="I31" s="3"/>
      <c r="J31" s="3"/>
      <c r="K31" s="3"/>
      <c r="L31" s="3"/>
      <c r="M31" s="3"/>
      <c r="O31" s="3">
        <f>+M5*0.17</f>
        <v>45390</v>
      </c>
      <c r="P31" s="3" t="s">
        <v>13</v>
      </c>
      <c r="Q31" s="3"/>
      <c r="R31" s="3"/>
      <c r="S31" s="3"/>
      <c r="T31" s="3"/>
      <c r="U31" s="3"/>
      <c r="V31" s="3"/>
      <c r="W31" s="3"/>
    </row>
    <row r="32" spans="1:37" x14ac:dyDescent="0.35"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36" x14ac:dyDescent="0.35">
      <c r="A33" s="2" t="s">
        <v>9</v>
      </c>
      <c r="F33" s="3">
        <f t="shared" ref="F33:AI33" si="2">SUM(F26:F32)</f>
        <v>0</v>
      </c>
      <c r="G33" s="3">
        <f t="shared" si="2"/>
        <v>0</v>
      </c>
      <c r="H33" s="3">
        <f t="shared" si="2"/>
        <v>0</v>
      </c>
      <c r="I33" s="3">
        <f t="shared" si="2"/>
        <v>0</v>
      </c>
      <c r="J33" s="3">
        <f t="shared" si="2"/>
        <v>0</v>
      </c>
      <c r="K33" s="3">
        <f t="shared" si="2"/>
        <v>0</v>
      </c>
      <c r="L33" s="3">
        <f t="shared" si="2"/>
        <v>0</v>
      </c>
      <c r="M33" s="3">
        <f t="shared" si="2"/>
        <v>0</v>
      </c>
      <c r="N33" s="3">
        <f t="shared" si="2"/>
        <v>440735</v>
      </c>
      <c r="O33" s="3">
        <f t="shared" si="2"/>
        <v>605614.08963585435</v>
      </c>
      <c r="P33" s="3">
        <f t="shared" si="2"/>
        <v>0</v>
      </c>
      <c r="Q33" s="3">
        <f t="shared" si="2"/>
        <v>0</v>
      </c>
      <c r="R33" s="3">
        <f t="shared" si="2"/>
        <v>0</v>
      </c>
      <c r="S33" s="3">
        <f t="shared" si="2"/>
        <v>24395</v>
      </c>
      <c r="T33" s="3">
        <f t="shared" si="2"/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3">
        <f t="shared" si="2"/>
        <v>0</v>
      </c>
      <c r="Y33" s="3">
        <f t="shared" si="2"/>
        <v>0</v>
      </c>
      <c r="Z33" s="3">
        <f t="shared" si="2"/>
        <v>0</v>
      </c>
      <c r="AA33" s="3">
        <f t="shared" si="2"/>
        <v>0</v>
      </c>
      <c r="AB33" s="3">
        <f t="shared" si="2"/>
        <v>0</v>
      </c>
      <c r="AC33" s="3">
        <f t="shared" si="2"/>
        <v>0</v>
      </c>
      <c r="AD33" s="3">
        <f t="shared" si="2"/>
        <v>0</v>
      </c>
      <c r="AE33" s="3">
        <f t="shared" si="2"/>
        <v>0</v>
      </c>
      <c r="AF33" s="3">
        <f t="shared" si="2"/>
        <v>124998</v>
      </c>
      <c r="AG33" s="3">
        <f t="shared" si="2"/>
        <v>0</v>
      </c>
      <c r="AH33" s="3">
        <f t="shared" si="2"/>
        <v>0</v>
      </c>
      <c r="AI33" s="3">
        <f t="shared" si="2"/>
        <v>0</v>
      </c>
    </row>
    <row r="34" spans="1:36" x14ac:dyDescent="0.35">
      <c r="A34" t="s">
        <v>8</v>
      </c>
      <c r="F34" s="3">
        <f>+F23+F3-F33</f>
        <v>1026449.6733053223</v>
      </c>
      <c r="G34" s="3">
        <f t="shared" ref="G34:AI34" si="3">+G3+G23-G33</f>
        <v>1026449.6733053223</v>
      </c>
      <c r="H34" s="3">
        <f t="shared" si="3"/>
        <v>1026449.6733053223</v>
      </c>
      <c r="I34" s="3">
        <f t="shared" si="3"/>
        <v>1026449.6733053223</v>
      </c>
      <c r="J34" s="3">
        <f t="shared" si="3"/>
        <v>1026449.6733053223</v>
      </c>
      <c r="K34" s="3">
        <f t="shared" si="3"/>
        <v>1026449.6733053223</v>
      </c>
      <c r="L34" s="3">
        <f t="shared" si="3"/>
        <v>1026449.6733053223</v>
      </c>
      <c r="M34" s="3">
        <f t="shared" si="3"/>
        <v>1293449.6733053224</v>
      </c>
      <c r="N34" s="3">
        <f t="shared" si="3"/>
        <v>852714.67330532242</v>
      </c>
      <c r="O34" s="3">
        <f t="shared" si="3"/>
        <v>247100.58366946806</v>
      </c>
      <c r="P34" s="3">
        <f t="shared" si="3"/>
        <v>247100.58366946806</v>
      </c>
      <c r="Q34" s="3">
        <f t="shared" si="3"/>
        <v>247100.58366946806</v>
      </c>
      <c r="R34" s="3">
        <f t="shared" si="3"/>
        <v>247100.58366946806</v>
      </c>
      <c r="S34" s="3">
        <f t="shared" si="3"/>
        <v>222705.58366946806</v>
      </c>
      <c r="T34" s="3">
        <f t="shared" si="3"/>
        <v>222705.58366946806</v>
      </c>
      <c r="U34" s="3">
        <f t="shared" si="3"/>
        <v>222705.58366946806</v>
      </c>
      <c r="V34" s="3">
        <f t="shared" si="3"/>
        <v>222705.58366946806</v>
      </c>
      <c r="W34" s="3">
        <f t="shared" si="3"/>
        <v>222705.58366946806</v>
      </c>
      <c r="X34" s="3">
        <f t="shared" si="3"/>
        <v>222705.58366946806</v>
      </c>
      <c r="Y34" s="3">
        <f t="shared" si="3"/>
        <v>222705.58366946806</v>
      </c>
      <c r="Z34" s="3">
        <f t="shared" si="3"/>
        <v>222705.58366946806</v>
      </c>
      <c r="AA34" s="3">
        <f t="shared" si="3"/>
        <v>222705.58366946806</v>
      </c>
      <c r="AB34" s="3">
        <f t="shared" si="3"/>
        <v>222705.58366946806</v>
      </c>
      <c r="AC34" s="3">
        <f t="shared" si="3"/>
        <v>222705.58366946806</v>
      </c>
      <c r="AD34" s="3">
        <f t="shared" si="3"/>
        <v>222705.58366946806</v>
      </c>
      <c r="AE34" s="3">
        <f t="shared" si="3"/>
        <v>222705.58366946806</v>
      </c>
      <c r="AF34" s="3">
        <f t="shared" si="3"/>
        <v>97707.583669468062</v>
      </c>
      <c r="AG34" s="3">
        <f t="shared" si="3"/>
        <v>97707.583669468062</v>
      </c>
      <c r="AH34" s="3">
        <f t="shared" si="3"/>
        <v>97707.583669468062</v>
      </c>
      <c r="AI34" s="71">
        <f t="shared" si="3"/>
        <v>97707.583669468062</v>
      </c>
      <c r="AJ34" s="3" t="s">
        <v>13</v>
      </c>
    </row>
    <row r="35" spans="1:36" x14ac:dyDescent="0.35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36" x14ac:dyDescent="0.35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36" x14ac:dyDescent="0.35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36" x14ac:dyDescent="0.35">
      <c r="F38" s="3"/>
      <c r="G38" s="3" t="s">
        <v>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36" x14ac:dyDescent="0.35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36" x14ac:dyDescent="0.3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36" x14ac:dyDescent="0.3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36" x14ac:dyDescent="0.3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K41"/>
  <sheetViews>
    <sheetView workbookViewId="0"/>
  </sheetViews>
  <sheetFormatPr baseColWidth="10" defaultColWidth="11.08984375" defaultRowHeight="14.5" x14ac:dyDescent="0.35"/>
  <cols>
    <col min="1" max="1" width="46.269531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20" max="20" width="12.7265625" customWidth="1"/>
    <col min="21" max="21" width="12.54296875" customWidth="1"/>
    <col min="22" max="22" width="13.26953125" customWidth="1"/>
    <col min="30" max="30" width="13.54296875" customWidth="1"/>
    <col min="35" max="35" width="13.36328125" customWidth="1"/>
    <col min="36" max="36" width="12.5429687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43952</v>
      </c>
      <c r="G2" s="1">
        <v>43953</v>
      </c>
      <c r="H2" s="1">
        <v>43954</v>
      </c>
      <c r="I2" s="1">
        <v>43955</v>
      </c>
      <c r="J2" s="1">
        <v>43956</v>
      </c>
      <c r="K2" s="1">
        <v>43957</v>
      </c>
      <c r="L2" s="1">
        <v>43958</v>
      </c>
      <c r="M2" s="1">
        <v>43959</v>
      </c>
      <c r="N2" s="1">
        <v>43960</v>
      </c>
      <c r="O2" s="1">
        <v>43961</v>
      </c>
      <c r="P2" s="1">
        <v>43962</v>
      </c>
      <c r="Q2" s="1">
        <v>43963</v>
      </c>
      <c r="R2" s="1">
        <v>43964</v>
      </c>
      <c r="S2" s="1">
        <v>43965</v>
      </c>
      <c r="T2" s="1">
        <v>43966</v>
      </c>
      <c r="U2" s="1">
        <v>43967</v>
      </c>
      <c r="V2" s="1">
        <v>43968</v>
      </c>
      <c r="W2" s="1">
        <v>43969</v>
      </c>
      <c r="X2" s="1">
        <v>43970</v>
      </c>
      <c r="Y2" s="1">
        <v>43971</v>
      </c>
      <c r="Z2" s="1">
        <v>43972</v>
      </c>
      <c r="AA2" s="1">
        <v>43973</v>
      </c>
      <c r="AB2" s="1">
        <v>43974</v>
      </c>
      <c r="AC2" s="1">
        <v>43975</v>
      </c>
      <c r="AD2" s="1">
        <v>43976</v>
      </c>
      <c r="AE2" s="1">
        <v>43977</v>
      </c>
      <c r="AF2" s="1">
        <v>43978</v>
      </c>
      <c r="AG2" s="1">
        <v>43979</v>
      </c>
      <c r="AH2" s="1">
        <v>43980</v>
      </c>
      <c r="AI2" s="1">
        <v>43981</v>
      </c>
      <c r="AJ2" s="1">
        <v>43982</v>
      </c>
      <c r="AK2" s="1"/>
    </row>
    <row r="3" spans="1:37" x14ac:dyDescent="0.35">
      <c r="A3" t="s">
        <v>7</v>
      </c>
      <c r="F3" s="3">
        <f>+'ABR-20'!AI34</f>
        <v>97707.583669468062</v>
      </c>
      <c r="G3" s="3">
        <f t="shared" ref="G3:AJ3" si="0">+F33</f>
        <v>97707.583669468062</v>
      </c>
      <c r="H3" s="3">
        <f t="shared" si="0"/>
        <v>97707.583669468062</v>
      </c>
      <c r="I3" s="3">
        <f t="shared" si="0"/>
        <v>97707.583669468062</v>
      </c>
      <c r="J3" s="3">
        <f t="shared" si="0"/>
        <v>97707.583669468062</v>
      </c>
      <c r="K3" s="3">
        <f t="shared" si="0"/>
        <v>-2292.416330531938</v>
      </c>
      <c r="L3" s="3">
        <f t="shared" si="0"/>
        <v>-2292.416330531938</v>
      </c>
      <c r="M3" s="3">
        <f t="shared" si="0"/>
        <v>-2292.416330531938</v>
      </c>
      <c r="N3" s="3">
        <f t="shared" si="0"/>
        <v>-2292.416330531938</v>
      </c>
      <c r="O3" s="3">
        <f t="shared" si="0"/>
        <v>-2292.416330531938</v>
      </c>
      <c r="P3" s="3">
        <f t="shared" si="0"/>
        <v>-2292.416330531938</v>
      </c>
      <c r="Q3" s="3">
        <f t="shared" si="0"/>
        <v>-2292.416330531938</v>
      </c>
      <c r="R3" s="3">
        <f t="shared" si="0"/>
        <v>-2292.416330531938</v>
      </c>
      <c r="S3" s="3">
        <f t="shared" si="0"/>
        <v>-2292.416330531938</v>
      </c>
      <c r="T3" s="3">
        <f t="shared" si="0"/>
        <v>-2292.416330531938</v>
      </c>
      <c r="U3" s="3">
        <f t="shared" si="0"/>
        <v>-2292.416330531938</v>
      </c>
      <c r="V3" s="3">
        <f t="shared" si="0"/>
        <v>-2292.416330531938</v>
      </c>
      <c r="W3" s="3">
        <f t="shared" si="0"/>
        <v>-2292.416330531938</v>
      </c>
      <c r="X3" s="3">
        <f t="shared" si="0"/>
        <v>-2292.416330531938</v>
      </c>
      <c r="Y3" s="3">
        <f t="shared" si="0"/>
        <v>-2292.416330531938</v>
      </c>
      <c r="Z3" s="3">
        <f t="shared" si="0"/>
        <v>-2292.416330531938</v>
      </c>
      <c r="AA3" s="3">
        <f t="shared" si="0"/>
        <v>-2292.416330531938</v>
      </c>
      <c r="AB3" s="3">
        <f t="shared" si="0"/>
        <v>-2292.416330531938</v>
      </c>
      <c r="AC3" s="3">
        <f t="shared" si="0"/>
        <v>-2292.416330531938</v>
      </c>
      <c r="AD3" s="3">
        <f t="shared" si="0"/>
        <v>-2292.416330531938</v>
      </c>
      <c r="AE3" s="3">
        <f t="shared" si="0"/>
        <v>-2292.416330531938</v>
      </c>
      <c r="AF3" s="3">
        <f t="shared" si="0"/>
        <v>-2292.416330531938</v>
      </c>
      <c r="AG3" s="3">
        <f t="shared" si="0"/>
        <v>-2292.416330531938</v>
      </c>
      <c r="AH3" s="3">
        <f t="shared" si="0"/>
        <v>-2292.416330531938</v>
      </c>
      <c r="AI3" s="3">
        <f t="shared" si="0"/>
        <v>-2292.416330531938</v>
      </c>
      <c r="AJ3" s="3">
        <f t="shared" si="0"/>
        <v>-2292.416330531938</v>
      </c>
      <c r="AK3" s="3"/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37" x14ac:dyDescent="0.35">
      <c r="A5" t="s">
        <v>89</v>
      </c>
      <c r="B5" t="s">
        <v>90</v>
      </c>
      <c r="C5" s="5">
        <v>43820</v>
      </c>
      <c r="D5" s="3">
        <v>267000</v>
      </c>
      <c r="E5" t="s">
        <v>13</v>
      </c>
      <c r="F5" s="3"/>
      <c r="G5" s="3"/>
      <c r="H5" s="3"/>
      <c r="I5" s="3"/>
      <c r="J5" s="3"/>
      <c r="L5" s="3"/>
      <c r="N5" s="3"/>
      <c r="O5" s="3"/>
      <c r="P5" s="3"/>
      <c r="R5" s="3"/>
      <c r="S5" s="3"/>
      <c r="T5" s="3" t="s">
        <v>13</v>
      </c>
      <c r="U5" s="3"/>
      <c r="V5" s="3"/>
      <c r="W5" s="3"/>
      <c r="AF5" s="3" t="s">
        <v>13</v>
      </c>
      <c r="AI5" s="3" t="s">
        <v>13</v>
      </c>
    </row>
    <row r="6" spans="1:37" x14ac:dyDescent="0.35">
      <c r="A6" t="s">
        <v>166</v>
      </c>
      <c r="B6" t="s">
        <v>19</v>
      </c>
      <c r="C6" s="5">
        <v>43836</v>
      </c>
      <c r="D6" s="3">
        <v>267000</v>
      </c>
      <c r="E6" t="s">
        <v>13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 t="s">
        <v>13</v>
      </c>
      <c r="U6" s="3"/>
      <c r="V6" s="3"/>
      <c r="W6" s="3"/>
      <c r="AF6" t="s">
        <v>13</v>
      </c>
      <c r="AI6" s="3" t="s">
        <v>13</v>
      </c>
    </row>
    <row r="7" spans="1:37" x14ac:dyDescent="0.35">
      <c r="A7" t="s">
        <v>174</v>
      </c>
      <c r="B7" t="s">
        <v>55</v>
      </c>
      <c r="C7" s="5">
        <v>43848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 t="s">
        <v>13</v>
      </c>
      <c r="AI7" s="3" t="s">
        <v>13</v>
      </c>
    </row>
    <row r="8" spans="1:37" x14ac:dyDescent="0.35">
      <c r="A8" t="s">
        <v>199</v>
      </c>
      <c r="B8" t="s">
        <v>63</v>
      </c>
      <c r="C8" s="5">
        <v>43865</v>
      </c>
      <c r="D8" s="3">
        <v>160200</v>
      </c>
      <c r="E8" t="s">
        <v>13</v>
      </c>
      <c r="F8" s="3"/>
      <c r="G8" s="3"/>
      <c r="H8" s="3"/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AH8" s="3" t="s">
        <v>13</v>
      </c>
    </row>
    <row r="9" spans="1:37" x14ac:dyDescent="0.35">
      <c r="A9" t="s">
        <v>203</v>
      </c>
      <c r="B9" t="s">
        <v>58</v>
      </c>
      <c r="C9" s="5">
        <v>43866</v>
      </c>
      <c r="D9" s="3">
        <v>33728</v>
      </c>
      <c r="E9" t="s">
        <v>13</v>
      </c>
      <c r="F9" s="3"/>
      <c r="G9" s="3"/>
      <c r="H9" s="3"/>
      <c r="I9" s="3"/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H9" s="3" t="s">
        <v>13</v>
      </c>
    </row>
    <row r="10" spans="1:37" x14ac:dyDescent="0.35">
      <c r="A10" t="s">
        <v>207</v>
      </c>
      <c r="B10" t="s">
        <v>208</v>
      </c>
      <c r="C10" s="5">
        <v>43876</v>
      </c>
      <c r="D10" s="3">
        <v>160200</v>
      </c>
      <c r="E10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 t="s">
        <v>13</v>
      </c>
      <c r="U10" s="3"/>
      <c r="V10" s="3"/>
      <c r="W10" s="3"/>
      <c r="AH10" s="3" t="s">
        <v>13</v>
      </c>
    </row>
    <row r="11" spans="1:37" x14ac:dyDescent="0.35">
      <c r="A11" t="s">
        <v>235</v>
      </c>
      <c r="B11" t="s">
        <v>234</v>
      </c>
      <c r="C11" s="5">
        <v>43882</v>
      </c>
      <c r="D11" s="3">
        <v>160200</v>
      </c>
      <c r="E11" t="s">
        <v>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H11" s="3" t="s">
        <v>13</v>
      </c>
    </row>
    <row r="12" spans="1:37" x14ac:dyDescent="0.35">
      <c r="A12" t="s">
        <v>242</v>
      </c>
      <c r="B12" t="s">
        <v>243</v>
      </c>
      <c r="C12" s="5">
        <v>43889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</row>
    <row r="13" spans="1:37" x14ac:dyDescent="0.35">
      <c r="A13" t="s">
        <v>244</v>
      </c>
      <c r="B13" t="s">
        <v>245</v>
      </c>
      <c r="C13" s="5">
        <v>43892</v>
      </c>
      <c r="D13" s="3">
        <f>28475.41*1.19</f>
        <v>33885.7379</v>
      </c>
      <c r="E13" t="s">
        <v>13</v>
      </c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  <c r="AC13" t="s">
        <v>13</v>
      </c>
    </row>
    <row r="14" spans="1:37" x14ac:dyDescent="0.35">
      <c r="A14" t="s">
        <v>299</v>
      </c>
      <c r="B14" t="s">
        <v>300</v>
      </c>
      <c r="C14" s="5">
        <v>43904</v>
      </c>
      <c r="D14" s="3">
        <v>160200</v>
      </c>
      <c r="E14" t="s">
        <v>13</v>
      </c>
      <c r="F14" s="3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13</v>
      </c>
      <c r="U14" s="3"/>
      <c r="V14" s="3"/>
      <c r="W14" s="3"/>
    </row>
    <row r="15" spans="1:37" x14ac:dyDescent="0.35">
      <c r="A15" t="s">
        <v>345</v>
      </c>
      <c r="B15" t="s">
        <v>344</v>
      </c>
      <c r="C15" s="5" t="s">
        <v>13</v>
      </c>
      <c r="D15" s="3">
        <f>4500*60</f>
        <v>270000</v>
      </c>
      <c r="E15" t="s">
        <v>382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37" x14ac:dyDescent="0.35">
      <c r="C16" s="5"/>
      <c r="D16" s="3" t="s">
        <v>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6" x14ac:dyDescent="0.35">
      <c r="A17" t="s">
        <v>60</v>
      </c>
      <c r="F17" s="3">
        <v>0</v>
      </c>
      <c r="G17" s="3">
        <v>0</v>
      </c>
      <c r="H17" s="3"/>
      <c r="I17" s="3"/>
      <c r="J17" s="3"/>
      <c r="K17" s="3" t="s">
        <v>13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6" x14ac:dyDescent="0.35">
      <c r="A18" t="s">
        <v>1</v>
      </c>
      <c r="F18" s="3"/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6" x14ac:dyDescent="0.35">
      <c r="A19" t="s">
        <v>204</v>
      </c>
      <c r="D19" s="3">
        <v>2001574</v>
      </c>
      <c r="F19" s="3"/>
      <c r="G19" s="3"/>
      <c r="H19" s="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I19" s="3" t="s">
        <v>13</v>
      </c>
    </row>
    <row r="20" spans="1:36" x14ac:dyDescent="0.35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6" x14ac:dyDescent="0.35"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6" x14ac:dyDescent="0.35">
      <c r="A22" s="2" t="s">
        <v>6</v>
      </c>
      <c r="F22" s="3">
        <f t="shared" ref="F22:AJ22" si="1">SUM(F5:F21)</f>
        <v>0</v>
      </c>
      <c r="G22" s="3">
        <f t="shared" si="1"/>
        <v>0</v>
      </c>
      <c r="H22" s="3">
        <f t="shared" si="1"/>
        <v>0</v>
      </c>
      <c r="I22" s="3">
        <f t="shared" si="1"/>
        <v>0</v>
      </c>
      <c r="J22" s="3">
        <f t="shared" si="1"/>
        <v>0</v>
      </c>
      <c r="K22" s="3">
        <f t="shared" si="1"/>
        <v>0</v>
      </c>
      <c r="L22" s="3">
        <f t="shared" si="1"/>
        <v>0</v>
      </c>
      <c r="M22" s="3">
        <f>SUM(M5:M21)</f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0</v>
      </c>
      <c r="S22" s="3">
        <f t="shared" si="1"/>
        <v>0</v>
      </c>
      <c r="T22" s="3">
        <f t="shared" si="1"/>
        <v>0</v>
      </c>
      <c r="U22" s="3">
        <f t="shared" si="1"/>
        <v>0</v>
      </c>
      <c r="V22" s="3">
        <f t="shared" si="1"/>
        <v>0</v>
      </c>
      <c r="W22" s="3">
        <f t="shared" si="1"/>
        <v>0</v>
      </c>
      <c r="X22" s="3">
        <f t="shared" si="1"/>
        <v>0</v>
      </c>
      <c r="Y22" s="3">
        <f t="shared" si="1"/>
        <v>0</v>
      </c>
      <c r="Z22" s="3">
        <f t="shared" si="1"/>
        <v>0</v>
      </c>
      <c r="AA22" s="3">
        <f t="shared" si="1"/>
        <v>0</v>
      </c>
      <c r="AB22" s="3">
        <f t="shared" si="1"/>
        <v>0</v>
      </c>
      <c r="AC22" s="3">
        <f t="shared" si="1"/>
        <v>0</v>
      </c>
      <c r="AD22" s="3">
        <f t="shared" si="1"/>
        <v>0</v>
      </c>
      <c r="AE22" s="3">
        <f t="shared" si="1"/>
        <v>0</v>
      </c>
      <c r="AF22" s="3">
        <f t="shared" si="1"/>
        <v>0</v>
      </c>
      <c r="AG22" s="3">
        <f t="shared" si="1"/>
        <v>0</v>
      </c>
      <c r="AH22" s="3">
        <f>SUM(AH5:AH21)</f>
        <v>0</v>
      </c>
      <c r="AI22" s="3">
        <f t="shared" si="1"/>
        <v>0</v>
      </c>
      <c r="AJ22" s="3">
        <f t="shared" si="1"/>
        <v>0</v>
      </c>
    </row>
    <row r="23" spans="1:36" x14ac:dyDescent="0.35">
      <c r="A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6" x14ac:dyDescent="0.35">
      <c r="A24" s="2" t="s">
        <v>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6" x14ac:dyDescent="0.35">
      <c r="A25" t="s">
        <v>69</v>
      </c>
      <c r="B25" s="63" t="s">
        <v>68</v>
      </c>
      <c r="C25" s="67">
        <v>43812</v>
      </c>
      <c r="D25" s="3">
        <v>559300</v>
      </c>
      <c r="E25" t="s">
        <v>13</v>
      </c>
      <c r="F25" s="3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W25" s="3"/>
    </row>
    <row r="26" spans="1:36" x14ac:dyDescent="0.35">
      <c r="A26" s="4" t="s">
        <v>373</v>
      </c>
      <c r="B26" s="24" t="s">
        <v>337</v>
      </c>
      <c r="C26" s="67" t="s">
        <v>13</v>
      </c>
      <c r="D26" s="3">
        <v>500000</v>
      </c>
      <c r="F26" s="3"/>
      <c r="G26" s="3"/>
      <c r="H26" s="3"/>
      <c r="I26" s="3"/>
      <c r="K26" s="3" t="s">
        <v>13</v>
      </c>
      <c r="L26" s="3"/>
      <c r="M26" s="3"/>
      <c r="P26" s="3"/>
      <c r="Q26" s="3"/>
      <c r="R26" s="3"/>
      <c r="S26" s="3"/>
      <c r="T26" s="3"/>
      <c r="U26" s="3"/>
      <c r="V26" s="3"/>
      <c r="W26" s="3"/>
      <c r="X26" t="s">
        <v>13</v>
      </c>
    </row>
    <row r="27" spans="1:36" x14ac:dyDescent="0.35">
      <c r="A27" t="s">
        <v>241</v>
      </c>
      <c r="B27" t="s">
        <v>337</v>
      </c>
      <c r="C27" s="5" t="s">
        <v>13</v>
      </c>
      <c r="D27" s="3">
        <f>+(D5+D6+D7)*0.17</f>
        <v>118014.00000000001</v>
      </c>
      <c r="F27" s="3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W27" s="3"/>
      <c r="AI27" s="3" t="s">
        <v>13</v>
      </c>
    </row>
    <row r="28" spans="1:36" x14ac:dyDescent="0.35">
      <c r="A28" t="s">
        <v>343</v>
      </c>
      <c r="B28" t="s">
        <v>344</v>
      </c>
      <c r="C28" s="5" t="s">
        <v>13</v>
      </c>
      <c r="D28" s="3">
        <f>1250000-250000- 2150*1.19*100</f>
        <v>744150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6" x14ac:dyDescent="0.35">
      <c r="A29" t="s">
        <v>198</v>
      </c>
      <c r="B29" s="63" t="s">
        <v>196</v>
      </c>
      <c r="C29" s="5">
        <v>43864</v>
      </c>
      <c r="D29" s="3">
        <v>285243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36" x14ac:dyDescent="0.35">
      <c r="A30" t="s">
        <v>356</v>
      </c>
      <c r="B30" t="s">
        <v>372</v>
      </c>
      <c r="D30" s="3">
        <v>100000</v>
      </c>
      <c r="F30" s="3"/>
      <c r="G30" s="3"/>
      <c r="H30" s="3"/>
      <c r="I30" s="3"/>
      <c r="J30" s="3">
        <v>100000</v>
      </c>
      <c r="K30" s="3"/>
      <c r="L30" s="3"/>
      <c r="M30" s="3"/>
      <c r="N30" s="3"/>
      <c r="O30" s="3"/>
      <c r="P30" s="3"/>
      <c r="Q30" s="3"/>
      <c r="R30" s="3"/>
      <c r="S30" s="3"/>
      <c r="U30" s="3"/>
      <c r="V30" s="3"/>
      <c r="W30" s="3"/>
    </row>
    <row r="31" spans="1:36" x14ac:dyDescent="0.35">
      <c r="A31" t="s">
        <v>13</v>
      </c>
      <c r="D31" s="3" t="s">
        <v>13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6" x14ac:dyDescent="0.35">
      <c r="A32" s="2" t="s">
        <v>9</v>
      </c>
      <c r="F32" s="3">
        <f t="shared" ref="F32:AJ32" si="2">SUM(F25:F31)</f>
        <v>0</v>
      </c>
      <c r="G32" s="3">
        <f t="shared" si="2"/>
        <v>0</v>
      </c>
      <c r="H32" s="3">
        <f t="shared" si="2"/>
        <v>0</v>
      </c>
      <c r="I32" s="3">
        <f t="shared" si="2"/>
        <v>0</v>
      </c>
      <c r="J32" s="3">
        <f t="shared" si="2"/>
        <v>100000</v>
      </c>
      <c r="K32" s="3">
        <f t="shared" si="2"/>
        <v>0</v>
      </c>
      <c r="L32" s="3">
        <f t="shared" si="2"/>
        <v>0</v>
      </c>
      <c r="M32" s="3">
        <f t="shared" si="2"/>
        <v>0</v>
      </c>
      <c r="N32" s="3">
        <f t="shared" si="2"/>
        <v>0</v>
      </c>
      <c r="O32" s="3">
        <f t="shared" si="2"/>
        <v>0</v>
      </c>
      <c r="P32" s="3">
        <f t="shared" si="2"/>
        <v>0</v>
      </c>
      <c r="Q32" s="3">
        <f t="shared" si="2"/>
        <v>0</v>
      </c>
      <c r="R32" s="3">
        <f t="shared" si="2"/>
        <v>0</v>
      </c>
      <c r="S32" s="3">
        <f t="shared" si="2"/>
        <v>0</v>
      </c>
      <c r="T32" s="3">
        <f t="shared" si="2"/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3">
        <f t="shared" si="2"/>
        <v>0</v>
      </c>
      <c r="Y32" s="3">
        <f t="shared" si="2"/>
        <v>0</v>
      </c>
      <c r="Z32" s="3">
        <f t="shared" si="2"/>
        <v>0</v>
      </c>
      <c r="AA32" s="3">
        <f t="shared" si="2"/>
        <v>0</v>
      </c>
      <c r="AB32" s="3">
        <f t="shared" si="2"/>
        <v>0</v>
      </c>
      <c r="AC32" s="3">
        <f t="shared" si="2"/>
        <v>0</v>
      </c>
      <c r="AD32" s="3">
        <f t="shared" si="2"/>
        <v>0</v>
      </c>
      <c r="AE32" s="3">
        <f t="shared" si="2"/>
        <v>0</v>
      </c>
      <c r="AF32" s="3">
        <f t="shared" si="2"/>
        <v>0</v>
      </c>
      <c r="AG32" s="3">
        <f t="shared" si="2"/>
        <v>0</v>
      </c>
      <c r="AH32" s="3">
        <f t="shared" si="2"/>
        <v>0</v>
      </c>
      <c r="AI32" s="3">
        <f t="shared" si="2"/>
        <v>0</v>
      </c>
      <c r="AJ32" s="3">
        <f t="shared" si="2"/>
        <v>0</v>
      </c>
    </row>
    <row r="33" spans="1:36" x14ac:dyDescent="0.35">
      <c r="A33" t="s">
        <v>8</v>
      </c>
      <c r="F33" s="3">
        <f>+F22+F3-F32</f>
        <v>97707.583669468062</v>
      </c>
      <c r="G33" s="3">
        <f t="shared" ref="G33:AG33" si="3">+G3+G22-G32</f>
        <v>97707.583669468062</v>
      </c>
      <c r="H33" s="3">
        <f t="shared" si="3"/>
        <v>97707.583669468062</v>
      </c>
      <c r="I33" s="3">
        <f t="shared" si="3"/>
        <v>97707.583669468062</v>
      </c>
      <c r="J33" s="3">
        <f t="shared" si="3"/>
        <v>-2292.416330531938</v>
      </c>
      <c r="K33" s="3">
        <f t="shared" si="3"/>
        <v>-2292.416330531938</v>
      </c>
      <c r="L33" s="3">
        <f t="shared" si="3"/>
        <v>-2292.416330531938</v>
      </c>
      <c r="M33" s="3">
        <f t="shared" si="3"/>
        <v>-2292.416330531938</v>
      </c>
      <c r="N33" s="3">
        <f t="shared" si="3"/>
        <v>-2292.416330531938</v>
      </c>
      <c r="O33" s="3">
        <f t="shared" si="3"/>
        <v>-2292.416330531938</v>
      </c>
      <c r="P33" s="3">
        <f t="shared" si="3"/>
        <v>-2292.416330531938</v>
      </c>
      <c r="Q33" s="3">
        <f t="shared" si="3"/>
        <v>-2292.416330531938</v>
      </c>
      <c r="R33" s="3">
        <f t="shared" si="3"/>
        <v>-2292.416330531938</v>
      </c>
      <c r="S33" s="3">
        <f t="shared" si="3"/>
        <v>-2292.416330531938</v>
      </c>
      <c r="T33" s="3">
        <f t="shared" si="3"/>
        <v>-2292.416330531938</v>
      </c>
      <c r="U33" s="3">
        <f t="shared" si="3"/>
        <v>-2292.416330531938</v>
      </c>
      <c r="V33" s="3">
        <f t="shared" si="3"/>
        <v>-2292.416330531938</v>
      </c>
      <c r="W33" s="3">
        <f t="shared" si="3"/>
        <v>-2292.416330531938</v>
      </c>
      <c r="X33" s="3">
        <f t="shared" si="3"/>
        <v>-2292.416330531938</v>
      </c>
      <c r="Y33" s="3">
        <f t="shared" si="3"/>
        <v>-2292.416330531938</v>
      </c>
      <c r="Z33" s="3">
        <f t="shared" si="3"/>
        <v>-2292.416330531938</v>
      </c>
      <c r="AA33" s="3">
        <f t="shared" si="3"/>
        <v>-2292.416330531938</v>
      </c>
      <c r="AB33" s="3">
        <f t="shared" si="3"/>
        <v>-2292.416330531938</v>
      </c>
      <c r="AC33" s="3">
        <f t="shared" si="3"/>
        <v>-2292.416330531938</v>
      </c>
      <c r="AD33" s="3">
        <f t="shared" si="3"/>
        <v>-2292.416330531938</v>
      </c>
      <c r="AE33" s="3">
        <f t="shared" si="3"/>
        <v>-2292.416330531938</v>
      </c>
      <c r="AF33" s="3">
        <f t="shared" si="3"/>
        <v>-2292.416330531938</v>
      </c>
      <c r="AG33" s="3">
        <f t="shared" si="3"/>
        <v>-2292.416330531938</v>
      </c>
      <c r="AH33" s="3">
        <f>+AH3+AH22-AH32</f>
        <v>-2292.416330531938</v>
      </c>
      <c r="AI33" s="3">
        <f>+AI3+AI22-AI32</f>
        <v>-2292.416330531938</v>
      </c>
      <c r="AJ33" s="3">
        <f>+AJ3+AJ22-AJ32</f>
        <v>-2292.416330531938</v>
      </c>
    </row>
    <row r="34" spans="1:36" x14ac:dyDescent="0.35"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36" x14ac:dyDescent="0.35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36" x14ac:dyDescent="0.35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36" x14ac:dyDescent="0.35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36" x14ac:dyDescent="0.35"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36" x14ac:dyDescent="0.35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36" x14ac:dyDescent="0.3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36" x14ac:dyDescent="0.3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J43"/>
  <sheetViews>
    <sheetView workbookViewId="0"/>
  </sheetViews>
  <sheetFormatPr baseColWidth="10" defaultColWidth="11.08984375" defaultRowHeight="14.5" x14ac:dyDescent="0.35"/>
  <cols>
    <col min="1" max="1" width="46.269531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20" max="20" width="12.7265625" customWidth="1"/>
    <col min="21" max="21" width="12.54296875" customWidth="1"/>
    <col min="22" max="22" width="13.26953125" customWidth="1"/>
    <col min="30" max="30" width="13.54296875" customWidth="1"/>
    <col min="35" max="35" width="13.36328125" customWidth="1"/>
  </cols>
  <sheetData>
    <row r="2" spans="1:36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43983</v>
      </c>
      <c r="G2" s="1">
        <v>43984</v>
      </c>
      <c r="H2" s="1">
        <v>43985</v>
      </c>
      <c r="I2" s="1">
        <v>43986</v>
      </c>
      <c r="J2" s="1">
        <v>43987</v>
      </c>
      <c r="K2" s="1">
        <v>43988</v>
      </c>
      <c r="L2" s="1">
        <v>43989</v>
      </c>
      <c r="M2" s="1">
        <v>43990</v>
      </c>
      <c r="N2" s="1">
        <v>43991</v>
      </c>
      <c r="O2" s="1">
        <v>43992</v>
      </c>
      <c r="P2" s="1">
        <v>43993</v>
      </c>
      <c r="Q2" s="1">
        <v>43994</v>
      </c>
      <c r="R2" s="1">
        <v>43995</v>
      </c>
      <c r="S2" s="1">
        <v>43996</v>
      </c>
      <c r="T2" s="1">
        <v>43997</v>
      </c>
      <c r="U2" s="1">
        <v>43998</v>
      </c>
      <c r="V2" s="1">
        <v>43999</v>
      </c>
      <c r="W2" s="1">
        <v>44000</v>
      </c>
      <c r="X2" s="1">
        <v>44001</v>
      </c>
      <c r="Y2" s="1">
        <v>44002</v>
      </c>
      <c r="Z2" s="1">
        <v>44003</v>
      </c>
      <c r="AA2" s="1">
        <v>44004</v>
      </c>
      <c r="AB2" s="1">
        <v>44005</v>
      </c>
      <c r="AC2" s="1">
        <v>44006</v>
      </c>
      <c r="AD2" s="1">
        <v>44007</v>
      </c>
      <c r="AE2" s="1">
        <v>44008</v>
      </c>
      <c r="AF2" s="1">
        <v>44009</v>
      </c>
      <c r="AG2" s="1">
        <v>44010</v>
      </c>
      <c r="AH2" s="1">
        <v>44011</v>
      </c>
      <c r="AI2" s="1">
        <v>44012</v>
      </c>
      <c r="AJ2" s="1"/>
    </row>
    <row r="3" spans="1:36" x14ac:dyDescent="0.35">
      <c r="A3" t="s">
        <v>7</v>
      </c>
      <c r="F3" s="3">
        <f>+'MAY-20'!AJ33</f>
        <v>-2292.416330531938</v>
      </c>
      <c r="G3" s="3">
        <f t="shared" ref="G3:AI3" si="0">+F35</f>
        <v>-2292.416330531938</v>
      </c>
      <c r="H3" s="3">
        <f t="shared" si="0"/>
        <v>-2292.416330531938</v>
      </c>
      <c r="I3" s="3">
        <f t="shared" si="0"/>
        <v>-2292.416330531938</v>
      </c>
      <c r="J3" s="3">
        <f t="shared" si="0"/>
        <v>-2292.416330531938</v>
      </c>
      <c r="K3" s="3">
        <f t="shared" si="0"/>
        <v>-2292.416330531938</v>
      </c>
      <c r="L3" s="3">
        <f t="shared" si="0"/>
        <v>-2292.416330531938</v>
      </c>
      <c r="M3" s="3">
        <f t="shared" si="0"/>
        <v>-2292.416330531938</v>
      </c>
      <c r="N3" s="3">
        <f t="shared" si="0"/>
        <v>-2292.416330531938</v>
      </c>
      <c r="O3" s="3">
        <f t="shared" si="0"/>
        <v>-2292.416330531938</v>
      </c>
      <c r="P3" s="3">
        <f t="shared" si="0"/>
        <v>-2292.416330531938</v>
      </c>
      <c r="Q3" s="3">
        <f t="shared" si="0"/>
        <v>-2292.416330531938</v>
      </c>
      <c r="R3" s="3">
        <f t="shared" si="0"/>
        <v>-2292.416330531938</v>
      </c>
      <c r="S3" s="3">
        <f t="shared" si="0"/>
        <v>-2292.416330531938</v>
      </c>
      <c r="T3" s="3">
        <f t="shared" si="0"/>
        <v>-2292.416330531938</v>
      </c>
      <c r="U3" s="3">
        <f t="shared" si="0"/>
        <v>-2292.416330531938</v>
      </c>
      <c r="V3" s="3">
        <f t="shared" si="0"/>
        <v>-2292.416330531938</v>
      </c>
      <c r="W3" s="3">
        <f t="shared" si="0"/>
        <v>-2292.416330531938</v>
      </c>
      <c r="X3" s="3">
        <f t="shared" si="0"/>
        <v>-2292.416330531938</v>
      </c>
      <c r="Y3" s="3">
        <f t="shared" si="0"/>
        <v>-2292.416330531938</v>
      </c>
      <c r="Z3" s="3">
        <f t="shared" si="0"/>
        <v>-2292.416330531938</v>
      </c>
      <c r="AA3" s="3">
        <f t="shared" si="0"/>
        <v>-2292.416330531938</v>
      </c>
      <c r="AB3" s="3">
        <f t="shared" si="0"/>
        <v>-2292.416330531938</v>
      </c>
      <c r="AC3" s="3">
        <f t="shared" si="0"/>
        <v>-2292.416330531938</v>
      </c>
      <c r="AD3" s="3">
        <f t="shared" si="0"/>
        <v>-2292.416330531938</v>
      </c>
      <c r="AE3" s="3">
        <f t="shared" si="0"/>
        <v>-2292.416330531938</v>
      </c>
      <c r="AF3" s="3">
        <f t="shared" si="0"/>
        <v>-2292.416330531938</v>
      </c>
      <c r="AG3" s="3">
        <f t="shared" si="0"/>
        <v>-2292.416330531938</v>
      </c>
      <c r="AH3" s="3">
        <f t="shared" si="0"/>
        <v>-2292.416330531938</v>
      </c>
      <c r="AI3" s="3">
        <f t="shared" si="0"/>
        <v>-2292.416330531938</v>
      </c>
      <c r="AJ3" s="3"/>
    </row>
    <row r="4" spans="1:36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36" x14ac:dyDescent="0.35">
      <c r="A5" t="s">
        <v>89</v>
      </c>
      <c r="B5" t="s">
        <v>90</v>
      </c>
      <c r="C5" s="5">
        <v>43820</v>
      </c>
      <c r="D5" s="3">
        <v>267000</v>
      </c>
      <c r="E5" t="s">
        <v>13</v>
      </c>
      <c r="F5" s="3"/>
      <c r="G5" s="3"/>
      <c r="H5" s="3"/>
      <c r="I5" s="3"/>
      <c r="J5" s="3"/>
      <c r="L5" s="3"/>
      <c r="N5" s="3"/>
      <c r="O5" s="3"/>
      <c r="P5" s="3"/>
      <c r="R5" s="3"/>
      <c r="S5" s="3"/>
      <c r="T5" s="3" t="s">
        <v>13</v>
      </c>
      <c r="U5" s="3"/>
      <c r="V5" s="3"/>
      <c r="W5" s="3"/>
      <c r="AF5" s="3" t="s">
        <v>13</v>
      </c>
    </row>
    <row r="6" spans="1:36" x14ac:dyDescent="0.35">
      <c r="A6" t="s">
        <v>166</v>
      </c>
      <c r="B6" t="s">
        <v>19</v>
      </c>
      <c r="C6" s="5">
        <v>43836</v>
      </c>
      <c r="D6" s="3">
        <v>267000</v>
      </c>
      <c r="E6" t="s">
        <v>13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 t="s">
        <v>13</v>
      </c>
      <c r="U6" s="3"/>
      <c r="V6" s="3"/>
      <c r="W6" s="3"/>
      <c r="AF6" t="s">
        <v>13</v>
      </c>
    </row>
    <row r="7" spans="1:36" x14ac:dyDescent="0.35">
      <c r="A7" t="s">
        <v>174</v>
      </c>
      <c r="B7" t="s">
        <v>55</v>
      </c>
      <c r="C7" s="5">
        <v>43848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 t="s">
        <v>13</v>
      </c>
    </row>
    <row r="8" spans="1:36" x14ac:dyDescent="0.35">
      <c r="A8" t="s">
        <v>199</v>
      </c>
      <c r="B8" t="s">
        <v>63</v>
      </c>
      <c r="C8" s="5">
        <v>43865</v>
      </c>
      <c r="D8" s="3">
        <v>160200</v>
      </c>
      <c r="E8" t="s">
        <v>13</v>
      </c>
      <c r="F8" s="3"/>
      <c r="G8" s="3"/>
      <c r="H8" s="3"/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AH8" s="3" t="s">
        <v>13</v>
      </c>
    </row>
    <row r="9" spans="1:36" x14ac:dyDescent="0.35">
      <c r="A9" t="s">
        <v>203</v>
      </c>
      <c r="B9" t="s">
        <v>58</v>
      </c>
      <c r="C9" s="5">
        <v>43866</v>
      </c>
      <c r="D9" s="3">
        <v>33728</v>
      </c>
      <c r="E9" t="s">
        <v>13</v>
      </c>
      <c r="F9" s="3"/>
      <c r="G9" s="3"/>
      <c r="H9" s="3"/>
      <c r="I9" s="3"/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H9" s="3" t="s">
        <v>13</v>
      </c>
    </row>
    <row r="10" spans="1:36" x14ac:dyDescent="0.35">
      <c r="A10" t="s">
        <v>207</v>
      </c>
      <c r="B10" t="s">
        <v>208</v>
      </c>
      <c r="C10" s="5">
        <v>43876</v>
      </c>
      <c r="D10" s="3">
        <v>160200</v>
      </c>
      <c r="E10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 t="s">
        <v>13</v>
      </c>
      <c r="U10" s="3"/>
      <c r="V10" s="3"/>
      <c r="W10" s="3"/>
      <c r="AH10" s="3" t="s">
        <v>13</v>
      </c>
    </row>
    <row r="11" spans="1:36" x14ac:dyDescent="0.35">
      <c r="A11" t="s">
        <v>235</v>
      </c>
      <c r="B11" t="s">
        <v>234</v>
      </c>
      <c r="C11" s="5">
        <v>43882</v>
      </c>
      <c r="D11" s="3">
        <v>160200</v>
      </c>
      <c r="E11" t="s">
        <v>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H11" s="3" t="s">
        <v>13</v>
      </c>
    </row>
    <row r="12" spans="1:36" x14ac:dyDescent="0.35">
      <c r="A12" t="s">
        <v>242</v>
      </c>
      <c r="B12" t="s">
        <v>243</v>
      </c>
      <c r="C12" s="5">
        <v>43889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</row>
    <row r="13" spans="1:36" x14ac:dyDescent="0.35">
      <c r="A13" t="s">
        <v>244</v>
      </c>
      <c r="B13" t="s">
        <v>245</v>
      </c>
      <c r="C13" s="5">
        <v>43892</v>
      </c>
      <c r="D13" s="3">
        <f>28475.41*1.19</f>
        <v>33885.7379</v>
      </c>
      <c r="E13" t="s">
        <v>13</v>
      </c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  <c r="AC13" t="s">
        <v>13</v>
      </c>
    </row>
    <row r="14" spans="1:36" x14ac:dyDescent="0.35">
      <c r="A14" t="s">
        <v>299</v>
      </c>
      <c r="B14" t="s">
        <v>300</v>
      </c>
      <c r="C14" s="5">
        <v>43904</v>
      </c>
      <c r="D14" s="3">
        <v>160200</v>
      </c>
      <c r="E14" t="s">
        <v>13</v>
      </c>
      <c r="F14" s="3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13</v>
      </c>
      <c r="U14" s="3"/>
      <c r="V14" s="3"/>
      <c r="W14" s="3"/>
    </row>
    <row r="15" spans="1:36" x14ac:dyDescent="0.35">
      <c r="A15" t="s">
        <v>345</v>
      </c>
      <c r="B15" t="s">
        <v>344</v>
      </c>
      <c r="C15" s="5" t="s">
        <v>13</v>
      </c>
      <c r="D15" s="3">
        <f>4500*60</f>
        <v>270000</v>
      </c>
      <c r="E15" t="s">
        <v>382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36" x14ac:dyDescent="0.35">
      <c r="A16" t="s">
        <v>384</v>
      </c>
      <c r="B16" t="s">
        <v>383</v>
      </c>
      <c r="C16" s="5">
        <v>43843</v>
      </c>
      <c r="D16" s="3">
        <v>97968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AI16" s="3">
        <f>+D16</f>
        <v>97968</v>
      </c>
    </row>
    <row r="17" spans="1:35" x14ac:dyDescent="0.35">
      <c r="A17" t="s">
        <v>385</v>
      </c>
      <c r="C17" s="5"/>
      <c r="D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5" x14ac:dyDescent="0.35">
      <c r="C18" s="5"/>
      <c r="D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5" x14ac:dyDescent="0.35">
      <c r="A19" t="s">
        <v>60</v>
      </c>
      <c r="F19" s="3">
        <v>0</v>
      </c>
      <c r="G19" s="3">
        <v>0</v>
      </c>
      <c r="H19" s="3"/>
      <c r="I19" s="3"/>
      <c r="J19" s="3"/>
      <c r="K19" s="3" t="s">
        <v>13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5" x14ac:dyDescent="0.35">
      <c r="A20" t="s">
        <v>1</v>
      </c>
      <c r="F20" s="3"/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5" x14ac:dyDescent="0.35">
      <c r="A21" t="s">
        <v>204</v>
      </c>
      <c r="D21" s="3">
        <v>2001574</v>
      </c>
      <c r="F21" s="3"/>
      <c r="G21" s="3"/>
      <c r="H21" s="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I21" s="3" t="s">
        <v>13</v>
      </c>
    </row>
    <row r="22" spans="1:35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5" x14ac:dyDescent="0.35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5" x14ac:dyDescent="0.35">
      <c r="A24" s="2" t="s">
        <v>6</v>
      </c>
      <c r="F24" s="3">
        <f t="shared" ref="F24:AI24" si="1">SUM(F5:F23)</f>
        <v>0</v>
      </c>
      <c r="G24" s="3">
        <f t="shared" si="1"/>
        <v>0</v>
      </c>
      <c r="H24" s="3">
        <f t="shared" si="1"/>
        <v>0</v>
      </c>
      <c r="I24" s="3">
        <f t="shared" si="1"/>
        <v>0</v>
      </c>
      <c r="J24" s="3">
        <f t="shared" si="1"/>
        <v>0</v>
      </c>
      <c r="K24" s="3">
        <f t="shared" si="1"/>
        <v>0</v>
      </c>
      <c r="L24" s="3">
        <f t="shared" si="1"/>
        <v>0</v>
      </c>
      <c r="M24" s="3">
        <f t="shared" si="1"/>
        <v>0</v>
      </c>
      <c r="N24" s="3">
        <f t="shared" si="1"/>
        <v>0</v>
      </c>
      <c r="O24" s="3">
        <f t="shared" si="1"/>
        <v>0</v>
      </c>
      <c r="P24" s="3">
        <f t="shared" si="1"/>
        <v>0</v>
      </c>
      <c r="Q24" s="3">
        <f t="shared" si="1"/>
        <v>0</v>
      </c>
      <c r="R24" s="3">
        <f t="shared" si="1"/>
        <v>0</v>
      </c>
      <c r="S24" s="3">
        <f t="shared" si="1"/>
        <v>0</v>
      </c>
      <c r="T24" s="3">
        <f t="shared" si="1"/>
        <v>0</v>
      </c>
      <c r="U24" s="3">
        <f t="shared" si="1"/>
        <v>0</v>
      </c>
      <c r="V24" s="3">
        <f t="shared" si="1"/>
        <v>0</v>
      </c>
      <c r="W24" s="3">
        <f t="shared" si="1"/>
        <v>0</v>
      </c>
      <c r="X24" s="3">
        <f t="shared" si="1"/>
        <v>0</v>
      </c>
      <c r="Y24" s="3">
        <f t="shared" si="1"/>
        <v>0</v>
      </c>
      <c r="Z24" s="3">
        <f t="shared" si="1"/>
        <v>0</v>
      </c>
      <c r="AA24" s="3">
        <f t="shared" si="1"/>
        <v>0</v>
      </c>
      <c r="AB24" s="3">
        <f t="shared" si="1"/>
        <v>0</v>
      </c>
      <c r="AC24" s="3">
        <f t="shared" si="1"/>
        <v>0</v>
      </c>
      <c r="AD24" s="3">
        <f t="shared" si="1"/>
        <v>0</v>
      </c>
      <c r="AE24" s="3">
        <f t="shared" si="1"/>
        <v>0</v>
      </c>
      <c r="AF24" s="3">
        <f t="shared" si="1"/>
        <v>0</v>
      </c>
      <c r="AG24" s="3">
        <f t="shared" si="1"/>
        <v>0</v>
      </c>
      <c r="AH24" s="3">
        <f t="shared" si="1"/>
        <v>0</v>
      </c>
      <c r="AI24" s="3">
        <f t="shared" si="1"/>
        <v>97968</v>
      </c>
    </row>
    <row r="25" spans="1:35" x14ac:dyDescent="0.35">
      <c r="A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5" x14ac:dyDescent="0.35">
      <c r="A26" s="2" t="s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35" x14ac:dyDescent="0.35">
      <c r="A27" t="s">
        <v>69</v>
      </c>
      <c r="B27" s="63" t="s">
        <v>68</v>
      </c>
      <c r="C27" s="67">
        <v>43812</v>
      </c>
      <c r="D27" s="3">
        <v>559300</v>
      </c>
      <c r="E27" t="s">
        <v>13</v>
      </c>
      <c r="F27" s="3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W27" s="3"/>
    </row>
    <row r="28" spans="1:35" x14ac:dyDescent="0.35">
      <c r="A28" s="4" t="s">
        <v>373</v>
      </c>
      <c r="B28" s="24" t="s">
        <v>337</v>
      </c>
      <c r="C28" s="67" t="s">
        <v>13</v>
      </c>
      <c r="D28" s="3">
        <v>500000</v>
      </c>
      <c r="F28" s="3"/>
      <c r="G28" s="3"/>
      <c r="H28" s="3"/>
      <c r="I28" s="3"/>
      <c r="K28" s="3" t="s">
        <v>13</v>
      </c>
      <c r="L28" s="3"/>
      <c r="M28" s="3"/>
      <c r="P28" s="3"/>
      <c r="Q28" s="3"/>
      <c r="R28" s="3"/>
      <c r="S28" s="3"/>
      <c r="T28" s="3"/>
      <c r="U28" s="3"/>
      <c r="V28" s="3"/>
      <c r="W28" s="3"/>
      <c r="X28" t="s">
        <v>13</v>
      </c>
    </row>
    <row r="29" spans="1:35" x14ac:dyDescent="0.35">
      <c r="A29" s="4" t="s">
        <v>408</v>
      </c>
      <c r="B29" s="24" t="s">
        <v>337</v>
      </c>
      <c r="C29" s="67" t="s">
        <v>13</v>
      </c>
      <c r="D29" s="3">
        <v>500000</v>
      </c>
      <c r="F29" s="3"/>
      <c r="G29" s="3"/>
      <c r="H29" s="3"/>
      <c r="I29" s="3"/>
      <c r="K29" s="3"/>
      <c r="L29" s="3"/>
      <c r="M29" s="3"/>
      <c r="P29" s="3"/>
      <c r="Q29" s="3"/>
      <c r="R29" s="3"/>
      <c r="S29" s="3"/>
      <c r="T29" s="3"/>
      <c r="U29" s="3"/>
      <c r="V29" s="3"/>
      <c r="W29" s="3"/>
    </row>
    <row r="30" spans="1:35" x14ac:dyDescent="0.35">
      <c r="A30" t="s">
        <v>241</v>
      </c>
      <c r="B30" t="s">
        <v>337</v>
      </c>
      <c r="C30" s="5" t="s">
        <v>13</v>
      </c>
      <c r="D30" s="3">
        <f>+(D5+D6+D7)*0.17</f>
        <v>118014.00000000001</v>
      </c>
      <c r="F30" s="3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W30" s="3"/>
    </row>
    <row r="31" spans="1:35" x14ac:dyDescent="0.35">
      <c r="A31" t="s">
        <v>343</v>
      </c>
      <c r="B31" t="s">
        <v>344</v>
      </c>
      <c r="C31" s="5" t="s">
        <v>13</v>
      </c>
      <c r="D31" s="3">
        <f>1250000-250000- 2150*1.19*100</f>
        <v>744150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5" x14ac:dyDescent="0.35">
      <c r="A32" t="s">
        <v>198</v>
      </c>
      <c r="B32" s="63" t="s">
        <v>196</v>
      </c>
      <c r="C32" s="5">
        <v>43864</v>
      </c>
      <c r="D32" s="3">
        <v>285243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35" x14ac:dyDescent="0.35">
      <c r="A33" t="s">
        <v>13</v>
      </c>
      <c r="D33" s="3" t="s">
        <v>13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35" x14ac:dyDescent="0.35">
      <c r="A34" s="2" t="s">
        <v>9</v>
      </c>
      <c r="F34" s="3">
        <f t="shared" ref="F34:AG34" si="2">SUM(F27:F33)</f>
        <v>0</v>
      </c>
      <c r="G34" s="3">
        <f t="shared" si="2"/>
        <v>0</v>
      </c>
      <c r="H34" s="3">
        <f t="shared" si="2"/>
        <v>0</v>
      </c>
      <c r="I34" s="3">
        <f t="shared" si="2"/>
        <v>0</v>
      </c>
      <c r="J34" s="3">
        <f t="shared" si="2"/>
        <v>0</v>
      </c>
      <c r="K34" s="3">
        <f t="shared" si="2"/>
        <v>0</v>
      </c>
      <c r="L34" s="3">
        <f t="shared" si="2"/>
        <v>0</v>
      </c>
      <c r="M34" s="3">
        <f t="shared" si="2"/>
        <v>0</v>
      </c>
      <c r="N34" s="3">
        <f t="shared" si="2"/>
        <v>0</v>
      </c>
      <c r="O34" s="3">
        <f t="shared" si="2"/>
        <v>0</v>
      </c>
      <c r="P34" s="3">
        <f t="shared" si="2"/>
        <v>0</v>
      </c>
      <c r="Q34" s="3">
        <f t="shared" si="2"/>
        <v>0</v>
      </c>
      <c r="R34" s="3">
        <f t="shared" si="2"/>
        <v>0</v>
      </c>
      <c r="S34" s="3">
        <f t="shared" si="2"/>
        <v>0</v>
      </c>
      <c r="T34" s="3">
        <f t="shared" si="2"/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3">
        <f t="shared" si="2"/>
        <v>0</v>
      </c>
      <c r="Y34" s="3">
        <f t="shared" si="2"/>
        <v>0</v>
      </c>
      <c r="Z34" s="3">
        <f t="shared" si="2"/>
        <v>0</v>
      </c>
      <c r="AA34" s="3">
        <f t="shared" si="2"/>
        <v>0</v>
      </c>
      <c r="AB34" s="3">
        <f t="shared" si="2"/>
        <v>0</v>
      </c>
      <c r="AC34" s="3">
        <f t="shared" si="2"/>
        <v>0</v>
      </c>
      <c r="AD34" s="3">
        <f t="shared" si="2"/>
        <v>0</v>
      </c>
      <c r="AE34" s="3">
        <f t="shared" si="2"/>
        <v>0</v>
      </c>
      <c r="AF34" s="3">
        <f t="shared" si="2"/>
        <v>0</v>
      </c>
      <c r="AG34" s="3">
        <f t="shared" si="2"/>
        <v>0</v>
      </c>
      <c r="AH34" s="3">
        <f>SUM(AH27:AH33)</f>
        <v>0</v>
      </c>
      <c r="AI34" s="3">
        <f>SUM(AI27:AI33)</f>
        <v>0</v>
      </c>
    </row>
    <row r="35" spans="1:35" x14ac:dyDescent="0.35">
      <c r="A35" t="s">
        <v>8</v>
      </c>
      <c r="F35" s="3">
        <f>+F24+F3-F34</f>
        <v>-2292.416330531938</v>
      </c>
      <c r="G35" s="3">
        <f t="shared" ref="G35:AG35" si="3">+G3+G24-G34</f>
        <v>-2292.416330531938</v>
      </c>
      <c r="H35" s="3">
        <f t="shared" si="3"/>
        <v>-2292.416330531938</v>
      </c>
      <c r="I35" s="3">
        <f t="shared" si="3"/>
        <v>-2292.416330531938</v>
      </c>
      <c r="J35" s="3">
        <f t="shared" si="3"/>
        <v>-2292.416330531938</v>
      </c>
      <c r="K35" s="3">
        <f t="shared" si="3"/>
        <v>-2292.416330531938</v>
      </c>
      <c r="L35" s="3">
        <f t="shared" si="3"/>
        <v>-2292.416330531938</v>
      </c>
      <c r="M35" s="3">
        <f t="shared" si="3"/>
        <v>-2292.416330531938</v>
      </c>
      <c r="N35" s="3">
        <f t="shared" si="3"/>
        <v>-2292.416330531938</v>
      </c>
      <c r="O35" s="3">
        <f t="shared" si="3"/>
        <v>-2292.416330531938</v>
      </c>
      <c r="P35" s="3">
        <f t="shared" si="3"/>
        <v>-2292.416330531938</v>
      </c>
      <c r="Q35" s="3">
        <f t="shared" si="3"/>
        <v>-2292.416330531938</v>
      </c>
      <c r="R35" s="3">
        <f t="shared" si="3"/>
        <v>-2292.416330531938</v>
      </c>
      <c r="S35" s="3">
        <f t="shared" si="3"/>
        <v>-2292.416330531938</v>
      </c>
      <c r="T35" s="3">
        <f t="shared" si="3"/>
        <v>-2292.416330531938</v>
      </c>
      <c r="U35" s="3">
        <f t="shared" si="3"/>
        <v>-2292.416330531938</v>
      </c>
      <c r="V35" s="3">
        <f t="shared" si="3"/>
        <v>-2292.416330531938</v>
      </c>
      <c r="W35" s="3">
        <f t="shared" si="3"/>
        <v>-2292.416330531938</v>
      </c>
      <c r="X35" s="3">
        <f t="shared" si="3"/>
        <v>-2292.416330531938</v>
      </c>
      <c r="Y35" s="3">
        <f t="shared" si="3"/>
        <v>-2292.416330531938</v>
      </c>
      <c r="Z35" s="3">
        <f t="shared" si="3"/>
        <v>-2292.416330531938</v>
      </c>
      <c r="AA35" s="3">
        <f t="shared" si="3"/>
        <v>-2292.416330531938</v>
      </c>
      <c r="AB35" s="3">
        <f t="shared" si="3"/>
        <v>-2292.416330531938</v>
      </c>
      <c r="AC35" s="3">
        <f t="shared" si="3"/>
        <v>-2292.416330531938</v>
      </c>
      <c r="AD35" s="3">
        <f t="shared" si="3"/>
        <v>-2292.416330531938</v>
      </c>
      <c r="AE35" s="3">
        <f t="shared" si="3"/>
        <v>-2292.416330531938</v>
      </c>
      <c r="AF35" s="3">
        <f t="shared" si="3"/>
        <v>-2292.416330531938</v>
      </c>
      <c r="AG35" s="3">
        <f t="shared" si="3"/>
        <v>-2292.416330531938</v>
      </c>
      <c r="AH35" s="3">
        <f>+AH3+AH24-AH34</f>
        <v>-2292.416330531938</v>
      </c>
      <c r="AI35" s="3">
        <f>+AI3+AI24-AI34</f>
        <v>95675.583669468062</v>
      </c>
    </row>
    <row r="36" spans="1:35" x14ac:dyDescent="0.35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35" x14ac:dyDescent="0.35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35" x14ac:dyDescent="0.35"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35" x14ac:dyDescent="0.35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35" x14ac:dyDescent="0.3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35" x14ac:dyDescent="0.3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35" x14ac:dyDescent="0.3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35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K46"/>
  <sheetViews>
    <sheetView workbookViewId="0"/>
  </sheetViews>
  <sheetFormatPr baseColWidth="10" defaultColWidth="11.08984375" defaultRowHeight="14.5" x14ac:dyDescent="0.35"/>
  <cols>
    <col min="1" max="1" width="46.269531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20" max="20" width="12.7265625" customWidth="1"/>
    <col min="21" max="21" width="12.54296875" customWidth="1"/>
    <col min="22" max="22" width="13.26953125" customWidth="1"/>
    <col min="30" max="30" width="13.54296875" customWidth="1"/>
    <col min="35" max="35" width="13.3632812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44013</v>
      </c>
      <c r="G2" s="1">
        <v>44014</v>
      </c>
      <c r="H2" s="1">
        <v>44015</v>
      </c>
      <c r="I2" s="1">
        <v>44016</v>
      </c>
      <c r="J2" s="1">
        <v>44017</v>
      </c>
      <c r="K2" s="1">
        <v>44018</v>
      </c>
      <c r="L2" s="1">
        <v>44019</v>
      </c>
      <c r="M2" s="1">
        <v>44020</v>
      </c>
      <c r="N2" s="1">
        <v>44021</v>
      </c>
      <c r="O2" s="1">
        <v>44022</v>
      </c>
      <c r="P2" s="1">
        <v>44023</v>
      </c>
      <c r="Q2" s="1">
        <v>44024</v>
      </c>
      <c r="R2" s="1">
        <v>44025</v>
      </c>
      <c r="S2" s="1">
        <v>44026</v>
      </c>
      <c r="T2" s="1">
        <v>44027</v>
      </c>
      <c r="U2" s="1">
        <v>44028</v>
      </c>
      <c r="V2" s="1">
        <v>44029</v>
      </c>
      <c r="W2" s="1">
        <v>44030</v>
      </c>
      <c r="X2" s="1">
        <v>44031</v>
      </c>
      <c r="Y2" s="1">
        <v>44032</v>
      </c>
      <c r="Z2" s="1">
        <v>44033</v>
      </c>
      <c r="AA2" s="1">
        <v>44034</v>
      </c>
      <c r="AB2" s="1">
        <v>44035</v>
      </c>
      <c r="AC2" s="1">
        <v>44036</v>
      </c>
      <c r="AD2" s="1">
        <v>44037</v>
      </c>
      <c r="AE2" s="1">
        <v>44038</v>
      </c>
      <c r="AF2" s="1">
        <v>44039</v>
      </c>
      <c r="AG2" s="1">
        <v>44040</v>
      </c>
      <c r="AH2" s="1">
        <v>44041</v>
      </c>
      <c r="AI2" s="1">
        <v>44042</v>
      </c>
      <c r="AJ2" s="1">
        <v>44043</v>
      </c>
      <c r="AK2" s="1" t="s">
        <v>13</v>
      </c>
    </row>
    <row r="3" spans="1:37" x14ac:dyDescent="0.35">
      <c r="A3" t="s">
        <v>7</v>
      </c>
      <c r="F3" s="3">
        <f>+'JUN-20'!AI35</f>
        <v>95675.583669468062</v>
      </c>
      <c r="G3" s="3">
        <f t="shared" ref="G3:AJ3" si="0">+F38</f>
        <v>95675.583669468062</v>
      </c>
      <c r="H3" s="3">
        <f t="shared" si="0"/>
        <v>95675.583669468062</v>
      </c>
      <c r="I3" s="3">
        <f t="shared" si="0"/>
        <v>95675.583669468062</v>
      </c>
      <c r="J3" s="3">
        <f t="shared" si="0"/>
        <v>95675.583669468062</v>
      </c>
      <c r="K3" s="3">
        <f t="shared" si="0"/>
        <v>95675.583669468062</v>
      </c>
      <c r="L3" s="3">
        <f t="shared" si="0"/>
        <v>95675.583669468062</v>
      </c>
      <c r="M3" s="3">
        <f t="shared" si="0"/>
        <v>95675.583669468062</v>
      </c>
      <c r="N3" s="3">
        <f t="shared" si="0"/>
        <v>95675.583669468062</v>
      </c>
      <c r="O3" s="3">
        <f t="shared" si="0"/>
        <v>95675.583669468062</v>
      </c>
      <c r="P3" s="3">
        <f t="shared" si="0"/>
        <v>62605.583669468062</v>
      </c>
      <c r="Q3" s="3">
        <f t="shared" si="0"/>
        <v>62605.583669468062</v>
      </c>
      <c r="R3" s="3">
        <f t="shared" si="0"/>
        <v>62605.583669468062</v>
      </c>
      <c r="S3" s="3">
        <f t="shared" si="0"/>
        <v>62605.583669468062</v>
      </c>
      <c r="T3" s="3">
        <f t="shared" si="0"/>
        <v>62605.583669468062</v>
      </c>
      <c r="U3" s="3">
        <f t="shared" si="0"/>
        <v>62605.583669468062</v>
      </c>
      <c r="V3" s="3">
        <f t="shared" si="0"/>
        <v>62605.583669468062</v>
      </c>
      <c r="W3" s="3">
        <f t="shared" si="0"/>
        <v>62605.583669468062</v>
      </c>
      <c r="X3" s="3">
        <f t="shared" si="0"/>
        <v>62605.583669468062</v>
      </c>
      <c r="Y3" s="3">
        <f t="shared" si="0"/>
        <v>62605.583669468062</v>
      </c>
      <c r="Z3" s="3">
        <f t="shared" si="0"/>
        <v>62605.583669468062</v>
      </c>
      <c r="AA3" s="3">
        <f t="shared" si="0"/>
        <v>62605.583669468062</v>
      </c>
      <c r="AB3" s="3">
        <f t="shared" si="0"/>
        <v>62605.583669468062</v>
      </c>
      <c r="AC3" s="3">
        <f t="shared" si="0"/>
        <v>62605.583669468062</v>
      </c>
      <c r="AD3" s="3">
        <f t="shared" si="0"/>
        <v>62605.583669468062</v>
      </c>
      <c r="AE3" s="3">
        <f t="shared" si="0"/>
        <v>62605.583669468062</v>
      </c>
      <c r="AF3" s="3">
        <f t="shared" si="0"/>
        <v>62605.583669468062</v>
      </c>
      <c r="AG3" s="3">
        <f t="shared" si="0"/>
        <v>62605.583669468062</v>
      </c>
      <c r="AH3" s="3">
        <f t="shared" si="0"/>
        <v>62605.583669468062</v>
      </c>
      <c r="AI3" s="3">
        <f t="shared" si="0"/>
        <v>62605.583669468062</v>
      </c>
      <c r="AJ3" s="3">
        <f t="shared" si="0"/>
        <v>62605.583669468062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37" x14ac:dyDescent="0.35">
      <c r="A5" t="s">
        <v>89</v>
      </c>
      <c r="B5" t="s">
        <v>90</v>
      </c>
      <c r="C5" s="5">
        <v>43820</v>
      </c>
      <c r="D5" s="3">
        <v>267000</v>
      </c>
      <c r="E5" t="s">
        <v>13</v>
      </c>
      <c r="F5" s="3"/>
      <c r="G5" s="3"/>
      <c r="H5" s="3"/>
      <c r="I5" s="3"/>
      <c r="J5" s="3"/>
      <c r="L5" s="3"/>
      <c r="N5" s="3"/>
      <c r="O5" s="3"/>
      <c r="P5" s="3"/>
      <c r="R5" s="3"/>
      <c r="S5" s="3"/>
      <c r="T5" s="3" t="s">
        <v>13</v>
      </c>
      <c r="U5" s="3"/>
      <c r="V5" s="3"/>
      <c r="W5" s="3"/>
      <c r="AF5" s="3" t="s">
        <v>13</v>
      </c>
      <c r="AI5" s="3" t="s">
        <v>13</v>
      </c>
      <c r="AJ5" s="3" t="s">
        <v>13</v>
      </c>
    </row>
    <row r="6" spans="1:37" x14ac:dyDescent="0.35">
      <c r="A6" t="s">
        <v>166</v>
      </c>
      <c r="B6" t="s">
        <v>19</v>
      </c>
      <c r="C6" s="5">
        <v>43836</v>
      </c>
      <c r="D6" s="3">
        <v>267000</v>
      </c>
      <c r="E6" t="s">
        <v>13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 t="s">
        <v>13</v>
      </c>
      <c r="U6" s="3"/>
      <c r="V6" s="3"/>
      <c r="W6" s="3"/>
      <c r="AF6" t="s">
        <v>13</v>
      </c>
      <c r="AI6" s="3" t="s">
        <v>13</v>
      </c>
      <c r="AJ6" s="3" t="s">
        <v>13</v>
      </c>
    </row>
    <row r="7" spans="1:37" x14ac:dyDescent="0.35">
      <c r="A7" t="s">
        <v>174</v>
      </c>
      <c r="B7" t="s">
        <v>55</v>
      </c>
      <c r="C7" s="5">
        <v>43848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 t="s">
        <v>13</v>
      </c>
      <c r="AI7" s="3" t="s">
        <v>13</v>
      </c>
      <c r="AJ7" s="3" t="s">
        <v>13</v>
      </c>
    </row>
    <row r="8" spans="1:37" x14ac:dyDescent="0.35">
      <c r="A8" t="s">
        <v>199</v>
      </c>
      <c r="B8" t="s">
        <v>63</v>
      </c>
      <c r="C8" s="5">
        <v>43865</v>
      </c>
      <c r="D8" s="3">
        <v>160200</v>
      </c>
      <c r="E8" t="s">
        <v>13</v>
      </c>
      <c r="F8" s="3"/>
      <c r="G8" s="3"/>
      <c r="H8" s="3"/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AH8" s="3" t="s">
        <v>13</v>
      </c>
      <c r="AI8" s="3" t="s">
        <v>13</v>
      </c>
      <c r="AJ8" s="3" t="s">
        <v>13</v>
      </c>
    </row>
    <row r="9" spans="1:37" x14ac:dyDescent="0.35">
      <c r="A9" t="s">
        <v>203</v>
      </c>
      <c r="B9" t="s">
        <v>58</v>
      </c>
      <c r="C9" s="5">
        <v>43866</v>
      </c>
      <c r="D9" s="3">
        <v>33728</v>
      </c>
      <c r="E9" t="s">
        <v>13</v>
      </c>
      <c r="F9" s="3"/>
      <c r="G9" s="3"/>
      <c r="H9" s="3"/>
      <c r="I9" s="3"/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H9" s="3" t="s">
        <v>13</v>
      </c>
      <c r="AI9" s="3" t="s">
        <v>13</v>
      </c>
      <c r="AJ9" s="3" t="s">
        <v>13</v>
      </c>
    </row>
    <row r="10" spans="1:37" x14ac:dyDescent="0.35">
      <c r="A10" t="s">
        <v>207</v>
      </c>
      <c r="B10" t="s">
        <v>208</v>
      </c>
      <c r="C10" s="5">
        <v>43876</v>
      </c>
      <c r="D10" s="3">
        <v>160200</v>
      </c>
      <c r="E10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 t="s">
        <v>13</v>
      </c>
      <c r="U10" s="3"/>
      <c r="V10" s="3"/>
      <c r="W10" s="3"/>
      <c r="AH10" s="3" t="s">
        <v>13</v>
      </c>
      <c r="AI10" s="3" t="s">
        <v>13</v>
      </c>
      <c r="AJ10" s="3" t="s">
        <v>13</v>
      </c>
    </row>
    <row r="11" spans="1:37" x14ac:dyDescent="0.35">
      <c r="A11" t="s">
        <v>235</v>
      </c>
      <c r="B11" t="s">
        <v>234</v>
      </c>
      <c r="C11" s="5">
        <v>43882</v>
      </c>
      <c r="D11" s="3">
        <v>160200</v>
      </c>
      <c r="E11" t="s">
        <v>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H11" s="3" t="s">
        <v>13</v>
      </c>
      <c r="AI11" s="3" t="s">
        <v>13</v>
      </c>
      <c r="AJ11" s="3" t="s">
        <v>13</v>
      </c>
    </row>
    <row r="12" spans="1:37" x14ac:dyDescent="0.35">
      <c r="A12" t="s">
        <v>242</v>
      </c>
      <c r="B12" t="s">
        <v>243</v>
      </c>
      <c r="C12" s="5">
        <v>43889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  <c r="AI12" s="3" t="s">
        <v>13</v>
      </c>
      <c r="AJ12" s="3" t="s">
        <v>13</v>
      </c>
    </row>
    <row r="13" spans="1:37" x14ac:dyDescent="0.35">
      <c r="A13" t="s">
        <v>244</v>
      </c>
      <c r="B13" t="s">
        <v>245</v>
      </c>
      <c r="C13" s="5">
        <v>43892</v>
      </c>
      <c r="D13" s="3">
        <f>28475.41*1.19</f>
        <v>33885.7379</v>
      </c>
      <c r="E13" t="s">
        <v>13</v>
      </c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  <c r="AC13" t="s">
        <v>13</v>
      </c>
      <c r="AI13" s="3" t="s">
        <v>13</v>
      </c>
      <c r="AJ13" s="3" t="s">
        <v>13</v>
      </c>
    </row>
    <row r="14" spans="1:37" x14ac:dyDescent="0.35">
      <c r="A14" t="s">
        <v>299</v>
      </c>
      <c r="B14" t="s">
        <v>300</v>
      </c>
      <c r="C14" s="5">
        <v>43904</v>
      </c>
      <c r="D14" s="3">
        <v>160200</v>
      </c>
      <c r="E14" t="s">
        <v>13</v>
      </c>
      <c r="F14" s="3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13</v>
      </c>
      <c r="U14" s="3"/>
      <c r="V14" s="3"/>
      <c r="W14" s="3"/>
      <c r="AI14" s="3" t="s">
        <v>13</v>
      </c>
      <c r="AJ14" s="3" t="s">
        <v>13</v>
      </c>
    </row>
    <row r="15" spans="1:37" x14ac:dyDescent="0.35">
      <c r="A15" t="s">
        <v>345</v>
      </c>
      <c r="B15" t="s">
        <v>344</v>
      </c>
      <c r="C15" s="5" t="s">
        <v>13</v>
      </c>
      <c r="D15" s="3">
        <f>4500*60</f>
        <v>270000</v>
      </c>
      <c r="E15" t="s">
        <v>382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I15" s="3" t="s">
        <v>13</v>
      </c>
      <c r="AJ15" s="3" t="s">
        <v>13</v>
      </c>
    </row>
    <row r="16" spans="1:37" x14ac:dyDescent="0.35">
      <c r="A16" t="s">
        <v>385</v>
      </c>
      <c r="C16" s="5">
        <v>43980</v>
      </c>
      <c r="D16" s="3">
        <v>10465</v>
      </c>
      <c r="F16" s="3"/>
      <c r="G16" s="3"/>
      <c r="H16" s="3"/>
      <c r="I16" s="3"/>
      <c r="J16" s="3"/>
      <c r="K16" s="3"/>
      <c r="M16" s="3"/>
      <c r="N16" s="3"/>
      <c r="O16" s="3"/>
      <c r="Q16" s="3"/>
      <c r="R16" s="3"/>
      <c r="S16" s="3"/>
      <c r="T16" s="3"/>
      <c r="U16" s="3"/>
      <c r="V16" s="3">
        <v>0</v>
      </c>
      <c r="W16" s="3"/>
    </row>
    <row r="17" spans="1:36" x14ac:dyDescent="0.35">
      <c r="C17" s="5"/>
      <c r="D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6" x14ac:dyDescent="0.35">
      <c r="A18" t="s">
        <v>60</v>
      </c>
      <c r="F18" s="3">
        <v>0</v>
      </c>
      <c r="G18" s="3">
        <v>0</v>
      </c>
      <c r="H18" s="3"/>
      <c r="I18" s="3"/>
      <c r="J18" s="3"/>
      <c r="K18" s="3" t="s">
        <v>13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6" x14ac:dyDescent="0.35">
      <c r="A19" t="s">
        <v>1</v>
      </c>
      <c r="F19" s="3"/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6" x14ac:dyDescent="0.35">
      <c r="A20" t="s">
        <v>204</v>
      </c>
      <c r="D20" s="3">
        <v>2001574</v>
      </c>
      <c r="F20" s="3"/>
      <c r="G20" s="3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I20" s="3" t="s">
        <v>13</v>
      </c>
      <c r="AJ20" s="3" t="s">
        <v>13</v>
      </c>
    </row>
    <row r="21" spans="1:36" x14ac:dyDescent="0.35"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6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6" x14ac:dyDescent="0.35">
      <c r="A23" s="2" t="s">
        <v>6</v>
      </c>
      <c r="F23" s="3">
        <f t="shared" ref="F23:AG23" si="1">SUM(F5:F22)</f>
        <v>0</v>
      </c>
      <c r="G23" s="3">
        <f t="shared" si="1"/>
        <v>0</v>
      </c>
      <c r="H23" s="3">
        <f t="shared" si="1"/>
        <v>0</v>
      </c>
      <c r="I23" s="3">
        <f t="shared" si="1"/>
        <v>0</v>
      </c>
      <c r="J23" s="3">
        <f t="shared" si="1"/>
        <v>0</v>
      </c>
      <c r="K23" s="3">
        <f t="shared" si="1"/>
        <v>0</v>
      </c>
      <c r="L23" s="3">
        <f t="shared" si="1"/>
        <v>0</v>
      </c>
      <c r="M23" s="3">
        <f>SUM(M5:M22)</f>
        <v>0</v>
      </c>
      <c r="N23" s="3">
        <f t="shared" si="1"/>
        <v>0</v>
      </c>
      <c r="O23" s="3">
        <f t="shared" si="1"/>
        <v>0</v>
      </c>
      <c r="P23" s="3">
        <f t="shared" si="1"/>
        <v>0</v>
      </c>
      <c r="Q23" s="3">
        <f t="shared" si="1"/>
        <v>0</v>
      </c>
      <c r="R23" s="3">
        <f t="shared" si="1"/>
        <v>0</v>
      </c>
      <c r="S23" s="3">
        <f t="shared" si="1"/>
        <v>0</v>
      </c>
      <c r="T23" s="3">
        <f t="shared" si="1"/>
        <v>0</v>
      </c>
      <c r="U23" s="3">
        <f t="shared" si="1"/>
        <v>0</v>
      </c>
      <c r="V23" s="3">
        <f t="shared" si="1"/>
        <v>0</v>
      </c>
      <c r="W23" s="3">
        <f t="shared" si="1"/>
        <v>0</v>
      </c>
      <c r="X23" s="3">
        <f t="shared" si="1"/>
        <v>0</v>
      </c>
      <c r="Y23" s="3">
        <f t="shared" si="1"/>
        <v>0</v>
      </c>
      <c r="Z23" s="3">
        <f t="shared" si="1"/>
        <v>0</v>
      </c>
      <c r="AA23" s="3">
        <f t="shared" si="1"/>
        <v>0</v>
      </c>
      <c r="AB23" s="3">
        <f t="shared" si="1"/>
        <v>0</v>
      </c>
      <c r="AC23" s="3">
        <f t="shared" si="1"/>
        <v>0</v>
      </c>
      <c r="AD23" s="3">
        <f t="shared" si="1"/>
        <v>0</v>
      </c>
      <c r="AE23" s="3">
        <f t="shared" si="1"/>
        <v>0</v>
      </c>
      <c r="AF23" s="3">
        <f t="shared" si="1"/>
        <v>0</v>
      </c>
      <c r="AG23" s="3">
        <f t="shared" si="1"/>
        <v>0</v>
      </c>
      <c r="AH23" s="3">
        <f>SUM(AH5:AH22)</f>
        <v>0</v>
      </c>
      <c r="AI23" s="3">
        <f>SUM(AI5:AI22)</f>
        <v>0</v>
      </c>
      <c r="AJ23" s="3">
        <f>SUM(AJ5:AJ22)</f>
        <v>0</v>
      </c>
    </row>
    <row r="24" spans="1:36" x14ac:dyDescent="0.35">
      <c r="A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6" x14ac:dyDescent="0.35">
      <c r="A25" s="2" t="s">
        <v>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6" x14ac:dyDescent="0.35">
      <c r="A26" t="s">
        <v>69</v>
      </c>
      <c r="B26" s="63" t="s">
        <v>68</v>
      </c>
      <c r="C26" s="67">
        <v>43812</v>
      </c>
      <c r="D26" s="3">
        <v>559300</v>
      </c>
      <c r="E26" t="s">
        <v>13</v>
      </c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W26" s="3"/>
      <c r="AI26" s="3" t="s">
        <v>13</v>
      </c>
      <c r="AJ26" s="3" t="s">
        <v>13</v>
      </c>
    </row>
    <row r="27" spans="1:36" x14ac:dyDescent="0.35">
      <c r="A27" s="4" t="s">
        <v>373</v>
      </c>
      <c r="B27" s="24" t="s">
        <v>337</v>
      </c>
      <c r="C27" s="67" t="s">
        <v>13</v>
      </c>
      <c r="D27" s="3">
        <v>500000</v>
      </c>
      <c r="F27" s="3"/>
      <c r="G27" s="3"/>
      <c r="H27" s="3"/>
      <c r="I27" s="3"/>
      <c r="K27" s="3" t="s">
        <v>13</v>
      </c>
      <c r="L27" s="3"/>
      <c r="M27" s="3"/>
      <c r="P27" s="3"/>
      <c r="Q27" s="3"/>
      <c r="R27" s="3"/>
      <c r="S27" s="3"/>
      <c r="T27" s="3"/>
      <c r="U27" s="3"/>
      <c r="V27" s="3"/>
      <c r="W27" s="3"/>
      <c r="X27" t="s">
        <v>13</v>
      </c>
      <c r="AI27" s="3" t="s">
        <v>13</v>
      </c>
      <c r="AJ27" s="3" t="s">
        <v>13</v>
      </c>
    </row>
    <row r="28" spans="1:36" x14ac:dyDescent="0.35">
      <c r="A28" s="4" t="s">
        <v>408</v>
      </c>
      <c r="B28" s="24" t="s">
        <v>337</v>
      </c>
      <c r="C28" s="67" t="s">
        <v>13</v>
      </c>
      <c r="D28" s="3">
        <v>500000</v>
      </c>
      <c r="F28" s="3"/>
      <c r="G28" s="3"/>
      <c r="H28" s="3"/>
      <c r="I28" s="3"/>
      <c r="K28" s="3"/>
      <c r="L28" s="3"/>
      <c r="M28" s="3"/>
      <c r="P28" s="3"/>
      <c r="Q28" s="3"/>
      <c r="R28" s="3"/>
      <c r="S28" s="3"/>
      <c r="T28" s="3"/>
      <c r="U28" s="3"/>
      <c r="V28" s="3"/>
      <c r="W28" s="3"/>
    </row>
    <row r="29" spans="1:36" x14ac:dyDescent="0.35">
      <c r="A29" s="4" t="s">
        <v>409</v>
      </c>
      <c r="B29" s="24" t="s">
        <v>337</v>
      </c>
      <c r="C29" s="67" t="s">
        <v>13</v>
      </c>
      <c r="D29" s="3">
        <f>500000/2</f>
        <v>250000</v>
      </c>
      <c r="F29" s="3"/>
      <c r="G29" s="3"/>
      <c r="H29" s="3"/>
      <c r="I29" s="3"/>
      <c r="K29" s="3"/>
      <c r="L29" s="3"/>
      <c r="M29" s="3"/>
      <c r="P29" s="3"/>
      <c r="Q29" s="3"/>
      <c r="R29" s="3"/>
      <c r="S29" s="3"/>
      <c r="T29" s="3"/>
      <c r="U29" s="3"/>
      <c r="V29" s="3"/>
      <c r="W29" s="3"/>
    </row>
    <row r="30" spans="1:36" x14ac:dyDescent="0.35">
      <c r="A30" t="s">
        <v>241</v>
      </c>
      <c r="B30" t="s">
        <v>337</v>
      </c>
      <c r="C30" s="5" t="s">
        <v>13</v>
      </c>
      <c r="D30" s="3">
        <f>+(D5+D6+D7)*0.17</f>
        <v>118014.00000000001</v>
      </c>
      <c r="F30" s="3"/>
      <c r="G30" s="3"/>
      <c r="H30" s="3"/>
      <c r="I30" s="3"/>
      <c r="J30" s="3"/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W30" s="3"/>
      <c r="AH30" s="3" t="s">
        <v>13</v>
      </c>
      <c r="AI30" s="3" t="s">
        <v>13</v>
      </c>
      <c r="AJ30" s="3" t="s">
        <v>13</v>
      </c>
    </row>
    <row r="31" spans="1:36" x14ac:dyDescent="0.35">
      <c r="A31" t="s">
        <v>343</v>
      </c>
      <c r="B31" t="s">
        <v>344</v>
      </c>
      <c r="C31" s="5" t="s">
        <v>13</v>
      </c>
      <c r="D31" s="3">
        <f>1250000-250000- 2150*1.19*100</f>
        <v>744150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AI31" s="3" t="s">
        <v>13</v>
      </c>
      <c r="AJ31" s="3" t="s">
        <v>13</v>
      </c>
    </row>
    <row r="32" spans="1:36" x14ac:dyDescent="0.35">
      <c r="A32" t="s">
        <v>198</v>
      </c>
      <c r="B32" s="63" t="s">
        <v>196</v>
      </c>
      <c r="C32" s="5">
        <v>43864</v>
      </c>
      <c r="D32" s="3">
        <v>285243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AI32" s="3" t="s">
        <v>13</v>
      </c>
      <c r="AJ32" s="3" t="s">
        <v>13</v>
      </c>
    </row>
    <row r="33" spans="1:36" x14ac:dyDescent="0.35">
      <c r="A33" t="s">
        <v>387</v>
      </c>
      <c r="B33" t="s">
        <v>386</v>
      </c>
      <c r="C33" s="5">
        <v>44004</v>
      </c>
      <c r="D33" s="3">
        <f>7500*1.19</f>
        <v>8925</v>
      </c>
      <c r="F33" s="3"/>
      <c r="G33" s="3"/>
      <c r="H33" s="3"/>
      <c r="I33" s="3"/>
      <c r="J33" s="3"/>
      <c r="K33" s="3"/>
      <c r="M33" s="3"/>
      <c r="N33" s="3"/>
      <c r="O33" s="3">
        <f>7500*1.19</f>
        <v>8925</v>
      </c>
      <c r="P33" s="3"/>
      <c r="Q33" s="3"/>
      <c r="R33" s="3"/>
      <c r="S33" s="3"/>
      <c r="T33" s="3"/>
      <c r="U33" s="3"/>
      <c r="V33" s="3"/>
      <c r="W33" s="3"/>
      <c r="AI33" s="3"/>
      <c r="AJ33" s="3"/>
    </row>
    <row r="34" spans="1:36" x14ac:dyDescent="0.35">
      <c r="A34" s="4" t="s">
        <v>240</v>
      </c>
      <c r="B34" s="68" t="s">
        <v>239</v>
      </c>
      <c r="C34" s="67">
        <v>43892</v>
      </c>
      <c r="D34" s="3">
        <f>45500*1.19</f>
        <v>54145</v>
      </c>
      <c r="F34" s="3"/>
      <c r="G34" s="3"/>
      <c r="H34" s="3"/>
      <c r="I34" s="3"/>
      <c r="J34" s="3"/>
      <c r="K34" s="3"/>
      <c r="L34" s="3"/>
      <c r="M34" s="3"/>
      <c r="N34" s="3"/>
      <c r="O34" s="3">
        <f>54145-30000</f>
        <v>24145</v>
      </c>
      <c r="P34" s="3"/>
      <c r="Q34" s="3"/>
      <c r="R34" s="3"/>
      <c r="S34" s="3"/>
      <c r="T34" s="3"/>
      <c r="U34" s="3"/>
      <c r="V34" s="3"/>
      <c r="W34" s="3"/>
      <c r="AI34" s="3" t="s">
        <v>13</v>
      </c>
      <c r="AJ34" s="3" t="s">
        <v>13</v>
      </c>
    </row>
    <row r="35" spans="1:36" x14ac:dyDescent="0.35">
      <c r="A35" s="4"/>
      <c r="C35" s="67"/>
      <c r="D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I35" s="3"/>
      <c r="AJ35" s="3"/>
    </row>
    <row r="36" spans="1:36" x14ac:dyDescent="0.35">
      <c r="A36" s="4"/>
      <c r="C36" s="67"/>
      <c r="D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I36" s="3"/>
      <c r="AJ36" s="3"/>
    </row>
    <row r="37" spans="1:36" x14ac:dyDescent="0.35">
      <c r="A37" s="2" t="s">
        <v>9</v>
      </c>
      <c r="F37" s="3">
        <f t="shared" ref="F37:AG37" si="2">SUM(F26:F34)</f>
        <v>0</v>
      </c>
      <c r="G37" s="3">
        <f t="shared" si="2"/>
        <v>0</v>
      </c>
      <c r="H37" s="3">
        <f t="shared" si="2"/>
        <v>0</v>
      </c>
      <c r="I37" s="3">
        <f t="shared" si="2"/>
        <v>0</v>
      </c>
      <c r="J37" s="3">
        <f t="shared" si="2"/>
        <v>0</v>
      </c>
      <c r="K37" s="3">
        <f t="shared" si="2"/>
        <v>0</v>
      </c>
      <c r="L37" s="3">
        <f t="shared" si="2"/>
        <v>0</v>
      </c>
      <c r="M37" s="3">
        <f t="shared" si="2"/>
        <v>0</v>
      </c>
      <c r="N37" s="3">
        <f t="shared" si="2"/>
        <v>0</v>
      </c>
      <c r="O37" s="3">
        <f t="shared" si="2"/>
        <v>33070</v>
      </c>
      <c r="P37" s="3">
        <f t="shared" si="2"/>
        <v>0</v>
      </c>
      <c r="Q37" s="3">
        <f t="shared" si="2"/>
        <v>0</v>
      </c>
      <c r="R37" s="3">
        <f t="shared" si="2"/>
        <v>0</v>
      </c>
      <c r="S37" s="3">
        <f t="shared" si="2"/>
        <v>0</v>
      </c>
      <c r="T37" s="3">
        <f t="shared" si="2"/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3">
        <f t="shared" si="2"/>
        <v>0</v>
      </c>
      <c r="Y37" s="3">
        <f t="shared" si="2"/>
        <v>0</v>
      </c>
      <c r="Z37" s="3">
        <f t="shared" si="2"/>
        <v>0</v>
      </c>
      <c r="AA37" s="3">
        <f t="shared" si="2"/>
        <v>0</v>
      </c>
      <c r="AB37" s="3">
        <f t="shared" si="2"/>
        <v>0</v>
      </c>
      <c r="AC37" s="3">
        <f t="shared" si="2"/>
        <v>0</v>
      </c>
      <c r="AD37" s="3">
        <f t="shared" si="2"/>
        <v>0</v>
      </c>
      <c r="AE37" s="3">
        <f t="shared" si="2"/>
        <v>0</v>
      </c>
      <c r="AF37" s="3">
        <f t="shared" si="2"/>
        <v>0</v>
      </c>
      <c r="AG37" s="3">
        <f t="shared" si="2"/>
        <v>0</v>
      </c>
      <c r="AH37" s="3">
        <f>SUM(AH26:AH34)</f>
        <v>0</v>
      </c>
      <c r="AI37" s="3">
        <f>SUM(AI26:AI34)</f>
        <v>0</v>
      </c>
      <c r="AJ37" s="3">
        <f>SUM(AJ26:AJ34)</f>
        <v>0</v>
      </c>
    </row>
    <row r="38" spans="1:36" x14ac:dyDescent="0.35">
      <c r="A38" t="s">
        <v>8</v>
      </c>
      <c r="F38" s="3">
        <f>+F23+F3-F37</f>
        <v>95675.583669468062</v>
      </c>
      <c r="G38" s="3">
        <f t="shared" ref="G38:AG38" si="3">+G3+G23-G37</f>
        <v>95675.583669468062</v>
      </c>
      <c r="H38" s="3">
        <f t="shared" si="3"/>
        <v>95675.583669468062</v>
      </c>
      <c r="I38" s="3">
        <f t="shared" si="3"/>
        <v>95675.583669468062</v>
      </c>
      <c r="J38" s="3">
        <f t="shared" si="3"/>
        <v>95675.583669468062</v>
      </c>
      <c r="K38" s="3">
        <f t="shared" si="3"/>
        <v>95675.583669468062</v>
      </c>
      <c r="L38" s="3">
        <f t="shared" si="3"/>
        <v>95675.583669468062</v>
      </c>
      <c r="M38" s="3">
        <f t="shared" si="3"/>
        <v>95675.583669468062</v>
      </c>
      <c r="N38" s="3">
        <f t="shared" si="3"/>
        <v>95675.583669468062</v>
      </c>
      <c r="O38" s="3">
        <f t="shared" si="3"/>
        <v>62605.583669468062</v>
      </c>
      <c r="P38" s="3">
        <f t="shared" si="3"/>
        <v>62605.583669468062</v>
      </c>
      <c r="Q38" s="3">
        <f t="shared" si="3"/>
        <v>62605.583669468062</v>
      </c>
      <c r="R38" s="3">
        <f t="shared" si="3"/>
        <v>62605.583669468062</v>
      </c>
      <c r="S38" s="3">
        <f t="shared" si="3"/>
        <v>62605.583669468062</v>
      </c>
      <c r="T38" s="3">
        <f t="shared" si="3"/>
        <v>62605.583669468062</v>
      </c>
      <c r="U38" s="3">
        <f t="shared" si="3"/>
        <v>62605.583669468062</v>
      </c>
      <c r="V38" s="3">
        <f t="shared" si="3"/>
        <v>62605.583669468062</v>
      </c>
      <c r="W38" s="3">
        <f t="shared" si="3"/>
        <v>62605.583669468062</v>
      </c>
      <c r="X38" s="3">
        <f t="shared" si="3"/>
        <v>62605.583669468062</v>
      </c>
      <c r="Y38" s="3">
        <f t="shared" si="3"/>
        <v>62605.583669468062</v>
      </c>
      <c r="Z38" s="3">
        <f t="shared" si="3"/>
        <v>62605.583669468062</v>
      </c>
      <c r="AA38" s="3">
        <f t="shared" si="3"/>
        <v>62605.583669468062</v>
      </c>
      <c r="AB38" s="3">
        <f t="shared" si="3"/>
        <v>62605.583669468062</v>
      </c>
      <c r="AC38" s="3">
        <f t="shared" si="3"/>
        <v>62605.583669468062</v>
      </c>
      <c r="AD38" s="3">
        <f t="shared" si="3"/>
        <v>62605.583669468062</v>
      </c>
      <c r="AE38" s="3">
        <f t="shared" si="3"/>
        <v>62605.583669468062</v>
      </c>
      <c r="AF38" s="3">
        <f t="shared" si="3"/>
        <v>62605.583669468062</v>
      </c>
      <c r="AG38" s="3">
        <f t="shared" si="3"/>
        <v>62605.583669468062</v>
      </c>
      <c r="AH38" s="3">
        <f>+AH3+AH23-AH37</f>
        <v>62605.583669468062</v>
      </c>
      <c r="AI38" s="3">
        <f>+AI3+AI23-AI37</f>
        <v>62605.583669468062</v>
      </c>
      <c r="AJ38" s="3">
        <f>+AJ3+AJ23-AJ37</f>
        <v>62605.583669468062</v>
      </c>
    </row>
    <row r="39" spans="1:36" x14ac:dyDescent="0.35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36" x14ac:dyDescent="0.3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36" x14ac:dyDescent="0.3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36" x14ac:dyDescent="0.3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36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36" x14ac:dyDescent="0.35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36" x14ac:dyDescent="0.3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36" x14ac:dyDescent="0.3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J52"/>
  <sheetViews>
    <sheetView topLeftCell="A26" workbookViewId="0">
      <selection activeCell="A37" sqref="A37"/>
    </sheetView>
  </sheetViews>
  <sheetFormatPr baseColWidth="10" defaultColWidth="11.08984375" defaultRowHeight="14.5" x14ac:dyDescent="0.35"/>
  <cols>
    <col min="1" max="1" width="46.269531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20" max="20" width="12.7265625" customWidth="1"/>
    <col min="21" max="21" width="12.54296875" customWidth="1"/>
    <col min="22" max="22" width="13.26953125" customWidth="1"/>
    <col min="30" max="30" width="13.54296875" customWidth="1"/>
    <col min="35" max="35" width="13.36328125" customWidth="1"/>
  </cols>
  <sheetData>
    <row r="2" spans="1:36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44044</v>
      </c>
      <c r="G2" s="1">
        <v>44045</v>
      </c>
      <c r="H2" s="1">
        <v>44046</v>
      </c>
      <c r="I2" s="1">
        <v>44047</v>
      </c>
      <c r="J2" s="1">
        <v>44048</v>
      </c>
      <c r="K2" s="1">
        <v>44049</v>
      </c>
      <c r="L2" s="1">
        <v>44050</v>
      </c>
      <c r="M2" s="1">
        <v>44051</v>
      </c>
      <c r="N2" s="1">
        <v>44052</v>
      </c>
      <c r="O2" s="1">
        <v>44053</v>
      </c>
      <c r="P2" s="1">
        <v>44054</v>
      </c>
      <c r="Q2" s="1">
        <v>44055</v>
      </c>
      <c r="R2" s="1">
        <v>44056</v>
      </c>
      <c r="S2" s="1">
        <v>44057</v>
      </c>
      <c r="T2" s="1">
        <v>44058</v>
      </c>
      <c r="U2" s="1">
        <v>44059</v>
      </c>
      <c r="V2" s="1">
        <v>44060</v>
      </c>
      <c r="W2" s="1">
        <v>44061</v>
      </c>
      <c r="X2" s="1">
        <v>44062</v>
      </c>
      <c r="Y2" s="1">
        <v>44063</v>
      </c>
      <c r="Z2" s="1">
        <v>44064</v>
      </c>
      <c r="AA2" s="1">
        <v>44065</v>
      </c>
      <c r="AB2" s="1">
        <v>44066</v>
      </c>
      <c r="AC2" s="1">
        <v>44067</v>
      </c>
      <c r="AD2" s="1">
        <v>44068</v>
      </c>
      <c r="AE2" s="1">
        <v>44069</v>
      </c>
      <c r="AF2" s="1">
        <v>44070</v>
      </c>
      <c r="AG2" s="1">
        <v>44071</v>
      </c>
      <c r="AH2" s="1">
        <v>44072</v>
      </c>
      <c r="AI2" s="1">
        <v>44073</v>
      </c>
      <c r="AJ2" s="1">
        <v>44074</v>
      </c>
    </row>
    <row r="3" spans="1:36" x14ac:dyDescent="0.35">
      <c r="A3" t="s">
        <v>7</v>
      </c>
      <c r="F3" s="3">
        <f>+'JUL-20'!AJ38</f>
        <v>62605.583669468062</v>
      </c>
      <c r="G3" s="3">
        <f t="shared" ref="G3:AJ3" si="0">+F44</f>
        <v>62605.583669468062</v>
      </c>
      <c r="H3" s="3">
        <f t="shared" si="0"/>
        <v>62605.583669468062</v>
      </c>
      <c r="I3" s="3">
        <f t="shared" si="0"/>
        <v>62605.583669468062</v>
      </c>
      <c r="J3" s="3">
        <f t="shared" si="0"/>
        <v>62605.583669468062</v>
      </c>
      <c r="K3" s="3">
        <f t="shared" si="0"/>
        <v>62605.583669468062</v>
      </c>
      <c r="L3" s="3">
        <f t="shared" si="0"/>
        <v>-2145.416330531938</v>
      </c>
      <c r="M3" s="3">
        <f t="shared" si="0"/>
        <v>-2145.416330531938</v>
      </c>
      <c r="N3" s="3">
        <f t="shared" si="0"/>
        <v>-2145.416330531938</v>
      </c>
      <c r="O3" s="3">
        <f t="shared" si="0"/>
        <v>-2145.416330531938</v>
      </c>
      <c r="P3" s="3">
        <f t="shared" si="0"/>
        <v>-2145.416330531938</v>
      </c>
      <c r="Q3" s="3">
        <f t="shared" si="0"/>
        <v>-2145.416330531938</v>
      </c>
      <c r="R3" s="3">
        <f t="shared" si="0"/>
        <v>-2145.416330531938</v>
      </c>
      <c r="S3" s="3">
        <f t="shared" si="0"/>
        <v>-2145.416330531938</v>
      </c>
      <c r="T3" s="3">
        <f t="shared" si="0"/>
        <v>-2145.416330531938</v>
      </c>
      <c r="U3" s="3">
        <f t="shared" si="0"/>
        <v>-2145.416330531938</v>
      </c>
      <c r="V3" s="3">
        <f t="shared" si="0"/>
        <v>-2145.416330531938</v>
      </c>
      <c r="W3" s="3">
        <f t="shared" si="0"/>
        <v>-2145.416330531938</v>
      </c>
      <c r="X3" s="3">
        <f t="shared" si="0"/>
        <v>-2145.416330531938</v>
      </c>
      <c r="Y3" s="3">
        <f t="shared" si="0"/>
        <v>-2145.416330531938</v>
      </c>
      <c r="Z3" s="3">
        <f t="shared" si="0"/>
        <v>-2145.416330531938</v>
      </c>
      <c r="AA3" s="3">
        <f t="shared" si="0"/>
        <v>-2145.416330531938</v>
      </c>
      <c r="AB3" s="3">
        <f t="shared" si="0"/>
        <v>-2145.416330531938</v>
      </c>
      <c r="AC3" s="3">
        <f t="shared" si="0"/>
        <v>-2145.416330531938</v>
      </c>
      <c r="AD3" s="3">
        <f t="shared" si="0"/>
        <v>-2145.416330531938</v>
      </c>
      <c r="AE3" s="3">
        <f t="shared" si="0"/>
        <v>-18210.416330531938</v>
      </c>
      <c r="AF3" s="3">
        <f t="shared" si="0"/>
        <v>-18210.416330531938</v>
      </c>
      <c r="AG3" s="3">
        <f t="shared" si="0"/>
        <v>-18210.416330531938</v>
      </c>
      <c r="AH3" s="3">
        <f t="shared" si="0"/>
        <v>-18210.416330531938</v>
      </c>
      <c r="AI3" s="3">
        <f t="shared" si="0"/>
        <v>-18210.416330531938</v>
      </c>
      <c r="AJ3" s="3">
        <f t="shared" si="0"/>
        <v>-18210.416330531938</v>
      </c>
    </row>
    <row r="4" spans="1:36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36" x14ac:dyDescent="0.35">
      <c r="A5" t="s">
        <v>89</v>
      </c>
      <c r="B5" t="s">
        <v>90</v>
      </c>
      <c r="C5" s="5">
        <v>43820</v>
      </c>
      <c r="D5" s="3">
        <v>267000</v>
      </c>
      <c r="E5" t="s">
        <v>13</v>
      </c>
      <c r="F5" s="3"/>
      <c r="G5" s="3"/>
      <c r="H5" s="3"/>
      <c r="I5" s="3"/>
      <c r="J5" s="3"/>
      <c r="L5" s="3"/>
      <c r="N5" s="3"/>
      <c r="O5" s="3"/>
      <c r="P5" s="3"/>
      <c r="R5" s="3"/>
      <c r="S5" s="3"/>
      <c r="T5" s="3" t="s">
        <v>13</v>
      </c>
      <c r="U5" s="3"/>
      <c r="V5" s="3"/>
      <c r="W5" s="3"/>
      <c r="AF5" s="3" t="s">
        <v>13</v>
      </c>
    </row>
    <row r="6" spans="1:36" x14ac:dyDescent="0.35">
      <c r="A6" t="s">
        <v>166</v>
      </c>
      <c r="B6" t="s">
        <v>19</v>
      </c>
      <c r="C6" s="5">
        <v>43836</v>
      </c>
      <c r="D6" s="3">
        <v>267000</v>
      </c>
      <c r="E6" t="s">
        <v>13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 t="s">
        <v>13</v>
      </c>
      <c r="U6" s="3"/>
      <c r="V6" s="3"/>
      <c r="W6" s="3"/>
      <c r="AF6" t="s">
        <v>13</v>
      </c>
    </row>
    <row r="7" spans="1:36" x14ac:dyDescent="0.35">
      <c r="A7" t="s">
        <v>174</v>
      </c>
      <c r="B7" t="s">
        <v>55</v>
      </c>
      <c r="C7" s="5">
        <v>43848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 t="s">
        <v>13</v>
      </c>
    </row>
    <row r="8" spans="1:36" x14ac:dyDescent="0.35">
      <c r="A8" t="s">
        <v>199</v>
      </c>
      <c r="B8" t="s">
        <v>63</v>
      </c>
      <c r="C8" s="5">
        <v>43865</v>
      </c>
      <c r="D8" s="3">
        <v>160200</v>
      </c>
      <c r="E8" t="s">
        <v>13</v>
      </c>
      <c r="F8" s="3"/>
      <c r="G8" s="3"/>
      <c r="H8" s="3"/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AH8" s="3" t="s">
        <v>13</v>
      </c>
    </row>
    <row r="9" spans="1:36" x14ac:dyDescent="0.35">
      <c r="A9" t="s">
        <v>203</v>
      </c>
      <c r="B9" t="s">
        <v>58</v>
      </c>
      <c r="C9" s="5">
        <v>43866</v>
      </c>
      <c r="D9" s="3">
        <v>33728</v>
      </c>
      <c r="E9" t="s">
        <v>13</v>
      </c>
      <c r="F9" s="3"/>
      <c r="G9" s="3"/>
      <c r="H9" s="3"/>
      <c r="I9" s="3"/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H9" s="3" t="s">
        <v>13</v>
      </c>
    </row>
    <row r="10" spans="1:36" x14ac:dyDescent="0.35">
      <c r="A10" t="s">
        <v>207</v>
      </c>
      <c r="B10" t="s">
        <v>208</v>
      </c>
      <c r="C10" s="5">
        <v>43876</v>
      </c>
      <c r="D10" s="3">
        <v>160200</v>
      </c>
      <c r="E10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 t="s">
        <v>13</v>
      </c>
      <c r="U10" s="3"/>
      <c r="V10" s="3"/>
      <c r="W10" s="3"/>
      <c r="AH10" s="3" t="s">
        <v>13</v>
      </c>
    </row>
    <row r="11" spans="1:36" x14ac:dyDescent="0.35">
      <c r="A11" t="s">
        <v>235</v>
      </c>
      <c r="B11" t="s">
        <v>234</v>
      </c>
      <c r="C11" s="5">
        <v>43882</v>
      </c>
      <c r="D11" s="3">
        <v>160200</v>
      </c>
      <c r="E11" t="s">
        <v>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H11" s="3" t="s">
        <v>13</v>
      </c>
    </row>
    <row r="12" spans="1:36" x14ac:dyDescent="0.35">
      <c r="A12" t="s">
        <v>242</v>
      </c>
      <c r="B12" t="s">
        <v>243</v>
      </c>
      <c r="C12" s="5">
        <v>43889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</row>
    <row r="13" spans="1:36" x14ac:dyDescent="0.35">
      <c r="A13" t="s">
        <v>244</v>
      </c>
      <c r="B13" t="s">
        <v>245</v>
      </c>
      <c r="C13" s="5">
        <v>43892</v>
      </c>
      <c r="D13" s="3">
        <f>28475.41*1.19</f>
        <v>33885.7379</v>
      </c>
      <c r="E13" t="s">
        <v>13</v>
      </c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  <c r="AC13" t="s">
        <v>13</v>
      </c>
    </row>
    <row r="14" spans="1:36" x14ac:dyDescent="0.35">
      <c r="A14" t="s">
        <v>299</v>
      </c>
      <c r="B14" t="s">
        <v>300</v>
      </c>
      <c r="C14" s="5">
        <v>43904</v>
      </c>
      <c r="D14" s="3">
        <v>160200</v>
      </c>
      <c r="E14" t="s">
        <v>13</v>
      </c>
      <c r="F14" s="3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13</v>
      </c>
      <c r="U14" s="3"/>
      <c r="V14" s="3"/>
      <c r="W14" s="3"/>
    </row>
    <row r="15" spans="1:36" x14ac:dyDescent="0.35">
      <c r="A15" t="s">
        <v>345</v>
      </c>
      <c r="B15" t="s">
        <v>344</v>
      </c>
      <c r="C15" s="5" t="s">
        <v>13</v>
      </c>
      <c r="D15" s="3">
        <f>4500*60</f>
        <v>270000</v>
      </c>
      <c r="E15" t="s">
        <v>382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36" x14ac:dyDescent="0.35">
      <c r="A16" t="s">
        <v>385</v>
      </c>
      <c r="C16" s="5">
        <v>43980</v>
      </c>
      <c r="D16" s="3">
        <v>10465</v>
      </c>
      <c r="F16" s="3"/>
      <c r="G16" s="3"/>
      <c r="H16" s="3"/>
      <c r="I16" s="3"/>
      <c r="J16" s="3"/>
      <c r="K16" s="3"/>
      <c r="M16" s="3"/>
      <c r="N16" s="3"/>
      <c r="O16" s="3"/>
      <c r="Q16" s="3"/>
      <c r="R16" s="3"/>
      <c r="S16" s="3"/>
      <c r="T16" s="3"/>
      <c r="U16" s="3"/>
      <c r="W16" s="3"/>
    </row>
    <row r="17" spans="1:36" x14ac:dyDescent="0.35">
      <c r="C17" s="5"/>
      <c r="D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6" x14ac:dyDescent="0.35">
      <c r="A18" t="s">
        <v>60</v>
      </c>
      <c r="F18" s="3">
        <v>0</v>
      </c>
      <c r="G18" s="3">
        <v>0</v>
      </c>
      <c r="H18" s="3"/>
      <c r="I18" s="3"/>
      <c r="J18" s="3"/>
      <c r="K18" s="3" t="s">
        <v>13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6" x14ac:dyDescent="0.35">
      <c r="A19" t="s">
        <v>1</v>
      </c>
      <c r="F19" s="3"/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6" x14ac:dyDescent="0.35">
      <c r="A20" t="s">
        <v>204</v>
      </c>
      <c r="D20" s="3">
        <v>2001574</v>
      </c>
      <c r="F20" s="3"/>
      <c r="G20" s="3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I20" s="3" t="s">
        <v>13</v>
      </c>
      <c r="AJ20" s="3" t="s">
        <v>13</v>
      </c>
    </row>
    <row r="21" spans="1:36" x14ac:dyDescent="0.35"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6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6" x14ac:dyDescent="0.35">
      <c r="A23" s="2" t="s">
        <v>6</v>
      </c>
      <c r="F23" s="3">
        <f t="shared" ref="F23:AG23" si="1">SUM(F5:F22)</f>
        <v>0</v>
      </c>
      <c r="G23" s="3">
        <f t="shared" si="1"/>
        <v>0</v>
      </c>
      <c r="H23" s="3">
        <f t="shared" si="1"/>
        <v>0</v>
      </c>
      <c r="I23" s="3">
        <f t="shared" si="1"/>
        <v>0</v>
      </c>
      <c r="J23" s="3">
        <f t="shared" si="1"/>
        <v>0</v>
      </c>
      <c r="K23" s="3">
        <f t="shared" si="1"/>
        <v>0</v>
      </c>
      <c r="L23" s="3">
        <f t="shared" si="1"/>
        <v>0</v>
      </c>
      <c r="M23" s="3">
        <f>SUM(M5:M22)</f>
        <v>0</v>
      </c>
      <c r="N23" s="3">
        <f t="shared" si="1"/>
        <v>0</v>
      </c>
      <c r="O23" s="3">
        <f t="shared" si="1"/>
        <v>0</v>
      </c>
      <c r="P23" s="3">
        <f t="shared" si="1"/>
        <v>0</v>
      </c>
      <c r="Q23" s="3">
        <f t="shared" si="1"/>
        <v>0</v>
      </c>
      <c r="R23" s="3">
        <f t="shared" si="1"/>
        <v>0</v>
      </c>
      <c r="S23" s="3">
        <f t="shared" si="1"/>
        <v>0</v>
      </c>
      <c r="T23" s="3">
        <f t="shared" si="1"/>
        <v>0</v>
      </c>
      <c r="U23" s="3">
        <f t="shared" si="1"/>
        <v>0</v>
      </c>
      <c r="V23" s="3">
        <f t="shared" si="1"/>
        <v>0</v>
      </c>
      <c r="W23" s="3">
        <f t="shared" si="1"/>
        <v>0</v>
      </c>
      <c r="X23" s="3">
        <f t="shared" si="1"/>
        <v>0</v>
      </c>
      <c r="Y23" s="3">
        <f t="shared" si="1"/>
        <v>0</v>
      </c>
      <c r="Z23" s="3">
        <f t="shared" si="1"/>
        <v>0</v>
      </c>
      <c r="AA23" s="3">
        <f t="shared" si="1"/>
        <v>0</v>
      </c>
      <c r="AB23" s="3">
        <f t="shared" si="1"/>
        <v>0</v>
      </c>
      <c r="AC23" s="3">
        <f t="shared" si="1"/>
        <v>0</v>
      </c>
      <c r="AD23" s="3">
        <f t="shared" si="1"/>
        <v>0</v>
      </c>
      <c r="AE23" s="3">
        <f t="shared" si="1"/>
        <v>0</v>
      </c>
      <c r="AF23" s="3">
        <f t="shared" si="1"/>
        <v>0</v>
      </c>
      <c r="AG23" s="3">
        <f t="shared" si="1"/>
        <v>0</v>
      </c>
      <c r="AH23" s="3">
        <f>SUM(AH5:AH22)</f>
        <v>0</v>
      </c>
      <c r="AI23" s="3">
        <f>SUM(AI5:AI22)</f>
        <v>0</v>
      </c>
      <c r="AJ23" s="3">
        <f>SUM(AJ5:AJ22)</f>
        <v>0</v>
      </c>
    </row>
    <row r="24" spans="1:36" x14ac:dyDescent="0.35">
      <c r="A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6" x14ac:dyDescent="0.35">
      <c r="A25" s="2" t="s">
        <v>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6" x14ac:dyDescent="0.35">
      <c r="A26" t="s">
        <v>69</v>
      </c>
      <c r="B26" s="63" t="s">
        <v>68</v>
      </c>
      <c r="C26" s="67">
        <v>43812</v>
      </c>
      <c r="D26" s="3">
        <v>559300</v>
      </c>
      <c r="E26" t="s">
        <v>13</v>
      </c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W26" s="3"/>
    </row>
    <row r="27" spans="1:36" x14ac:dyDescent="0.35">
      <c r="A27" s="4" t="s">
        <v>373</v>
      </c>
      <c r="B27" s="24" t="s">
        <v>337</v>
      </c>
      <c r="C27" s="67" t="s">
        <v>13</v>
      </c>
      <c r="D27" s="3">
        <v>500000</v>
      </c>
      <c r="F27" s="3"/>
      <c r="G27" s="3"/>
      <c r="H27" s="3"/>
      <c r="I27" s="3"/>
      <c r="K27" s="3" t="s">
        <v>13</v>
      </c>
      <c r="L27" s="3"/>
      <c r="M27" s="3"/>
      <c r="P27" s="3"/>
      <c r="Q27" s="3"/>
      <c r="R27" s="3"/>
      <c r="S27" s="3"/>
      <c r="T27" s="3"/>
      <c r="U27" s="3"/>
      <c r="V27" s="3"/>
      <c r="W27" s="3"/>
      <c r="X27" t="s">
        <v>13</v>
      </c>
    </row>
    <row r="28" spans="1:36" x14ac:dyDescent="0.35">
      <c r="A28" s="4" t="s">
        <v>408</v>
      </c>
      <c r="B28" s="24" t="s">
        <v>337</v>
      </c>
      <c r="C28" s="67" t="s">
        <v>13</v>
      </c>
      <c r="D28" s="3">
        <v>500000</v>
      </c>
      <c r="F28" s="3"/>
      <c r="G28" s="3"/>
      <c r="H28" s="3"/>
      <c r="I28" s="3"/>
      <c r="K28" s="3"/>
      <c r="L28" s="3"/>
      <c r="M28" s="3"/>
      <c r="P28" s="3"/>
      <c r="Q28" s="3"/>
      <c r="R28" s="3"/>
      <c r="S28" s="3"/>
      <c r="T28" s="3"/>
      <c r="U28" s="3"/>
      <c r="V28" s="3"/>
      <c r="W28" s="3"/>
    </row>
    <row r="29" spans="1:36" x14ac:dyDescent="0.35">
      <c r="A29" s="4" t="s">
        <v>409</v>
      </c>
      <c r="B29" s="24" t="s">
        <v>337</v>
      </c>
      <c r="C29" s="67" t="s">
        <v>13</v>
      </c>
      <c r="D29" s="3">
        <f>500000/2</f>
        <v>250000</v>
      </c>
      <c r="F29" s="3"/>
      <c r="G29" s="3"/>
      <c r="H29" s="3"/>
      <c r="I29" s="3"/>
      <c r="K29" s="3"/>
      <c r="L29" s="3"/>
      <c r="M29" s="3"/>
      <c r="P29" s="3"/>
      <c r="Q29" s="3"/>
      <c r="R29" s="3"/>
      <c r="S29" s="3"/>
      <c r="T29" s="3"/>
      <c r="U29" s="3"/>
      <c r="V29" s="3"/>
      <c r="W29" s="3"/>
    </row>
    <row r="30" spans="1:36" x14ac:dyDescent="0.35">
      <c r="A30" s="4" t="s">
        <v>410</v>
      </c>
      <c r="B30" s="24" t="s">
        <v>337</v>
      </c>
      <c r="C30" s="67" t="s">
        <v>13</v>
      </c>
      <c r="D30" s="3">
        <f>500000/2</f>
        <v>250000</v>
      </c>
      <c r="F30" s="3"/>
      <c r="G30" s="3"/>
      <c r="H30" s="3"/>
      <c r="I30" s="3"/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</row>
    <row r="31" spans="1:36" x14ac:dyDescent="0.35">
      <c r="A31" t="s">
        <v>241</v>
      </c>
      <c r="B31" t="s">
        <v>337</v>
      </c>
      <c r="C31" s="5" t="s">
        <v>13</v>
      </c>
      <c r="D31" s="3">
        <f>+(D5+D6+D7)*0.17</f>
        <v>118014.00000000001</v>
      </c>
      <c r="F31" s="3"/>
      <c r="G31" s="3"/>
      <c r="H31" s="3"/>
      <c r="I31" s="3"/>
      <c r="J31" s="3"/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W31" s="3"/>
    </row>
    <row r="32" spans="1:36" x14ac:dyDescent="0.35">
      <c r="A32" t="s">
        <v>343</v>
      </c>
      <c r="B32" t="s">
        <v>344</v>
      </c>
      <c r="C32" s="5" t="s">
        <v>13</v>
      </c>
      <c r="D32" s="3">
        <f>1250000-250000- 2150*1.19*100</f>
        <v>744150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36" x14ac:dyDescent="0.35">
      <c r="A33" t="s">
        <v>198</v>
      </c>
      <c r="B33" s="63" t="s">
        <v>196</v>
      </c>
      <c r="C33" s="5">
        <v>43864</v>
      </c>
      <c r="D33" s="3">
        <v>285243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36" x14ac:dyDescent="0.35">
      <c r="A34" s="4" t="s">
        <v>240</v>
      </c>
      <c r="B34" s="68" t="s">
        <v>239</v>
      </c>
      <c r="C34" s="67">
        <v>43892</v>
      </c>
      <c r="D34" s="3">
        <f>45500*1.19</f>
        <v>54145</v>
      </c>
      <c r="E34" t="s">
        <v>401</v>
      </c>
      <c r="F34" s="3"/>
      <c r="G34" s="3"/>
      <c r="H34" s="3"/>
      <c r="I34" s="3"/>
      <c r="J34" s="3"/>
      <c r="K34" s="3"/>
      <c r="L34" s="3"/>
      <c r="M34" s="3"/>
      <c r="N34" s="3"/>
      <c r="O34" s="3" t="s">
        <v>13</v>
      </c>
      <c r="P34" s="3"/>
      <c r="Q34" s="3"/>
      <c r="R34" s="3"/>
      <c r="S34" s="3"/>
      <c r="T34" s="3"/>
      <c r="U34" s="3"/>
      <c r="V34" s="3"/>
      <c r="W34" s="3"/>
    </row>
    <row r="35" spans="1:36" x14ac:dyDescent="0.35">
      <c r="A35" s="4" t="s">
        <v>397</v>
      </c>
      <c r="B35" t="s">
        <v>398</v>
      </c>
      <c r="C35" s="67">
        <v>44049</v>
      </c>
      <c r="D35" s="3">
        <v>48000</v>
      </c>
      <c r="E35" t="s">
        <v>24</v>
      </c>
      <c r="F35" s="3"/>
      <c r="G35" s="3"/>
      <c r="H35" s="3"/>
      <c r="I35" s="3"/>
      <c r="J35" s="3"/>
      <c r="K35" s="3">
        <v>48000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I35" s="3"/>
      <c r="AJ35" s="3"/>
    </row>
    <row r="36" spans="1:36" x14ac:dyDescent="0.35">
      <c r="A36" s="4" t="s">
        <v>399</v>
      </c>
      <c r="B36" t="s">
        <v>400</v>
      </c>
      <c r="C36" s="67">
        <v>44049</v>
      </c>
      <c r="D36" s="3">
        <f>2500*2</f>
        <v>5000</v>
      </c>
      <c r="E36" t="s">
        <v>401</v>
      </c>
      <c r="F36" s="3"/>
      <c r="G36" s="3"/>
      <c r="H36" s="3"/>
      <c r="I36" s="3"/>
      <c r="J36" s="3"/>
      <c r="K36" s="3">
        <v>5000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I36" s="3"/>
      <c r="AJ36" s="3"/>
    </row>
    <row r="37" spans="1:36" x14ac:dyDescent="0.35">
      <c r="A37" s="4" t="s">
        <v>403</v>
      </c>
      <c r="B37" t="s">
        <v>402</v>
      </c>
      <c r="C37" s="67">
        <v>44049</v>
      </c>
      <c r="D37" s="3">
        <f>(18.6*703/9+1265)*2</f>
        <v>5435.7333333333336</v>
      </c>
      <c r="E37" t="s">
        <v>4</v>
      </c>
      <c r="F37" s="3"/>
      <c r="G37" s="3"/>
      <c r="H37" s="3"/>
      <c r="I37" s="3"/>
      <c r="J37" s="3"/>
      <c r="K37" s="3">
        <v>5436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AI37" s="3"/>
      <c r="AJ37" s="3"/>
    </row>
    <row r="38" spans="1:36" x14ac:dyDescent="0.35">
      <c r="A38" s="4" t="s">
        <v>405</v>
      </c>
      <c r="B38" t="s">
        <v>404</v>
      </c>
      <c r="C38" s="67">
        <v>44053</v>
      </c>
      <c r="D38" s="3">
        <v>6315</v>
      </c>
      <c r="E38" t="s">
        <v>24</v>
      </c>
      <c r="F38" s="3"/>
      <c r="G38" s="3"/>
      <c r="H38" s="3"/>
      <c r="I38" s="3"/>
      <c r="J38" s="3"/>
      <c r="K38" s="3">
        <v>6315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AI38" s="3"/>
      <c r="AJ38" s="3"/>
    </row>
    <row r="39" spans="1:36" x14ac:dyDescent="0.35">
      <c r="A39" s="4" t="s">
        <v>406</v>
      </c>
      <c r="B39" t="s">
        <v>407</v>
      </c>
      <c r="C39" s="67">
        <v>44068</v>
      </c>
      <c r="D39" s="3">
        <v>16065</v>
      </c>
      <c r="E39" t="s">
        <v>401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AD39" s="3">
        <v>16065</v>
      </c>
      <c r="AI39" s="3"/>
      <c r="AJ39" s="3"/>
    </row>
    <row r="40" spans="1:36" x14ac:dyDescent="0.35">
      <c r="A40" s="4"/>
      <c r="C40" s="67"/>
      <c r="D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AI40" s="3"/>
      <c r="AJ40" s="3"/>
    </row>
    <row r="41" spans="1:36" x14ac:dyDescent="0.35">
      <c r="A41" s="4"/>
      <c r="C41" s="67"/>
      <c r="D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AI41" s="3"/>
      <c r="AJ41" s="3"/>
    </row>
    <row r="42" spans="1:36" x14ac:dyDescent="0.35">
      <c r="A42" s="4"/>
      <c r="C42" s="67"/>
      <c r="D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AI42" s="3"/>
      <c r="AJ42" s="3"/>
    </row>
    <row r="43" spans="1:36" x14ac:dyDescent="0.35">
      <c r="A43" s="2" t="s">
        <v>9</v>
      </c>
      <c r="F43" s="3">
        <f>SUM(F26:F42)</f>
        <v>0</v>
      </c>
      <c r="G43" s="3">
        <f t="shared" ref="G43:AI43" si="2">SUM(G26:G42)</f>
        <v>0</v>
      </c>
      <c r="H43" s="3">
        <f t="shared" si="2"/>
        <v>0</v>
      </c>
      <c r="I43" s="3">
        <f t="shared" si="2"/>
        <v>0</v>
      </c>
      <c r="J43" s="3">
        <f t="shared" si="2"/>
        <v>0</v>
      </c>
      <c r="K43" s="3">
        <f t="shared" si="2"/>
        <v>64751</v>
      </c>
      <c r="L43" s="3">
        <f t="shared" si="2"/>
        <v>0</v>
      </c>
      <c r="M43" s="3">
        <f t="shared" si="2"/>
        <v>0</v>
      </c>
      <c r="N43" s="3">
        <f t="shared" si="2"/>
        <v>0</v>
      </c>
      <c r="O43" s="3">
        <f t="shared" si="2"/>
        <v>0</v>
      </c>
      <c r="P43" s="3">
        <f t="shared" si="2"/>
        <v>0</v>
      </c>
      <c r="Q43" s="3">
        <f t="shared" si="2"/>
        <v>0</v>
      </c>
      <c r="R43" s="3">
        <f t="shared" si="2"/>
        <v>0</v>
      </c>
      <c r="S43" s="3">
        <f t="shared" si="2"/>
        <v>0</v>
      </c>
      <c r="T43" s="3">
        <f t="shared" si="2"/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3">
        <f t="shared" si="2"/>
        <v>0</v>
      </c>
      <c r="Y43" s="3">
        <f t="shared" si="2"/>
        <v>0</v>
      </c>
      <c r="Z43" s="3">
        <f t="shared" si="2"/>
        <v>0</v>
      </c>
      <c r="AA43" s="3">
        <f t="shared" si="2"/>
        <v>0</v>
      </c>
      <c r="AB43" s="3">
        <f t="shared" si="2"/>
        <v>0</v>
      </c>
      <c r="AC43" s="3">
        <f t="shared" si="2"/>
        <v>0</v>
      </c>
      <c r="AD43" s="3">
        <f t="shared" si="2"/>
        <v>16065</v>
      </c>
      <c r="AE43" s="3">
        <f t="shared" si="2"/>
        <v>0</v>
      </c>
      <c r="AF43" s="3">
        <f t="shared" si="2"/>
        <v>0</v>
      </c>
      <c r="AG43" s="3">
        <f t="shared" si="2"/>
        <v>0</v>
      </c>
      <c r="AH43" s="3">
        <f t="shared" si="2"/>
        <v>0</v>
      </c>
      <c r="AI43" s="3">
        <f t="shared" si="2"/>
        <v>0</v>
      </c>
      <c r="AJ43" s="3">
        <f>SUM(AJ26:AJ42)</f>
        <v>0</v>
      </c>
    </row>
    <row r="44" spans="1:36" x14ac:dyDescent="0.35">
      <c r="A44" t="s">
        <v>8</v>
      </c>
      <c r="F44" s="3">
        <f>+F23+F3-F43</f>
        <v>62605.583669468062</v>
      </c>
      <c r="G44" s="3">
        <f t="shared" ref="G44:AI44" si="3">+G3+G23-G43</f>
        <v>62605.583669468062</v>
      </c>
      <c r="H44" s="3">
        <f t="shared" si="3"/>
        <v>62605.583669468062</v>
      </c>
      <c r="I44" s="3">
        <f t="shared" si="3"/>
        <v>62605.583669468062</v>
      </c>
      <c r="J44" s="3">
        <f t="shared" si="3"/>
        <v>62605.583669468062</v>
      </c>
      <c r="K44" s="3">
        <f t="shared" si="3"/>
        <v>-2145.416330531938</v>
      </c>
      <c r="L44" s="3">
        <f t="shared" si="3"/>
        <v>-2145.416330531938</v>
      </c>
      <c r="M44" s="3">
        <f t="shared" si="3"/>
        <v>-2145.416330531938</v>
      </c>
      <c r="N44" s="3">
        <f t="shared" si="3"/>
        <v>-2145.416330531938</v>
      </c>
      <c r="O44" s="3">
        <f t="shared" si="3"/>
        <v>-2145.416330531938</v>
      </c>
      <c r="P44" s="3">
        <f t="shared" si="3"/>
        <v>-2145.416330531938</v>
      </c>
      <c r="Q44" s="3">
        <f t="shared" si="3"/>
        <v>-2145.416330531938</v>
      </c>
      <c r="R44" s="3">
        <f t="shared" si="3"/>
        <v>-2145.416330531938</v>
      </c>
      <c r="S44" s="3">
        <f t="shared" si="3"/>
        <v>-2145.416330531938</v>
      </c>
      <c r="T44" s="3">
        <f t="shared" si="3"/>
        <v>-2145.416330531938</v>
      </c>
      <c r="U44" s="3">
        <f t="shared" si="3"/>
        <v>-2145.416330531938</v>
      </c>
      <c r="V44" s="3">
        <f t="shared" si="3"/>
        <v>-2145.416330531938</v>
      </c>
      <c r="W44" s="3">
        <f t="shared" si="3"/>
        <v>-2145.416330531938</v>
      </c>
      <c r="X44" s="3">
        <f t="shared" si="3"/>
        <v>-2145.416330531938</v>
      </c>
      <c r="Y44" s="3">
        <f t="shared" si="3"/>
        <v>-2145.416330531938</v>
      </c>
      <c r="Z44" s="3">
        <f t="shared" si="3"/>
        <v>-2145.416330531938</v>
      </c>
      <c r="AA44" s="3">
        <f t="shared" si="3"/>
        <v>-2145.416330531938</v>
      </c>
      <c r="AB44" s="3">
        <f t="shared" si="3"/>
        <v>-2145.416330531938</v>
      </c>
      <c r="AC44" s="3">
        <f t="shared" si="3"/>
        <v>-2145.416330531938</v>
      </c>
      <c r="AD44" s="3">
        <f t="shared" si="3"/>
        <v>-18210.416330531938</v>
      </c>
      <c r="AE44" s="3">
        <f t="shared" si="3"/>
        <v>-18210.416330531938</v>
      </c>
      <c r="AF44" s="3">
        <f t="shared" si="3"/>
        <v>-18210.416330531938</v>
      </c>
      <c r="AG44" s="3">
        <f t="shared" si="3"/>
        <v>-18210.416330531938</v>
      </c>
      <c r="AH44" s="3">
        <f t="shared" si="3"/>
        <v>-18210.416330531938</v>
      </c>
      <c r="AI44" s="3">
        <f t="shared" si="3"/>
        <v>-18210.416330531938</v>
      </c>
      <c r="AJ44" s="3">
        <f>+AJ3+AJ23-AJ43</f>
        <v>-18210.416330531938</v>
      </c>
    </row>
    <row r="45" spans="1:36" x14ac:dyDescent="0.3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36" x14ac:dyDescent="0.3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36" x14ac:dyDescent="0.35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36" x14ac:dyDescent="0.35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6:23" x14ac:dyDescent="0.35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6:23" x14ac:dyDescent="0.35"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6:23" x14ac:dyDescent="0.35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6:23" x14ac:dyDescent="0.35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J47"/>
  <sheetViews>
    <sheetView workbookViewId="0"/>
  </sheetViews>
  <sheetFormatPr baseColWidth="10" defaultColWidth="11.08984375" defaultRowHeight="14.5" x14ac:dyDescent="0.35"/>
  <cols>
    <col min="1" max="1" width="58.5429687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20" max="20" width="12.7265625" customWidth="1"/>
    <col min="21" max="21" width="12.54296875" customWidth="1"/>
    <col min="22" max="22" width="13.26953125" customWidth="1"/>
    <col min="30" max="30" width="13.54296875" customWidth="1"/>
    <col min="34" max="34" width="13.54296875" customWidth="1"/>
    <col min="35" max="35" width="13.36328125" customWidth="1"/>
  </cols>
  <sheetData>
    <row r="2" spans="1:36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44075</v>
      </c>
      <c r="G2" s="1">
        <v>44076</v>
      </c>
      <c r="H2" s="1">
        <v>44077</v>
      </c>
      <c r="I2" s="1">
        <v>44078</v>
      </c>
      <c r="J2" s="1">
        <v>44079</v>
      </c>
      <c r="K2" s="1">
        <v>44080</v>
      </c>
      <c r="L2" s="1">
        <v>44081</v>
      </c>
      <c r="M2" s="1">
        <v>44082</v>
      </c>
      <c r="N2" s="1">
        <v>44083</v>
      </c>
      <c r="O2" s="1">
        <v>44084</v>
      </c>
      <c r="P2" s="1">
        <v>44085</v>
      </c>
      <c r="Q2" s="1">
        <v>44086</v>
      </c>
      <c r="R2" s="1">
        <v>44087</v>
      </c>
      <c r="S2" s="1">
        <v>44088</v>
      </c>
      <c r="T2" s="1">
        <v>44089</v>
      </c>
      <c r="U2" s="1">
        <v>44090</v>
      </c>
      <c r="V2" s="1">
        <v>44091</v>
      </c>
      <c r="W2" s="1">
        <v>44092</v>
      </c>
      <c r="X2" s="1">
        <v>44093</v>
      </c>
      <c r="Y2" s="1">
        <v>44094</v>
      </c>
      <c r="Z2" s="1">
        <v>44095</v>
      </c>
      <c r="AA2" s="1">
        <v>44096</v>
      </c>
      <c r="AB2" s="1">
        <v>44097</v>
      </c>
      <c r="AC2" s="1">
        <v>44098</v>
      </c>
      <c r="AD2" s="1">
        <v>44099</v>
      </c>
      <c r="AE2" s="1">
        <v>44100</v>
      </c>
      <c r="AF2" s="1">
        <v>44101</v>
      </c>
      <c r="AG2" s="1">
        <v>44102</v>
      </c>
      <c r="AH2" s="1">
        <v>44103</v>
      </c>
      <c r="AI2" s="1">
        <v>44104</v>
      </c>
      <c r="AJ2" s="176" t="s">
        <v>579</v>
      </c>
    </row>
    <row r="3" spans="1:36" x14ac:dyDescent="0.35">
      <c r="A3" t="s">
        <v>7</v>
      </c>
      <c r="F3" s="3">
        <f>+'AGO-20'!AJ44</f>
        <v>-18210.416330531938</v>
      </c>
      <c r="G3" s="3">
        <f t="shared" ref="G3:AI3" si="0">+F39</f>
        <v>-18210.416330531938</v>
      </c>
      <c r="H3" s="3">
        <f t="shared" si="0"/>
        <v>-18210.416330531938</v>
      </c>
      <c r="I3" s="3">
        <f t="shared" si="0"/>
        <v>-18210.416330531938</v>
      </c>
      <c r="J3" s="3">
        <f t="shared" si="0"/>
        <v>-18210.416330531938</v>
      </c>
      <c r="K3" s="3">
        <f t="shared" si="0"/>
        <v>-18210.416330531938</v>
      </c>
      <c r="L3" s="3">
        <f t="shared" si="0"/>
        <v>-18210.416330531938</v>
      </c>
      <c r="M3" s="3">
        <f t="shared" si="0"/>
        <v>-18210.416330531938</v>
      </c>
      <c r="N3" s="3">
        <f t="shared" si="0"/>
        <v>-18210.416330531938</v>
      </c>
      <c r="O3" s="3">
        <f t="shared" si="0"/>
        <v>-18210.416330531938</v>
      </c>
      <c r="P3" s="3">
        <f t="shared" si="0"/>
        <v>-18210.416330531938</v>
      </c>
      <c r="Q3" s="3">
        <f t="shared" si="0"/>
        <v>-18210.416330531938</v>
      </c>
      <c r="R3" s="3">
        <f t="shared" si="0"/>
        <v>-18210.416330531938</v>
      </c>
      <c r="S3" s="3">
        <f t="shared" si="0"/>
        <v>-18210.416330531938</v>
      </c>
      <c r="T3" s="3">
        <f t="shared" si="0"/>
        <v>-18210.416330531938</v>
      </c>
      <c r="U3" s="3">
        <f t="shared" si="0"/>
        <v>-18210.416330531938</v>
      </c>
      <c r="V3" s="3">
        <f t="shared" si="0"/>
        <v>-18210.416330531938</v>
      </c>
      <c r="W3" s="3">
        <f t="shared" si="0"/>
        <v>-18210.416330531938</v>
      </c>
      <c r="X3" s="3">
        <f t="shared" si="0"/>
        <v>-18210.416330531938</v>
      </c>
      <c r="Y3" s="3">
        <f t="shared" si="0"/>
        <v>-18210.416330531938</v>
      </c>
      <c r="Z3" s="3">
        <f t="shared" si="0"/>
        <v>-18210.416330531938</v>
      </c>
      <c r="AA3" s="3">
        <f t="shared" si="0"/>
        <v>-18210.416330531938</v>
      </c>
      <c r="AB3" s="3">
        <f t="shared" si="0"/>
        <v>-18210.416330531938</v>
      </c>
      <c r="AC3" s="3">
        <f t="shared" si="0"/>
        <v>-18210.416330531938</v>
      </c>
      <c r="AD3" s="3">
        <f t="shared" si="0"/>
        <v>-18210.416330531938</v>
      </c>
      <c r="AE3" s="3">
        <f t="shared" si="0"/>
        <v>-18210.416330531938</v>
      </c>
      <c r="AF3" s="3">
        <f t="shared" si="0"/>
        <v>-18210.416330531938</v>
      </c>
      <c r="AG3" s="3">
        <f t="shared" si="0"/>
        <v>-18210.416330531938</v>
      </c>
      <c r="AH3" s="3">
        <f t="shared" si="0"/>
        <v>-18210.416330531938</v>
      </c>
      <c r="AI3" s="3">
        <f t="shared" si="0"/>
        <v>-18210.416330531938</v>
      </c>
    </row>
    <row r="4" spans="1:36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J4" s="3" t="s">
        <v>13</v>
      </c>
    </row>
    <row r="5" spans="1:36" x14ac:dyDescent="0.35">
      <c r="A5" t="s">
        <v>89</v>
      </c>
      <c r="B5" t="s">
        <v>90</v>
      </c>
      <c r="C5" s="5">
        <v>43820</v>
      </c>
      <c r="D5" s="3">
        <v>267000</v>
      </c>
      <c r="E5" t="s">
        <v>13</v>
      </c>
      <c r="F5" s="3"/>
      <c r="G5" s="3"/>
      <c r="H5" s="3"/>
      <c r="I5" s="3"/>
      <c r="J5" s="3"/>
      <c r="L5" s="3"/>
      <c r="N5" s="3"/>
      <c r="O5" s="3"/>
      <c r="P5" s="3"/>
      <c r="R5" s="3"/>
      <c r="S5" s="3"/>
      <c r="T5" s="3" t="s">
        <v>13</v>
      </c>
      <c r="U5" s="3"/>
      <c r="V5" s="3"/>
      <c r="W5" s="3"/>
      <c r="AF5" s="3" t="s">
        <v>13</v>
      </c>
      <c r="AI5" s="3" t="s">
        <v>13</v>
      </c>
      <c r="AJ5" s="3">
        <f t="shared" ref="AJ5:AJ16" si="1">SUM(E5:AI5)</f>
        <v>0</v>
      </c>
    </row>
    <row r="6" spans="1:36" x14ac:dyDescent="0.35">
      <c r="A6" t="s">
        <v>166</v>
      </c>
      <c r="B6" t="s">
        <v>19</v>
      </c>
      <c r="C6" s="5">
        <v>43836</v>
      </c>
      <c r="D6" s="3">
        <v>267000</v>
      </c>
      <c r="E6" t="s">
        <v>13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 t="s">
        <v>13</v>
      </c>
      <c r="U6" s="3"/>
      <c r="V6" s="3"/>
      <c r="W6" s="3"/>
      <c r="AF6" t="s">
        <v>13</v>
      </c>
      <c r="AI6" s="3" t="s">
        <v>13</v>
      </c>
      <c r="AJ6" s="3">
        <f t="shared" si="1"/>
        <v>0</v>
      </c>
    </row>
    <row r="7" spans="1:36" x14ac:dyDescent="0.35">
      <c r="A7" t="s">
        <v>174</v>
      </c>
      <c r="B7" t="s">
        <v>55</v>
      </c>
      <c r="C7" s="5">
        <v>43848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 t="s">
        <v>13</v>
      </c>
      <c r="AI7" s="3" t="s">
        <v>13</v>
      </c>
      <c r="AJ7" s="3">
        <f t="shared" si="1"/>
        <v>0</v>
      </c>
    </row>
    <row r="8" spans="1:36" x14ac:dyDescent="0.35">
      <c r="A8" t="s">
        <v>199</v>
      </c>
      <c r="B8" t="s">
        <v>63</v>
      </c>
      <c r="C8" s="5">
        <v>43865</v>
      </c>
      <c r="D8" s="3">
        <v>160200</v>
      </c>
      <c r="E8" t="s">
        <v>13</v>
      </c>
      <c r="F8" s="3"/>
      <c r="G8" s="3"/>
      <c r="H8" s="3"/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AI8" s="3" t="s">
        <v>13</v>
      </c>
      <c r="AJ8" s="3">
        <f t="shared" si="1"/>
        <v>0</v>
      </c>
    </row>
    <row r="9" spans="1:36" x14ac:dyDescent="0.35">
      <c r="A9" t="s">
        <v>203</v>
      </c>
      <c r="B9" t="s">
        <v>58</v>
      </c>
      <c r="C9" s="5">
        <v>43866</v>
      </c>
      <c r="D9" s="3">
        <v>33728</v>
      </c>
      <c r="E9" t="s">
        <v>13</v>
      </c>
      <c r="F9" s="3"/>
      <c r="G9" s="3"/>
      <c r="H9" s="3"/>
      <c r="I9" s="3"/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I9" s="3" t="s">
        <v>13</v>
      </c>
      <c r="AJ9" s="3">
        <f t="shared" si="1"/>
        <v>0</v>
      </c>
    </row>
    <row r="10" spans="1:36" x14ac:dyDescent="0.35">
      <c r="A10" t="s">
        <v>207</v>
      </c>
      <c r="B10" t="s">
        <v>208</v>
      </c>
      <c r="C10" s="5">
        <v>43876</v>
      </c>
      <c r="D10" s="3">
        <v>160200</v>
      </c>
      <c r="E10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 t="s">
        <v>13</v>
      </c>
      <c r="U10" s="3"/>
      <c r="V10" s="3"/>
      <c r="W10" s="3"/>
      <c r="AI10" s="3" t="s">
        <v>13</v>
      </c>
      <c r="AJ10" s="3">
        <f t="shared" si="1"/>
        <v>0</v>
      </c>
    </row>
    <row r="11" spans="1:36" x14ac:dyDescent="0.35">
      <c r="A11" t="s">
        <v>235</v>
      </c>
      <c r="B11" t="s">
        <v>234</v>
      </c>
      <c r="C11" s="5">
        <v>43882</v>
      </c>
      <c r="D11" s="3">
        <v>160200</v>
      </c>
      <c r="E11" t="s">
        <v>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I11" s="3" t="s">
        <v>13</v>
      </c>
      <c r="AJ11" s="3">
        <f t="shared" si="1"/>
        <v>0</v>
      </c>
    </row>
    <row r="12" spans="1:36" x14ac:dyDescent="0.35">
      <c r="A12" t="s">
        <v>242</v>
      </c>
      <c r="B12" t="s">
        <v>243</v>
      </c>
      <c r="C12" s="5">
        <v>43889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  <c r="AI12" s="3" t="s">
        <v>13</v>
      </c>
      <c r="AJ12" s="3">
        <f t="shared" si="1"/>
        <v>0</v>
      </c>
    </row>
    <row r="13" spans="1:36" x14ac:dyDescent="0.35">
      <c r="A13" t="s">
        <v>244</v>
      </c>
      <c r="B13" t="s">
        <v>245</v>
      </c>
      <c r="C13" s="5">
        <v>43892</v>
      </c>
      <c r="D13" s="3">
        <f>28475.41*1.19</f>
        <v>33885.7379</v>
      </c>
      <c r="E13" t="s">
        <v>13</v>
      </c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  <c r="AC13" t="s">
        <v>13</v>
      </c>
      <c r="AI13" s="3" t="s">
        <v>13</v>
      </c>
      <c r="AJ13" s="3">
        <f t="shared" si="1"/>
        <v>0</v>
      </c>
    </row>
    <row r="14" spans="1:36" x14ac:dyDescent="0.35">
      <c r="A14" t="s">
        <v>299</v>
      </c>
      <c r="B14" t="s">
        <v>300</v>
      </c>
      <c r="C14" s="5">
        <v>43904</v>
      </c>
      <c r="D14" s="3">
        <v>160200</v>
      </c>
      <c r="E14" t="s">
        <v>13</v>
      </c>
      <c r="F14" s="3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13</v>
      </c>
      <c r="U14" s="3"/>
      <c r="V14" s="3"/>
      <c r="W14" s="3"/>
      <c r="AI14" s="3" t="s">
        <v>13</v>
      </c>
      <c r="AJ14" s="3">
        <f t="shared" si="1"/>
        <v>0</v>
      </c>
    </row>
    <row r="15" spans="1:36" x14ac:dyDescent="0.35">
      <c r="A15" t="s">
        <v>345</v>
      </c>
      <c r="B15" t="s">
        <v>344</v>
      </c>
      <c r="C15" s="5" t="s">
        <v>13</v>
      </c>
      <c r="D15" s="3">
        <f>4500*60</f>
        <v>270000</v>
      </c>
      <c r="E15" t="s">
        <v>382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I15" s="3" t="s">
        <v>13</v>
      </c>
      <c r="AJ15" s="3">
        <f t="shared" si="1"/>
        <v>0</v>
      </c>
    </row>
    <row r="16" spans="1:36" x14ac:dyDescent="0.35">
      <c r="A16" t="s">
        <v>385</v>
      </c>
      <c r="C16" s="5">
        <v>43980</v>
      </c>
      <c r="D16" s="3">
        <v>10465</v>
      </c>
      <c r="F16" s="3"/>
      <c r="G16" s="3"/>
      <c r="H16" s="3"/>
      <c r="I16" s="3"/>
      <c r="J16" s="3"/>
      <c r="K16" s="3"/>
      <c r="M16" s="3"/>
      <c r="N16" s="3"/>
      <c r="O16" s="3"/>
      <c r="Q16" s="3"/>
      <c r="R16" s="3"/>
      <c r="S16" s="3"/>
      <c r="T16" s="3"/>
      <c r="U16" s="3"/>
      <c r="W16" s="3"/>
      <c r="AI16" s="3" t="s">
        <v>13</v>
      </c>
      <c r="AJ16" s="3">
        <f t="shared" si="1"/>
        <v>0</v>
      </c>
    </row>
    <row r="17" spans="1:36" x14ac:dyDescent="0.35">
      <c r="A17" s="2" t="s">
        <v>580</v>
      </c>
      <c r="C17" s="5"/>
      <c r="D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I17" s="3" t="s">
        <v>13</v>
      </c>
      <c r="AJ17" s="72">
        <f>SUM(AJ5:AJ16)</f>
        <v>0</v>
      </c>
    </row>
    <row r="18" spans="1:36" x14ac:dyDescent="0.35">
      <c r="A18" t="s">
        <v>60</v>
      </c>
      <c r="F18" s="3">
        <v>0</v>
      </c>
      <c r="G18" s="3">
        <v>0</v>
      </c>
      <c r="H18" s="3"/>
      <c r="I18" s="3"/>
      <c r="J18" s="3"/>
      <c r="K18" s="3" t="s">
        <v>13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I18" s="3" t="s">
        <v>13</v>
      </c>
    </row>
    <row r="19" spans="1:36" x14ac:dyDescent="0.35">
      <c r="A19" t="s">
        <v>1</v>
      </c>
      <c r="F19" s="3"/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I19" s="3" t="s">
        <v>13</v>
      </c>
    </row>
    <row r="20" spans="1:36" x14ac:dyDescent="0.35">
      <c r="A20" t="s">
        <v>204</v>
      </c>
      <c r="D20" s="3">
        <v>2001574</v>
      </c>
      <c r="F20" s="3"/>
      <c r="G20" s="3"/>
      <c r="H20" s="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I20" s="3" t="s">
        <v>13</v>
      </c>
    </row>
    <row r="21" spans="1:36" x14ac:dyDescent="0.35"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I21" s="3" t="s">
        <v>13</v>
      </c>
    </row>
    <row r="22" spans="1:36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6" x14ac:dyDescent="0.35">
      <c r="A23" s="2" t="s">
        <v>6</v>
      </c>
      <c r="F23" s="3">
        <f t="shared" ref="F23:AG23" si="2">SUM(F5:F22)</f>
        <v>0</v>
      </c>
      <c r="G23" s="3">
        <f t="shared" si="2"/>
        <v>0</v>
      </c>
      <c r="H23" s="3">
        <f t="shared" si="2"/>
        <v>0</v>
      </c>
      <c r="I23" s="3">
        <f t="shared" si="2"/>
        <v>0</v>
      </c>
      <c r="J23" s="3">
        <f t="shared" si="2"/>
        <v>0</v>
      </c>
      <c r="K23" s="3">
        <f t="shared" si="2"/>
        <v>0</v>
      </c>
      <c r="L23" s="3">
        <f t="shared" si="2"/>
        <v>0</v>
      </c>
      <c r="M23" s="3">
        <f>SUM(M5:M22)</f>
        <v>0</v>
      </c>
      <c r="N23" s="3">
        <f t="shared" si="2"/>
        <v>0</v>
      </c>
      <c r="O23" s="3">
        <f t="shared" si="2"/>
        <v>0</v>
      </c>
      <c r="P23" s="3">
        <f t="shared" si="2"/>
        <v>0</v>
      </c>
      <c r="Q23" s="3">
        <f t="shared" si="2"/>
        <v>0</v>
      </c>
      <c r="R23" s="3">
        <f t="shared" si="2"/>
        <v>0</v>
      </c>
      <c r="S23" s="3">
        <f t="shared" si="2"/>
        <v>0</v>
      </c>
      <c r="T23" s="3">
        <f t="shared" si="2"/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3">
        <f t="shared" si="2"/>
        <v>0</v>
      </c>
      <c r="Y23" s="3">
        <f t="shared" si="2"/>
        <v>0</v>
      </c>
      <c r="Z23" s="3">
        <f t="shared" si="2"/>
        <v>0</v>
      </c>
      <c r="AA23" s="3">
        <f t="shared" si="2"/>
        <v>0</v>
      </c>
      <c r="AB23" s="3">
        <f t="shared" si="2"/>
        <v>0</v>
      </c>
      <c r="AC23" s="3">
        <f t="shared" si="2"/>
        <v>0</v>
      </c>
      <c r="AD23" s="3">
        <f t="shared" si="2"/>
        <v>0</v>
      </c>
      <c r="AE23" s="3">
        <f t="shared" si="2"/>
        <v>0</v>
      </c>
      <c r="AF23" s="3">
        <f t="shared" si="2"/>
        <v>0</v>
      </c>
      <c r="AG23" s="3">
        <f t="shared" si="2"/>
        <v>0</v>
      </c>
      <c r="AH23" s="3">
        <f>SUM(AH5:AH22)</f>
        <v>0</v>
      </c>
      <c r="AI23" s="3">
        <f>SUM(AI5:AI22)</f>
        <v>0</v>
      </c>
    </row>
    <row r="24" spans="1:36" x14ac:dyDescent="0.35">
      <c r="A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6" x14ac:dyDescent="0.35">
      <c r="A25" s="2" t="s">
        <v>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6" x14ac:dyDescent="0.35">
      <c r="A26" t="s">
        <v>69</v>
      </c>
      <c r="B26" s="63" t="s">
        <v>68</v>
      </c>
      <c r="C26" s="67">
        <v>43812</v>
      </c>
      <c r="D26" s="3">
        <v>559300</v>
      </c>
      <c r="E26" t="s">
        <v>13</v>
      </c>
      <c r="F26" s="3"/>
      <c r="G26" s="3"/>
      <c r="H26" s="3"/>
      <c r="I26" s="3"/>
      <c r="J26" s="3"/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W26" s="3"/>
    </row>
    <row r="27" spans="1:36" x14ac:dyDescent="0.35">
      <c r="A27" s="4" t="s">
        <v>373</v>
      </c>
      <c r="B27" s="24" t="s">
        <v>337</v>
      </c>
      <c r="C27" s="67" t="s">
        <v>13</v>
      </c>
      <c r="D27" s="3">
        <v>500000</v>
      </c>
      <c r="F27" s="3"/>
      <c r="G27" s="3"/>
      <c r="H27" s="3"/>
      <c r="I27" s="3"/>
      <c r="K27" s="3" t="s">
        <v>13</v>
      </c>
      <c r="L27" s="3"/>
      <c r="M27" s="3"/>
      <c r="P27" s="3"/>
      <c r="Q27" s="3"/>
      <c r="R27" s="3"/>
      <c r="S27" s="3"/>
      <c r="T27" s="3"/>
      <c r="U27" s="3"/>
      <c r="V27" s="3"/>
      <c r="W27" s="3"/>
      <c r="X27" t="s">
        <v>13</v>
      </c>
    </row>
    <row r="28" spans="1:36" x14ac:dyDescent="0.35">
      <c r="A28" s="4" t="s">
        <v>408</v>
      </c>
      <c r="B28" s="24" t="s">
        <v>337</v>
      </c>
      <c r="C28" s="67" t="s">
        <v>13</v>
      </c>
      <c r="D28" s="3">
        <v>500000</v>
      </c>
      <c r="F28" s="3"/>
      <c r="G28" s="3"/>
      <c r="H28" s="3"/>
      <c r="I28" s="3"/>
      <c r="K28" s="3"/>
      <c r="L28" s="3"/>
      <c r="M28" s="3"/>
      <c r="P28" s="3"/>
      <c r="Q28" s="3"/>
      <c r="R28" s="3"/>
      <c r="S28" s="3"/>
      <c r="T28" s="3"/>
      <c r="U28" s="3"/>
      <c r="V28" s="3"/>
      <c r="W28" s="3"/>
    </row>
    <row r="29" spans="1:36" x14ac:dyDescent="0.35">
      <c r="A29" s="4" t="s">
        <v>409</v>
      </c>
      <c r="B29" s="24" t="s">
        <v>337</v>
      </c>
      <c r="C29" s="67"/>
      <c r="D29" s="3">
        <f>500000/2</f>
        <v>250000</v>
      </c>
      <c r="F29" s="3"/>
      <c r="G29" s="3"/>
      <c r="H29" s="3"/>
      <c r="I29" s="3"/>
      <c r="K29" s="3"/>
      <c r="L29" s="3"/>
      <c r="M29" s="3"/>
      <c r="P29" s="3"/>
      <c r="Q29" s="3"/>
      <c r="R29" s="3"/>
      <c r="S29" s="3"/>
      <c r="T29" s="3"/>
      <c r="U29" s="3"/>
      <c r="V29" s="3"/>
      <c r="W29" s="3"/>
    </row>
    <row r="30" spans="1:36" x14ac:dyDescent="0.35">
      <c r="A30" s="4" t="s">
        <v>410</v>
      </c>
      <c r="B30" s="24" t="s">
        <v>337</v>
      </c>
      <c r="C30" s="67"/>
      <c r="D30" s="3">
        <f>500000/2</f>
        <v>250000</v>
      </c>
      <c r="F30" s="3"/>
      <c r="G30" s="3"/>
      <c r="H30" s="3"/>
      <c r="I30" s="3"/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</row>
    <row r="31" spans="1:36" x14ac:dyDescent="0.35">
      <c r="A31" s="4" t="s">
        <v>411</v>
      </c>
      <c r="B31" s="24" t="s">
        <v>337</v>
      </c>
      <c r="C31" s="67"/>
      <c r="D31" s="3">
        <f>500000/2</f>
        <v>250000</v>
      </c>
      <c r="F31" s="3"/>
      <c r="G31" s="3"/>
      <c r="H31" s="3"/>
      <c r="I31" s="3"/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</row>
    <row r="32" spans="1:36" x14ac:dyDescent="0.35">
      <c r="A32" t="s">
        <v>241</v>
      </c>
      <c r="B32" t="s">
        <v>337</v>
      </c>
      <c r="C32" s="5" t="s">
        <v>13</v>
      </c>
      <c r="D32" s="3">
        <f>+(D5+D6+D7)*0.17</f>
        <v>118014.00000000001</v>
      </c>
      <c r="F32" s="3"/>
      <c r="G32" s="3"/>
      <c r="H32" s="3"/>
      <c r="I32" s="3"/>
      <c r="J32" s="3"/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W32" s="3"/>
    </row>
    <row r="33" spans="1:35" x14ac:dyDescent="0.35">
      <c r="A33" t="s">
        <v>343</v>
      </c>
      <c r="B33" t="s">
        <v>344</v>
      </c>
      <c r="C33" s="5" t="s">
        <v>13</v>
      </c>
      <c r="D33" s="3">
        <f>1250000-250000- 2150*1.19*100</f>
        <v>744150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35" x14ac:dyDescent="0.35">
      <c r="A34" t="s">
        <v>198</v>
      </c>
      <c r="B34" s="63" t="s">
        <v>196</v>
      </c>
      <c r="C34" s="5">
        <v>43864</v>
      </c>
      <c r="D34" s="3">
        <v>285243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35" x14ac:dyDescent="0.35">
      <c r="A35" s="4" t="s">
        <v>240</v>
      </c>
      <c r="B35" s="68" t="s">
        <v>239</v>
      </c>
      <c r="C35" s="67">
        <v>43892</v>
      </c>
      <c r="D35" s="3">
        <f>45500*1.19</f>
        <v>54145</v>
      </c>
      <c r="E35" t="s">
        <v>401</v>
      </c>
      <c r="F35" s="3"/>
      <c r="G35" s="3"/>
      <c r="H35" s="3"/>
      <c r="I35" s="3"/>
      <c r="J35" s="3"/>
      <c r="K35" s="3"/>
      <c r="L35" s="3"/>
      <c r="M35" s="3"/>
      <c r="N35" s="3"/>
      <c r="O35" s="3" t="s">
        <v>13</v>
      </c>
      <c r="P35" s="3"/>
      <c r="Q35" s="3"/>
      <c r="R35" s="3"/>
      <c r="S35" s="3"/>
      <c r="T35" s="3"/>
      <c r="U35" s="3"/>
      <c r="V35" s="3"/>
      <c r="W35" s="3"/>
    </row>
    <row r="36" spans="1:35" x14ac:dyDescent="0.35">
      <c r="A36" s="4" t="s">
        <v>441</v>
      </c>
      <c r="C36" s="67"/>
      <c r="D36" s="3">
        <v>109000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35" x14ac:dyDescent="0.35">
      <c r="A37" s="4"/>
      <c r="C37" s="67"/>
      <c r="D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35" x14ac:dyDescent="0.35">
      <c r="A38" s="2" t="s">
        <v>9</v>
      </c>
      <c r="F38" s="3">
        <f t="shared" ref="F38:AI38" si="3">SUM(F26:F37)</f>
        <v>0</v>
      </c>
      <c r="G38" s="3">
        <f t="shared" si="3"/>
        <v>0</v>
      </c>
      <c r="H38" s="3">
        <f t="shared" si="3"/>
        <v>0</v>
      </c>
      <c r="I38" s="3">
        <f t="shared" si="3"/>
        <v>0</v>
      </c>
      <c r="J38" s="3">
        <f t="shared" si="3"/>
        <v>0</v>
      </c>
      <c r="K38" s="3">
        <f t="shared" si="3"/>
        <v>0</v>
      </c>
      <c r="L38" s="3">
        <f t="shared" si="3"/>
        <v>0</v>
      </c>
      <c r="M38" s="3">
        <f t="shared" si="3"/>
        <v>0</v>
      </c>
      <c r="N38" s="3">
        <f t="shared" si="3"/>
        <v>0</v>
      </c>
      <c r="O38" s="3">
        <f t="shared" si="3"/>
        <v>0</v>
      </c>
      <c r="P38" s="3">
        <f t="shared" si="3"/>
        <v>0</v>
      </c>
      <c r="Q38" s="3">
        <f t="shared" si="3"/>
        <v>0</v>
      </c>
      <c r="R38" s="3">
        <f t="shared" si="3"/>
        <v>0</v>
      </c>
      <c r="S38" s="3">
        <f t="shared" si="3"/>
        <v>0</v>
      </c>
      <c r="T38" s="3">
        <f t="shared" si="3"/>
        <v>0</v>
      </c>
      <c r="U38" s="3">
        <f t="shared" si="3"/>
        <v>0</v>
      </c>
      <c r="V38" s="3">
        <f t="shared" si="3"/>
        <v>0</v>
      </c>
      <c r="W38" s="3">
        <f t="shared" si="3"/>
        <v>0</v>
      </c>
      <c r="X38" s="3">
        <f t="shared" si="3"/>
        <v>0</v>
      </c>
      <c r="Y38" s="3">
        <f t="shared" si="3"/>
        <v>0</v>
      </c>
      <c r="Z38" s="3">
        <f t="shared" si="3"/>
        <v>0</v>
      </c>
      <c r="AA38" s="3">
        <f t="shared" si="3"/>
        <v>0</v>
      </c>
      <c r="AB38" s="3">
        <f t="shared" si="3"/>
        <v>0</v>
      </c>
      <c r="AC38" s="3">
        <f t="shared" si="3"/>
        <v>0</v>
      </c>
      <c r="AD38" s="3">
        <f t="shared" si="3"/>
        <v>0</v>
      </c>
      <c r="AE38" s="3">
        <f t="shared" si="3"/>
        <v>0</v>
      </c>
      <c r="AF38" s="3">
        <f t="shared" si="3"/>
        <v>0</v>
      </c>
      <c r="AG38" s="3">
        <f t="shared" si="3"/>
        <v>0</v>
      </c>
      <c r="AH38" s="3">
        <f t="shared" si="3"/>
        <v>0</v>
      </c>
      <c r="AI38" s="3">
        <f t="shared" si="3"/>
        <v>0</v>
      </c>
    </row>
    <row r="39" spans="1:35" x14ac:dyDescent="0.35">
      <c r="A39" t="s">
        <v>8</v>
      </c>
      <c r="F39" s="3">
        <f>+F23+F3-F38</f>
        <v>-18210.416330531938</v>
      </c>
      <c r="G39" s="3">
        <f t="shared" ref="G39:AI39" si="4">+G3+G23-G38</f>
        <v>-18210.416330531938</v>
      </c>
      <c r="H39" s="3">
        <f t="shared" si="4"/>
        <v>-18210.416330531938</v>
      </c>
      <c r="I39" s="3">
        <f t="shared" si="4"/>
        <v>-18210.416330531938</v>
      </c>
      <c r="J39" s="3">
        <f t="shared" si="4"/>
        <v>-18210.416330531938</v>
      </c>
      <c r="K39" s="3">
        <f t="shared" si="4"/>
        <v>-18210.416330531938</v>
      </c>
      <c r="L39" s="3">
        <f t="shared" si="4"/>
        <v>-18210.416330531938</v>
      </c>
      <c r="M39" s="3">
        <f t="shared" si="4"/>
        <v>-18210.416330531938</v>
      </c>
      <c r="N39" s="3">
        <f t="shared" si="4"/>
        <v>-18210.416330531938</v>
      </c>
      <c r="O39" s="3">
        <f t="shared" si="4"/>
        <v>-18210.416330531938</v>
      </c>
      <c r="P39" s="3">
        <f t="shared" si="4"/>
        <v>-18210.416330531938</v>
      </c>
      <c r="Q39" s="3">
        <f t="shared" si="4"/>
        <v>-18210.416330531938</v>
      </c>
      <c r="R39" s="3">
        <f t="shared" si="4"/>
        <v>-18210.416330531938</v>
      </c>
      <c r="S39" s="3">
        <f t="shared" si="4"/>
        <v>-18210.416330531938</v>
      </c>
      <c r="T39" s="3">
        <f t="shared" si="4"/>
        <v>-18210.416330531938</v>
      </c>
      <c r="U39" s="3">
        <f t="shared" si="4"/>
        <v>-18210.416330531938</v>
      </c>
      <c r="V39" s="3">
        <f t="shared" si="4"/>
        <v>-18210.416330531938</v>
      </c>
      <c r="W39" s="3">
        <f t="shared" si="4"/>
        <v>-18210.416330531938</v>
      </c>
      <c r="X39" s="3">
        <f t="shared" si="4"/>
        <v>-18210.416330531938</v>
      </c>
      <c r="Y39" s="3">
        <f t="shared" si="4"/>
        <v>-18210.416330531938</v>
      </c>
      <c r="Z39" s="3">
        <f t="shared" si="4"/>
        <v>-18210.416330531938</v>
      </c>
      <c r="AA39" s="3">
        <f t="shared" si="4"/>
        <v>-18210.416330531938</v>
      </c>
      <c r="AB39" s="3">
        <f t="shared" si="4"/>
        <v>-18210.416330531938</v>
      </c>
      <c r="AC39" s="3">
        <f t="shared" si="4"/>
        <v>-18210.416330531938</v>
      </c>
      <c r="AD39" s="3">
        <f t="shared" si="4"/>
        <v>-18210.416330531938</v>
      </c>
      <c r="AE39" s="3">
        <f t="shared" si="4"/>
        <v>-18210.416330531938</v>
      </c>
      <c r="AF39" s="3">
        <f t="shared" si="4"/>
        <v>-18210.416330531938</v>
      </c>
      <c r="AG39" s="3">
        <f t="shared" si="4"/>
        <v>-18210.416330531938</v>
      </c>
      <c r="AH39" s="3">
        <f t="shared" si="4"/>
        <v>-18210.416330531938</v>
      </c>
      <c r="AI39" s="3">
        <f t="shared" si="4"/>
        <v>-18210.416330531938</v>
      </c>
    </row>
    <row r="40" spans="1:35" x14ac:dyDescent="0.3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35" x14ac:dyDescent="0.3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35" x14ac:dyDescent="0.3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35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35" x14ac:dyDescent="0.35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35" x14ac:dyDescent="0.3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35" x14ac:dyDescent="0.3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35" x14ac:dyDescent="0.35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K59"/>
  <sheetViews>
    <sheetView topLeftCell="A23" workbookViewId="0">
      <selection activeCell="A40" sqref="A40"/>
    </sheetView>
  </sheetViews>
  <sheetFormatPr baseColWidth="10" defaultColWidth="11.08984375" defaultRowHeight="14.5" x14ac:dyDescent="0.35"/>
  <cols>
    <col min="1" max="1" width="58.5429687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20" max="20" width="12.7265625" customWidth="1"/>
    <col min="21" max="21" width="12.54296875" customWidth="1"/>
    <col min="22" max="22" width="13.26953125" customWidth="1"/>
    <col min="30" max="30" width="13.54296875" customWidth="1"/>
    <col min="35" max="35" width="13.3632812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44105</v>
      </c>
      <c r="G2" s="1">
        <v>44106</v>
      </c>
      <c r="H2" s="1">
        <v>44107</v>
      </c>
      <c r="I2" s="1">
        <v>44108</v>
      </c>
      <c r="J2" s="1">
        <v>44109</v>
      </c>
      <c r="K2" s="1">
        <v>44110</v>
      </c>
      <c r="L2" s="1">
        <v>44111</v>
      </c>
      <c r="M2" s="1">
        <v>44112</v>
      </c>
      <c r="N2" s="1">
        <v>44113</v>
      </c>
      <c r="O2" s="1">
        <v>44114</v>
      </c>
      <c r="P2" s="1">
        <v>44115</v>
      </c>
      <c r="Q2" s="1">
        <v>44116</v>
      </c>
      <c r="R2" s="1">
        <v>44117</v>
      </c>
      <c r="S2" s="1">
        <v>44118</v>
      </c>
      <c r="T2" s="1">
        <v>44119</v>
      </c>
      <c r="U2" s="1">
        <v>44120</v>
      </c>
      <c r="V2" s="1">
        <v>44121</v>
      </c>
      <c r="W2" s="1">
        <v>44122</v>
      </c>
      <c r="X2" s="1">
        <v>44123</v>
      </c>
      <c r="Y2" s="1">
        <v>44124</v>
      </c>
      <c r="Z2" s="1">
        <v>44125</v>
      </c>
      <c r="AA2" s="1">
        <v>44126</v>
      </c>
      <c r="AB2" s="1">
        <v>44127</v>
      </c>
      <c r="AC2" s="1">
        <v>44128</v>
      </c>
      <c r="AD2" s="1">
        <v>44129</v>
      </c>
      <c r="AE2" s="1">
        <v>44130</v>
      </c>
      <c r="AF2" s="1">
        <v>44131</v>
      </c>
      <c r="AG2" s="1">
        <v>44132</v>
      </c>
      <c r="AH2" s="1">
        <v>44133</v>
      </c>
      <c r="AI2" s="1">
        <v>44134</v>
      </c>
      <c r="AJ2" s="1">
        <v>44135</v>
      </c>
      <c r="AK2" s="176" t="s">
        <v>579</v>
      </c>
    </row>
    <row r="3" spans="1:37" x14ac:dyDescent="0.35">
      <c r="A3" t="s">
        <v>7</v>
      </c>
      <c r="F3" s="3">
        <f>+'SEPT-20'!AI39</f>
        <v>-18210.416330531938</v>
      </c>
      <c r="G3" s="3">
        <f t="shared" ref="G3:AJ3" si="0">+F51</f>
        <v>-18210.416330531938</v>
      </c>
      <c r="H3" s="3">
        <f t="shared" si="0"/>
        <v>-18210.416330531938</v>
      </c>
      <c r="I3" s="3">
        <f t="shared" si="0"/>
        <v>-18210.416330531938</v>
      </c>
      <c r="J3" s="3">
        <f t="shared" si="0"/>
        <v>-18210.416330531938</v>
      </c>
      <c r="K3" s="3">
        <f t="shared" si="0"/>
        <v>-18210.416330531938</v>
      </c>
      <c r="L3" s="3">
        <f t="shared" si="0"/>
        <v>-18210.416330531938</v>
      </c>
      <c r="M3" s="3">
        <f t="shared" si="0"/>
        <v>-18210.416330531938</v>
      </c>
      <c r="N3" s="3">
        <f t="shared" si="0"/>
        <v>-18210.416330531938</v>
      </c>
      <c r="O3" s="3">
        <f t="shared" si="0"/>
        <v>-18210.416330531938</v>
      </c>
      <c r="P3" s="3">
        <f t="shared" si="0"/>
        <v>-18210.416330531938</v>
      </c>
      <c r="Q3" s="3">
        <f t="shared" si="0"/>
        <v>-18210.416330531938</v>
      </c>
      <c r="R3" s="3">
        <f t="shared" si="0"/>
        <v>-18210.416330531938</v>
      </c>
      <c r="S3" s="3">
        <f t="shared" si="0"/>
        <v>-18210.416330531938</v>
      </c>
      <c r="T3" s="3">
        <f t="shared" si="0"/>
        <v>-0.41633053193800151</v>
      </c>
      <c r="U3" s="3">
        <f t="shared" si="0"/>
        <v>499999.58366946806</v>
      </c>
      <c r="V3" s="3">
        <f t="shared" si="0"/>
        <v>328999.58366946806</v>
      </c>
      <c r="W3" s="3">
        <f t="shared" si="0"/>
        <v>257599.58366946806</v>
      </c>
      <c r="X3" s="3">
        <f t="shared" si="0"/>
        <v>257599.58366946806</v>
      </c>
      <c r="Y3" s="3">
        <f t="shared" si="0"/>
        <v>257599.58366946806</v>
      </c>
      <c r="Z3" s="3">
        <f t="shared" si="0"/>
        <v>257599.58366946806</v>
      </c>
      <c r="AA3" s="3">
        <f t="shared" si="0"/>
        <v>231789.71033613474</v>
      </c>
      <c r="AB3" s="3">
        <f t="shared" si="0"/>
        <v>174812.04366946808</v>
      </c>
      <c r="AC3" s="3">
        <f t="shared" si="0"/>
        <v>121720.04366946808</v>
      </c>
      <c r="AD3" s="3">
        <f t="shared" si="0"/>
        <v>121720.04366946808</v>
      </c>
      <c r="AE3" s="3">
        <f t="shared" si="0"/>
        <v>121720.04366946808</v>
      </c>
      <c r="AF3" s="3">
        <f t="shared" si="0"/>
        <v>121720.04366946808</v>
      </c>
      <c r="AG3" s="3">
        <f t="shared" si="0"/>
        <v>121720.04366946808</v>
      </c>
      <c r="AH3" s="3">
        <f t="shared" si="0"/>
        <v>121720.04366946808</v>
      </c>
      <c r="AI3" s="3">
        <f t="shared" si="0"/>
        <v>121720.04366946808</v>
      </c>
      <c r="AJ3" s="3">
        <f t="shared" si="0"/>
        <v>164750.04366946808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K4" s="3" t="s">
        <v>13</v>
      </c>
    </row>
    <row r="5" spans="1:37" x14ac:dyDescent="0.35">
      <c r="A5" t="s">
        <v>89</v>
      </c>
      <c r="B5" t="s">
        <v>90</v>
      </c>
      <c r="C5" s="5">
        <v>43820</v>
      </c>
      <c r="D5" s="3">
        <v>267000</v>
      </c>
      <c r="E5" t="s">
        <v>13</v>
      </c>
      <c r="F5" s="3"/>
      <c r="G5" s="3"/>
      <c r="H5" s="3"/>
      <c r="I5" s="3"/>
      <c r="J5" s="3"/>
      <c r="L5" s="3"/>
      <c r="N5" s="3"/>
      <c r="O5" s="3"/>
      <c r="P5" s="3"/>
      <c r="R5" s="3"/>
      <c r="S5" s="3"/>
      <c r="T5" s="3" t="s">
        <v>13</v>
      </c>
      <c r="U5" s="3"/>
      <c r="V5" s="3"/>
      <c r="W5" s="3"/>
      <c r="AF5" s="3" t="s">
        <v>13</v>
      </c>
      <c r="AK5" s="3">
        <f t="shared" ref="AK5:AK16" si="1">SUM(F5:AJ5)</f>
        <v>0</v>
      </c>
    </row>
    <row r="6" spans="1:37" x14ac:dyDescent="0.35">
      <c r="A6" t="s">
        <v>166</v>
      </c>
      <c r="B6" t="s">
        <v>19</v>
      </c>
      <c r="C6" s="5">
        <v>43836</v>
      </c>
      <c r="D6" s="3">
        <v>267000</v>
      </c>
      <c r="E6" t="s">
        <v>13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 t="s">
        <v>13</v>
      </c>
      <c r="U6" s="3"/>
      <c r="V6" s="3"/>
      <c r="W6" s="3"/>
      <c r="AF6" t="s">
        <v>13</v>
      </c>
      <c r="AK6" s="3">
        <f t="shared" si="1"/>
        <v>0</v>
      </c>
    </row>
    <row r="7" spans="1:37" x14ac:dyDescent="0.35">
      <c r="A7" t="s">
        <v>174</v>
      </c>
      <c r="B7" t="s">
        <v>55</v>
      </c>
      <c r="C7" s="5">
        <v>43848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 t="s">
        <v>13</v>
      </c>
      <c r="AK7" s="3">
        <f t="shared" si="1"/>
        <v>0</v>
      </c>
    </row>
    <row r="8" spans="1:37" x14ac:dyDescent="0.35">
      <c r="A8" t="s">
        <v>199</v>
      </c>
      <c r="B8" t="s">
        <v>63</v>
      </c>
      <c r="C8" s="5">
        <v>43865</v>
      </c>
      <c r="D8" s="3">
        <v>160200</v>
      </c>
      <c r="E8" t="s">
        <v>13</v>
      </c>
      <c r="F8" s="3"/>
      <c r="G8" s="3"/>
      <c r="H8" s="3"/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AI8" s="3" t="s">
        <v>13</v>
      </c>
      <c r="AK8" s="3">
        <f t="shared" si="1"/>
        <v>0</v>
      </c>
    </row>
    <row r="9" spans="1:37" x14ac:dyDescent="0.35">
      <c r="A9" t="s">
        <v>203</v>
      </c>
      <c r="B9" t="s">
        <v>58</v>
      </c>
      <c r="C9" s="5">
        <v>43866</v>
      </c>
      <c r="D9" s="3">
        <v>33728</v>
      </c>
      <c r="E9" t="s">
        <v>13</v>
      </c>
      <c r="F9" s="3"/>
      <c r="G9" s="3"/>
      <c r="H9" s="3"/>
      <c r="I9" s="3"/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I9" s="3" t="s">
        <v>13</v>
      </c>
      <c r="AK9" s="3">
        <f t="shared" si="1"/>
        <v>0</v>
      </c>
    </row>
    <row r="10" spans="1:37" x14ac:dyDescent="0.35">
      <c r="A10" t="s">
        <v>207</v>
      </c>
      <c r="B10" t="s">
        <v>208</v>
      </c>
      <c r="C10" s="5">
        <v>43876</v>
      </c>
      <c r="D10" s="3">
        <v>160200</v>
      </c>
      <c r="E10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 t="s">
        <v>13</v>
      </c>
      <c r="U10" s="3"/>
      <c r="V10" s="3"/>
      <c r="W10" s="3"/>
      <c r="AI10" s="3" t="s">
        <v>13</v>
      </c>
      <c r="AK10" s="3">
        <f t="shared" si="1"/>
        <v>0</v>
      </c>
    </row>
    <row r="11" spans="1:37" x14ac:dyDescent="0.35">
      <c r="A11" t="s">
        <v>235</v>
      </c>
      <c r="B11" t="s">
        <v>234</v>
      </c>
      <c r="C11" s="5">
        <v>43882</v>
      </c>
      <c r="D11" s="3">
        <v>160200</v>
      </c>
      <c r="E11" t="s">
        <v>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I11" s="3" t="s">
        <v>13</v>
      </c>
      <c r="AK11" s="3">
        <f t="shared" si="1"/>
        <v>0</v>
      </c>
    </row>
    <row r="12" spans="1:37" x14ac:dyDescent="0.35">
      <c r="A12" t="s">
        <v>242</v>
      </c>
      <c r="B12" t="s">
        <v>243</v>
      </c>
      <c r="C12" s="5">
        <v>43889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  <c r="AK12" s="3">
        <f t="shared" si="1"/>
        <v>0</v>
      </c>
    </row>
    <row r="13" spans="1:37" x14ac:dyDescent="0.35">
      <c r="A13" t="s">
        <v>244</v>
      </c>
      <c r="B13" t="s">
        <v>245</v>
      </c>
      <c r="C13" s="5">
        <v>43892</v>
      </c>
      <c r="D13" s="3">
        <f>28475.41*1.19</f>
        <v>33885.7379</v>
      </c>
      <c r="E13" t="s">
        <v>13</v>
      </c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  <c r="AC13" t="s">
        <v>13</v>
      </c>
      <c r="AK13" s="3">
        <f t="shared" si="1"/>
        <v>0</v>
      </c>
    </row>
    <row r="14" spans="1:37" x14ac:dyDescent="0.35">
      <c r="A14" t="s">
        <v>299</v>
      </c>
      <c r="B14" t="s">
        <v>300</v>
      </c>
      <c r="C14" s="5">
        <v>43904</v>
      </c>
      <c r="D14" s="3">
        <v>160200</v>
      </c>
      <c r="E14" t="s">
        <v>13</v>
      </c>
      <c r="F14" s="3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13</v>
      </c>
      <c r="U14" s="3"/>
      <c r="V14" s="3"/>
      <c r="W14" s="3"/>
      <c r="AK14" s="3">
        <f t="shared" si="1"/>
        <v>0</v>
      </c>
    </row>
    <row r="15" spans="1:37" x14ac:dyDescent="0.35">
      <c r="A15" t="s">
        <v>345</v>
      </c>
      <c r="B15" t="s">
        <v>344</v>
      </c>
      <c r="C15" s="5" t="s">
        <v>13</v>
      </c>
      <c r="D15" s="3">
        <f>4500*60</f>
        <v>270000</v>
      </c>
      <c r="E15" t="s">
        <v>382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K15" s="3">
        <f t="shared" si="1"/>
        <v>0</v>
      </c>
    </row>
    <row r="16" spans="1:37" x14ac:dyDescent="0.35">
      <c r="A16" t="s">
        <v>458</v>
      </c>
      <c r="B16" t="s">
        <v>186</v>
      </c>
      <c r="C16" s="5">
        <v>44127</v>
      </c>
      <c r="D16" s="3">
        <v>62665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AI16" s="3">
        <v>62665</v>
      </c>
      <c r="AJ16" s="3"/>
      <c r="AK16" s="3">
        <f t="shared" si="1"/>
        <v>62665</v>
      </c>
    </row>
    <row r="17" spans="1:37" x14ac:dyDescent="0.35">
      <c r="A17" s="2" t="s">
        <v>580</v>
      </c>
      <c r="C17" s="5"/>
      <c r="D17" s="3" t="s">
        <v>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J17" s="3"/>
      <c r="AK17" s="72">
        <f>SUM(AK5:AK16)</f>
        <v>62665</v>
      </c>
    </row>
    <row r="18" spans="1:37" x14ac:dyDescent="0.35">
      <c r="A18" t="s">
        <v>443</v>
      </c>
      <c r="C18" s="5"/>
      <c r="D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500000</v>
      </c>
      <c r="U18" s="3"/>
      <c r="V18" s="3"/>
      <c r="W18" s="3"/>
    </row>
    <row r="19" spans="1:37" x14ac:dyDescent="0.35">
      <c r="A19" t="s">
        <v>456</v>
      </c>
      <c r="C19" s="5"/>
      <c r="D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18210</v>
      </c>
      <c r="T19" s="3"/>
      <c r="U19" s="3"/>
      <c r="V19" s="3"/>
      <c r="W19" s="3"/>
    </row>
    <row r="20" spans="1:37" x14ac:dyDescent="0.35">
      <c r="A20" t="s">
        <v>60</v>
      </c>
      <c r="F20" s="3">
        <v>0</v>
      </c>
      <c r="G20" s="3">
        <v>0</v>
      </c>
      <c r="H20" s="3"/>
      <c r="I20" s="3"/>
      <c r="J20" s="3"/>
      <c r="K20" s="3" t="s">
        <v>13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7" x14ac:dyDescent="0.35">
      <c r="A21" t="s">
        <v>1</v>
      </c>
      <c r="F21" s="3"/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7" x14ac:dyDescent="0.3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7" x14ac:dyDescent="0.35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7" x14ac:dyDescent="0.35">
      <c r="A24" s="2" t="s">
        <v>6</v>
      </c>
      <c r="F24" s="3">
        <f t="shared" ref="F24:AG24" si="2">SUM(F5:F23)</f>
        <v>0</v>
      </c>
      <c r="G24" s="3">
        <f t="shared" si="2"/>
        <v>0</v>
      </c>
      <c r="H24" s="3">
        <f t="shared" si="2"/>
        <v>0</v>
      </c>
      <c r="I24" s="3">
        <f t="shared" si="2"/>
        <v>0</v>
      </c>
      <c r="J24" s="3">
        <f t="shared" si="2"/>
        <v>0</v>
      </c>
      <c r="K24" s="3">
        <f t="shared" si="2"/>
        <v>0</v>
      </c>
      <c r="L24" s="3">
        <f t="shared" si="2"/>
        <v>0</v>
      </c>
      <c r="M24" s="3">
        <f>SUM(M5:M23)</f>
        <v>0</v>
      </c>
      <c r="N24" s="3">
        <f t="shared" si="2"/>
        <v>0</v>
      </c>
      <c r="O24" s="3">
        <f t="shared" si="2"/>
        <v>0</v>
      </c>
      <c r="P24" s="3">
        <f t="shared" si="2"/>
        <v>0</v>
      </c>
      <c r="Q24" s="3">
        <f t="shared" si="2"/>
        <v>0</v>
      </c>
      <c r="R24" s="3">
        <f t="shared" si="2"/>
        <v>0</v>
      </c>
      <c r="S24" s="3">
        <f t="shared" si="2"/>
        <v>18210</v>
      </c>
      <c r="T24" s="3">
        <f t="shared" si="2"/>
        <v>500000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3">
        <f t="shared" si="2"/>
        <v>0</v>
      </c>
      <c r="Y24" s="3">
        <f t="shared" si="2"/>
        <v>0</v>
      </c>
      <c r="Z24" s="3">
        <f t="shared" si="2"/>
        <v>0</v>
      </c>
      <c r="AA24" s="3">
        <f t="shared" si="2"/>
        <v>0</v>
      </c>
      <c r="AB24" s="3">
        <f t="shared" si="2"/>
        <v>0</v>
      </c>
      <c r="AC24" s="3">
        <f t="shared" si="2"/>
        <v>0</v>
      </c>
      <c r="AD24" s="3">
        <f t="shared" si="2"/>
        <v>0</v>
      </c>
      <c r="AE24" s="3">
        <f t="shared" si="2"/>
        <v>0</v>
      </c>
      <c r="AF24" s="3">
        <f t="shared" si="2"/>
        <v>0</v>
      </c>
      <c r="AG24" s="3">
        <f t="shared" si="2"/>
        <v>0</v>
      </c>
      <c r="AH24" s="3">
        <f>SUM(AH5:AH23)</f>
        <v>0</v>
      </c>
      <c r="AI24" s="3">
        <f>SUM(AI5:AI23)</f>
        <v>62665</v>
      </c>
      <c r="AJ24" s="3">
        <f>SUM(AJ5:AJ23)</f>
        <v>0</v>
      </c>
    </row>
    <row r="25" spans="1:37" x14ac:dyDescent="0.35">
      <c r="A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7" x14ac:dyDescent="0.35">
      <c r="A26" s="2" t="s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37" x14ac:dyDescent="0.35">
      <c r="A27" t="s">
        <v>69</v>
      </c>
      <c r="B27" s="63" t="s">
        <v>68</v>
      </c>
      <c r="C27" s="67">
        <v>43812</v>
      </c>
      <c r="D27" s="3">
        <f>559300*0</f>
        <v>0</v>
      </c>
      <c r="E27" t="s">
        <v>13</v>
      </c>
      <c r="F27" s="3"/>
      <c r="G27" s="3"/>
      <c r="H27" s="3"/>
      <c r="I27" s="3"/>
      <c r="J27" s="3"/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W27" s="3"/>
    </row>
    <row r="28" spans="1:37" x14ac:dyDescent="0.35">
      <c r="A28" s="4" t="s">
        <v>373</v>
      </c>
      <c r="B28" s="24" t="s">
        <v>337</v>
      </c>
      <c r="C28" s="67" t="s">
        <v>13</v>
      </c>
      <c r="D28" s="3">
        <v>500000</v>
      </c>
      <c r="F28" s="3"/>
      <c r="G28" s="3"/>
      <c r="H28" s="3"/>
      <c r="I28" s="3"/>
      <c r="K28" s="3" t="s">
        <v>13</v>
      </c>
      <c r="L28" s="3"/>
      <c r="M28" s="3"/>
      <c r="P28" s="3"/>
      <c r="Q28" s="3"/>
      <c r="R28" s="3"/>
      <c r="S28" s="3"/>
      <c r="T28" s="3"/>
      <c r="U28" s="3"/>
      <c r="V28" s="3"/>
      <c r="W28" s="3"/>
      <c r="X28" t="s">
        <v>13</v>
      </c>
    </row>
    <row r="29" spans="1:37" x14ac:dyDescent="0.35">
      <c r="A29" s="4" t="s">
        <v>408</v>
      </c>
      <c r="B29" s="24" t="s">
        <v>337</v>
      </c>
      <c r="C29" s="67" t="s">
        <v>13</v>
      </c>
      <c r="D29" s="3">
        <v>500000</v>
      </c>
      <c r="F29" s="3"/>
      <c r="G29" s="3"/>
      <c r="H29" s="3"/>
      <c r="I29" s="3"/>
      <c r="K29" s="3"/>
      <c r="L29" s="3"/>
      <c r="M29" s="3"/>
      <c r="P29" s="3"/>
      <c r="Q29" s="3"/>
      <c r="R29" s="3"/>
      <c r="S29" s="3"/>
      <c r="T29" s="3"/>
      <c r="U29" s="3"/>
      <c r="V29" s="3"/>
      <c r="W29" s="3"/>
    </row>
    <row r="30" spans="1:37" x14ac:dyDescent="0.35">
      <c r="A30" s="4" t="s">
        <v>409</v>
      </c>
      <c r="B30" s="24" t="s">
        <v>337</v>
      </c>
      <c r="C30" s="67"/>
      <c r="D30" s="3">
        <f>500000/2</f>
        <v>250000</v>
      </c>
      <c r="F30" s="3"/>
      <c r="G30" s="3"/>
      <c r="H30" s="3"/>
      <c r="I30" s="3"/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</row>
    <row r="31" spans="1:37" x14ac:dyDescent="0.35">
      <c r="A31" s="4" t="s">
        <v>410</v>
      </c>
      <c r="B31" s="24" t="s">
        <v>337</v>
      </c>
      <c r="C31" s="67"/>
      <c r="D31" s="3">
        <f>500000/2</f>
        <v>250000</v>
      </c>
      <c r="F31" s="3"/>
      <c r="G31" s="3"/>
      <c r="H31" s="3"/>
      <c r="I31" s="3"/>
      <c r="J31" t="s">
        <v>13</v>
      </c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</row>
    <row r="32" spans="1:37" x14ac:dyDescent="0.35">
      <c r="A32" s="4" t="s">
        <v>411</v>
      </c>
      <c r="B32" s="24" t="s">
        <v>337</v>
      </c>
      <c r="C32" s="67"/>
      <c r="D32" s="3">
        <f>500000/2</f>
        <v>250000</v>
      </c>
      <c r="F32" s="3"/>
      <c r="G32" s="3"/>
      <c r="H32" s="3"/>
      <c r="I32" s="3"/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</row>
    <row r="33" spans="1:36" x14ac:dyDescent="0.35">
      <c r="A33" t="s">
        <v>241</v>
      </c>
      <c r="B33" t="s">
        <v>337</v>
      </c>
      <c r="C33" s="5" t="s">
        <v>13</v>
      </c>
      <c r="D33" s="3">
        <f>+(D5+D6+D7)*0.17</f>
        <v>118014.00000000001</v>
      </c>
      <c r="F33" s="3"/>
      <c r="G33" s="3"/>
      <c r="H33" s="3"/>
      <c r="I33" s="3"/>
      <c r="J33" s="3"/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W33" s="3"/>
      <c r="AI33" s="3">
        <f>+(AJ5+AJ6+AJ7)*0.17</f>
        <v>0</v>
      </c>
      <c r="AJ33" s="3">
        <f>SUM(AJ8:AJ15)*0.17</f>
        <v>0</v>
      </c>
    </row>
    <row r="34" spans="1:36" x14ac:dyDescent="0.35">
      <c r="A34" t="s">
        <v>343</v>
      </c>
      <c r="B34" t="s">
        <v>344</v>
      </c>
      <c r="C34" s="5" t="s">
        <v>13</v>
      </c>
      <c r="D34" s="3">
        <f>(1250000-250000- 2150*1.19*100)*0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J34" s="3">
        <f>(1250000-250000- 2150*1.19*100)*0</f>
        <v>0</v>
      </c>
    </row>
    <row r="35" spans="1:36" x14ac:dyDescent="0.35">
      <c r="A35" t="s">
        <v>198</v>
      </c>
      <c r="B35" s="63" t="s">
        <v>196</v>
      </c>
      <c r="C35" s="5">
        <v>43864</v>
      </c>
      <c r="D35" s="3">
        <f>285243*0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J35" s="3">
        <f>100*850*1.19*0</f>
        <v>0</v>
      </c>
    </row>
    <row r="36" spans="1:36" x14ac:dyDescent="0.35">
      <c r="A36" s="4" t="s">
        <v>441</v>
      </c>
      <c r="C36" s="67"/>
      <c r="D36" s="3">
        <v>171000</v>
      </c>
      <c r="E36" t="s">
        <v>442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107">
        <v>171000</v>
      </c>
      <c r="V36" s="3"/>
      <c r="W36" s="3"/>
      <c r="AI36" s="3"/>
    </row>
    <row r="37" spans="1:36" x14ac:dyDescent="0.35">
      <c r="A37" s="4" t="s">
        <v>440</v>
      </c>
      <c r="C37" s="67">
        <v>44104</v>
      </c>
      <c r="D37" s="3">
        <f>1509.36+2936.91+601+41+525+259+57.4*2*822/9</f>
        <v>16357.336666666666</v>
      </c>
      <c r="E37" t="s">
        <v>442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107">
        <f>1509.36+2936.91+601+41+525+259+57.4*2*822/9</f>
        <v>16357.336666666666</v>
      </c>
      <c r="AI37" s="3"/>
    </row>
    <row r="38" spans="1:36" x14ac:dyDescent="0.35">
      <c r="A38" s="4" t="s">
        <v>446</v>
      </c>
      <c r="B38" t="s">
        <v>508</v>
      </c>
      <c r="C38" s="67">
        <v>44112</v>
      </c>
      <c r="D38" s="3">
        <f>60000*1.19</f>
        <v>71400</v>
      </c>
      <c r="E38" t="s">
        <v>442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107">
        <f>60000*1.19</f>
        <v>71400</v>
      </c>
      <c r="W38" s="3"/>
      <c r="AI38" s="3"/>
    </row>
    <row r="39" spans="1:36" x14ac:dyDescent="0.35">
      <c r="A39" s="4" t="s">
        <v>444</v>
      </c>
      <c r="C39" s="67">
        <v>44125</v>
      </c>
      <c r="D39" s="3">
        <f>1509.36+2936.91+601+41+525+259+39.2*822/9</f>
        <v>9452.5366666666669</v>
      </c>
      <c r="E39" t="s">
        <v>442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107">
        <f>1509.36+2936.91+601+41+525+259+39.2*822/9</f>
        <v>9452.5366666666669</v>
      </c>
      <c r="AI39" s="3"/>
    </row>
    <row r="40" spans="1:36" x14ac:dyDescent="0.35">
      <c r="A40" s="4" t="s">
        <v>445</v>
      </c>
      <c r="C40" s="67">
        <v>44126</v>
      </c>
      <c r="D40" s="3">
        <f>2615+1313+389+788+407+560+644+377+337+614+285+1237+3800+2700*2+283*780/9</f>
        <v>43292.666666666672</v>
      </c>
      <c r="E40" t="s">
        <v>442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AA40" s="107">
        <f>2615+1313+389+788+407+560+644+377+337+614+285+1237+3800+2700*2+283*780/9</f>
        <v>43292.666666666672</v>
      </c>
      <c r="AI40" s="3"/>
    </row>
    <row r="41" spans="1:36" x14ac:dyDescent="0.35">
      <c r="A41" s="4" t="s">
        <v>447</v>
      </c>
      <c r="B41" t="s">
        <v>450</v>
      </c>
      <c r="C41" s="67">
        <v>44126</v>
      </c>
      <c r="D41" s="3">
        <f>12800*1.19</f>
        <v>15232</v>
      </c>
      <c r="E41" t="s">
        <v>442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AB41" s="107">
        <f>12800*1.19</f>
        <v>15232</v>
      </c>
      <c r="AI41" s="3"/>
    </row>
    <row r="42" spans="1:36" x14ac:dyDescent="0.35">
      <c r="A42" s="4" t="s">
        <v>448</v>
      </c>
      <c r="B42" t="s">
        <v>451</v>
      </c>
      <c r="C42" s="67">
        <v>44126</v>
      </c>
      <c r="D42" s="3">
        <f>11500*1.19</f>
        <v>13685</v>
      </c>
      <c r="E42" t="s">
        <v>442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AA42" s="107">
        <f>11500*1.19</f>
        <v>13685</v>
      </c>
      <c r="AI42" s="3"/>
    </row>
    <row r="43" spans="1:36" x14ac:dyDescent="0.35">
      <c r="A43" s="4" t="s">
        <v>449</v>
      </c>
      <c r="B43" t="s">
        <v>452</v>
      </c>
      <c r="C43" s="67">
        <v>44127</v>
      </c>
      <c r="D43" s="3">
        <v>14161</v>
      </c>
      <c r="E43" t="s">
        <v>24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AB43" s="107">
        <v>14161</v>
      </c>
      <c r="AI43" s="3"/>
    </row>
    <row r="44" spans="1:36" x14ac:dyDescent="0.35">
      <c r="A44" s="4" t="s">
        <v>453</v>
      </c>
      <c r="B44" t="s">
        <v>454</v>
      </c>
      <c r="C44" s="67">
        <v>44127</v>
      </c>
      <c r="D44" s="3">
        <v>5489</v>
      </c>
      <c r="E44" t="s">
        <v>24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AB44" s="107">
        <v>5489</v>
      </c>
      <c r="AI44" s="3"/>
    </row>
    <row r="45" spans="1:36" x14ac:dyDescent="0.35">
      <c r="A45" s="4" t="s">
        <v>457</v>
      </c>
      <c r="C45" s="67" t="s">
        <v>455</v>
      </c>
      <c r="D45" s="3">
        <f>-'SEPT-20'!Z39</f>
        <v>18210.416330531938</v>
      </c>
      <c r="E45" t="s">
        <v>442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V45" s="3"/>
      <c r="W45" s="3"/>
      <c r="AB45" s="3">
        <v>18210</v>
      </c>
      <c r="AI45" s="3"/>
    </row>
    <row r="46" spans="1:36" x14ac:dyDescent="0.35">
      <c r="A46" s="4" t="s">
        <v>461</v>
      </c>
      <c r="B46" t="s">
        <v>462</v>
      </c>
      <c r="C46" s="67">
        <v>44134</v>
      </c>
      <c r="D46" s="3">
        <v>19635</v>
      </c>
      <c r="E46" t="s">
        <v>401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AI46" s="3">
        <v>19635</v>
      </c>
    </row>
    <row r="47" spans="1:36" x14ac:dyDescent="0.35">
      <c r="A47" s="4" t="s">
        <v>13</v>
      </c>
      <c r="B47" t="s">
        <v>13</v>
      </c>
      <c r="C47" s="67"/>
      <c r="D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AI47" s="3"/>
    </row>
    <row r="48" spans="1:36" x14ac:dyDescent="0.35">
      <c r="A48" s="4"/>
      <c r="C48" s="67"/>
      <c r="D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AI48" s="3"/>
    </row>
    <row r="49" spans="1:36" x14ac:dyDescent="0.35">
      <c r="A49" s="4"/>
      <c r="C49" s="67"/>
      <c r="D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AI49" s="3"/>
    </row>
    <row r="50" spans="1:36" x14ac:dyDescent="0.35">
      <c r="A50" s="4"/>
      <c r="C50" s="67"/>
      <c r="D50" s="3"/>
      <c r="F50" s="3">
        <f t="shared" ref="F50:AJ50" si="3">SUM(F27:F46)</f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0</v>
      </c>
      <c r="K50" s="3">
        <f t="shared" si="3"/>
        <v>0</v>
      </c>
      <c r="L50" s="3">
        <f t="shared" si="3"/>
        <v>0</v>
      </c>
      <c r="M50" s="3">
        <f t="shared" si="3"/>
        <v>0</v>
      </c>
      <c r="N50" s="3">
        <f t="shared" si="3"/>
        <v>0</v>
      </c>
      <c r="O50" s="3">
        <f t="shared" si="3"/>
        <v>0</v>
      </c>
      <c r="P50" s="3">
        <f t="shared" si="3"/>
        <v>0</v>
      </c>
      <c r="Q50" s="3">
        <f t="shared" si="3"/>
        <v>0</v>
      </c>
      <c r="R50" s="3">
        <f t="shared" si="3"/>
        <v>0</v>
      </c>
      <c r="S50" s="3">
        <f t="shared" si="3"/>
        <v>0</v>
      </c>
      <c r="T50" s="3">
        <f t="shared" si="3"/>
        <v>0</v>
      </c>
      <c r="U50" s="3">
        <f t="shared" si="3"/>
        <v>171000</v>
      </c>
      <c r="V50" s="3">
        <f t="shared" si="3"/>
        <v>71400</v>
      </c>
      <c r="W50" s="3">
        <f t="shared" si="3"/>
        <v>0</v>
      </c>
      <c r="X50" s="3">
        <f t="shared" si="3"/>
        <v>0</v>
      </c>
      <c r="Y50" s="3">
        <f t="shared" si="3"/>
        <v>0</v>
      </c>
      <c r="Z50" s="3">
        <f t="shared" si="3"/>
        <v>25809.873333333333</v>
      </c>
      <c r="AA50" s="3">
        <f t="shared" si="3"/>
        <v>56977.666666666672</v>
      </c>
      <c r="AB50" s="3">
        <f t="shared" si="3"/>
        <v>53092</v>
      </c>
      <c r="AC50" s="3">
        <f t="shared" si="3"/>
        <v>0</v>
      </c>
      <c r="AD50" s="3">
        <f t="shared" si="3"/>
        <v>0</v>
      </c>
      <c r="AE50" s="3">
        <f t="shared" si="3"/>
        <v>0</v>
      </c>
      <c r="AF50" s="3">
        <f t="shared" si="3"/>
        <v>0</v>
      </c>
      <c r="AG50" s="3">
        <f t="shared" si="3"/>
        <v>0</v>
      </c>
      <c r="AH50" s="3">
        <f t="shared" si="3"/>
        <v>0</v>
      </c>
      <c r="AI50" s="3">
        <f t="shared" si="3"/>
        <v>19635</v>
      </c>
      <c r="AJ50" s="3">
        <f t="shared" si="3"/>
        <v>0</v>
      </c>
    </row>
    <row r="51" spans="1:36" x14ac:dyDescent="0.35">
      <c r="A51" s="2" t="s">
        <v>9</v>
      </c>
      <c r="F51" s="3">
        <f>+F24+F3-F50</f>
        <v>-18210.416330531938</v>
      </c>
      <c r="G51" s="3">
        <f t="shared" ref="G51:AJ51" si="4">+G3+G24-G50</f>
        <v>-18210.416330531938</v>
      </c>
      <c r="H51" s="3">
        <f t="shared" si="4"/>
        <v>-18210.416330531938</v>
      </c>
      <c r="I51" s="3">
        <f t="shared" si="4"/>
        <v>-18210.416330531938</v>
      </c>
      <c r="J51" s="3">
        <f t="shared" si="4"/>
        <v>-18210.416330531938</v>
      </c>
      <c r="K51" s="3">
        <f t="shared" si="4"/>
        <v>-18210.416330531938</v>
      </c>
      <c r="L51" s="3">
        <f t="shared" si="4"/>
        <v>-18210.416330531938</v>
      </c>
      <c r="M51" s="3">
        <f t="shared" si="4"/>
        <v>-18210.416330531938</v>
      </c>
      <c r="N51" s="3">
        <f t="shared" si="4"/>
        <v>-18210.416330531938</v>
      </c>
      <c r="O51" s="3">
        <f t="shared" si="4"/>
        <v>-18210.416330531938</v>
      </c>
      <c r="P51" s="3">
        <f t="shared" si="4"/>
        <v>-18210.416330531938</v>
      </c>
      <c r="Q51" s="3">
        <f t="shared" si="4"/>
        <v>-18210.416330531938</v>
      </c>
      <c r="R51" s="3">
        <f t="shared" si="4"/>
        <v>-18210.416330531938</v>
      </c>
      <c r="S51" s="3">
        <f t="shared" si="4"/>
        <v>-0.41633053193800151</v>
      </c>
      <c r="T51" s="3">
        <f t="shared" si="4"/>
        <v>499999.58366946806</v>
      </c>
      <c r="U51" s="3">
        <f t="shared" si="4"/>
        <v>328999.58366946806</v>
      </c>
      <c r="V51" s="3">
        <f t="shared" si="4"/>
        <v>257599.58366946806</v>
      </c>
      <c r="W51" s="3">
        <f t="shared" si="4"/>
        <v>257599.58366946806</v>
      </c>
      <c r="X51" s="3">
        <f t="shared" si="4"/>
        <v>257599.58366946806</v>
      </c>
      <c r="Y51" s="3">
        <f t="shared" si="4"/>
        <v>257599.58366946806</v>
      </c>
      <c r="Z51" s="3">
        <f t="shared" si="4"/>
        <v>231789.71033613474</v>
      </c>
      <c r="AA51" s="3">
        <f t="shared" si="4"/>
        <v>174812.04366946808</v>
      </c>
      <c r="AB51" s="3">
        <f t="shared" si="4"/>
        <v>121720.04366946808</v>
      </c>
      <c r="AC51" s="3">
        <f t="shared" si="4"/>
        <v>121720.04366946808</v>
      </c>
      <c r="AD51" s="3">
        <f t="shared" si="4"/>
        <v>121720.04366946808</v>
      </c>
      <c r="AE51" s="71">
        <f t="shared" si="4"/>
        <v>121720.04366946808</v>
      </c>
      <c r="AF51" s="3">
        <f t="shared" si="4"/>
        <v>121720.04366946808</v>
      </c>
      <c r="AG51" s="3">
        <f t="shared" si="4"/>
        <v>121720.04366946808</v>
      </c>
      <c r="AH51" s="3">
        <f t="shared" si="4"/>
        <v>121720.04366946808</v>
      </c>
      <c r="AI51" s="3">
        <f t="shared" si="4"/>
        <v>164750.04366946808</v>
      </c>
      <c r="AJ51" s="3">
        <f t="shared" si="4"/>
        <v>164750.04366946808</v>
      </c>
    </row>
    <row r="52" spans="1:36" x14ac:dyDescent="0.35">
      <c r="A52" t="s">
        <v>8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13</v>
      </c>
      <c r="U52" s="3"/>
      <c r="V52" s="3"/>
      <c r="W52" s="3"/>
      <c r="AA52" s="3" t="s">
        <v>13</v>
      </c>
      <c r="AB52" s="3" t="s">
        <v>13</v>
      </c>
    </row>
    <row r="53" spans="1:36" x14ac:dyDescent="0.35"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 t="s">
        <v>13</v>
      </c>
      <c r="R53" s="3"/>
      <c r="S53" s="3"/>
      <c r="T53" s="3"/>
      <c r="U53" s="3"/>
      <c r="V53" s="3"/>
      <c r="W53" s="3"/>
      <c r="AB53" s="3" t="s">
        <v>13</v>
      </c>
    </row>
    <row r="54" spans="1:36" x14ac:dyDescent="0.35"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 t="s">
        <v>13</v>
      </c>
      <c r="U54" s="3"/>
      <c r="V54" s="3"/>
      <c r="W54" s="3"/>
      <c r="AB54" s="3" t="s">
        <v>13</v>
      </c>
    </row>
    <row r="55" spans="1:36" x14ac:dyDescent="0.35"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>
        <f>500000-360070</f>
        <v>139930</v>
      </c>
      <c r="AB55" s="3" t="s">
        <v>13</v>
      </c>
    </row>
    <row r="56" spans="1:36" x14ac:dyDescent="0.35"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AB56" s="3" t="s">
        <v>13</v>
      </c>
    </row>
    <row r="57" spans="1:36" x14ac:dyDescent="0.35"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AB57" s="3" t="s">
        <v>13</v>
      </c>
    </row>
    <row r="58" spans="1:36" x14ac:dyDescent="0.35"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AB58" s="3" t="s">
        <v>13</v>
      </c>
    </row>
    <row r="59" spans="1:36" x14ac:dyDescent="0.35"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AB59" s="3" t="s">
        <v>98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K74"/>
  <sheetViews>
    <sheetView topLeftCell="A37" workbookViewId="0">
      <selection activeCell="A57" sqref="A57"/>
    </sheetView>
  </sheetViews>
  <sheetFormatPr baseColWidth="10" defaultColWidth="11.08984375" defaultRowHeight="14.5" x14ac:dyDescent="0.35"/>
  <cols>
    <col min="1" max="1" width="42.72656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4" width="12.81640625" customWidth="1"/>
    <col min="35" max="35" width="13.36328125" customWidth="1"/>
    <col min="36" max="36" width="13.8164062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44136</v>
      </c>
      <c r="G2" s="1">
        <v>44137</v>
      </c>
      <c r="H2" s="1">
        <v>44138</v>
      </c>
      <c r="I2" s="1">
        <v>44139</v>
      </c>
      <c r="J2" s="1">
        <v>44140</v>
      </c>
      <c r="K2" s="1">
        <v>44141</v>
      </c>
      <c r="L2" s="1">
        <v>44142</v>
      </c>
      <c r="M2" s="1">
        <v>44143</v>
      </c>
      <c r="N2" s="1">
        <v>44144</v>
      </c>
      <c r="O2" s="1">
        <v>44145</v>
      </c>
      <c r="P2" s="1">
        <v>44146</v>
      </c>
      <c r="Q2" s="1">
        <v>44147</v>
      </c>
      <c r="R2" s="1">
        <v>44148</v>
      </c>
      <c r="S2" s="1">
        <v>44149</v>
      </c>
      <c r="T2" s="1">
        <v>44150</v>
      </c>
      <c r="U2" s="1">
        <v>44151</v>
      </c>
      <c r="V2" s="1">
        <v>44152</v>
      </c>
      <c r="W2" s="1">
        <v>44153</v>
      </c>
      <c r="X2" s="1">
        <v>44154</v>
      </c>
      <c r="Y2" s="1">
        <v>44155</v>
      </c>
      <c r="Z2" s="1">
        <v>44156</v>
      </c>
      <c r="AA2" s="1">
        <v>44157</v>
      </c>
      <c r="AB2" s="1">
        <v>44158</v>
      </c>
      <c r="AC2" s="1">
        <v>44159</v>
      </c>
      <c r="AD2" s="1">
        <v>44160</v>
      </c>
      <c r="AE2" s="1">
        <v>44161</v>
      </c>
      <c r="AF2" s="1">
        <v>44162</v>
      </c>
      <c r="AG2" s="1">
        <v>44163</v>
      </c>
      <c r="AH2" s="1">
        <v>44164</v>
      </c>
      <c r="AI2" s="1">
        <v>44165</v>
      </c>
      <c r="AJ2" s="6" t="s">
        <v>579</v>
      </c>
    </row>
    <row r="3" spans="1:37" x14ac:dyDescent="0.35">
      <c r="A3" t="s">
        <v>7</v>
      </c>
      <c r="F3" s="3">
        <f>+'OCT-20'!AJ51</f>
        <v>164750.04366946808</v>
      </c>
      <c r="G3" s="3">
        <f t="shared" ref="G3:AI3" si="0">+F66</f>
        <v>164750.04366946808</v>
      </c>
      <c r="H3" s="3">
        <f t="shared" si="0"/>
        <v>196083.04366946808</v>
      </c>
      <c r="I3" s="3">
        <f t="shared" si="0"/>
        <v>352746.04366946808</v>
      </c>
      <c r="J3" s="3">
        <f t="shared" si="0"/>
        <v>339117.04366946808</v>
      </c>
      <c r="K3" s="3">
        <f t="shared" si="0"/>
        <v>339117.04366946808</v>
      </c>
      <c r="L3" s="3">
        <f t="shared" si="0"/>
        <v>248606.04366946808</v>
      </c>
      <c r="M3" s="3">
        <f t="shared" si="0"/>
        <v>248606.04366946808</v>
      </c>
      <c r="N3" s="3">
        <f t="shared" si="0"/>
        <v>248606.04366946808</v>
      </c>
      <c r="O3" s="3">
        <f t="shared" si="0"/>
        <v>248469.04366946808</v>
      </c>
      <c r="P3" s="3">
        <f t="shared" si="0"/>
        <v>498469.04366946808</v>
      </c>
      <c r="Q3" s="3">
        <f t="shared" si="0"/>
        <v>498469.04366946808</v>
      </c>
      <c r="R3" s="3">
        <f t="shared" si="0"/>
        <v>498469.04366946808</v>
      </c>
      <c r="S3" s="3">
        <f t="shared" si="0"/>
        <v>2355927.9236694681</v>
      </c>
      <c r="T3" s="3">
        <f t="shared" si="0"/>
        <v>2355927.9236694681</v>
      </c>
      <c r="U3" s="3">
        <f t="shared" si="0"/>
        <v>2355927.9236694681</v>
      </c>
      <c r="V3" s="3">
        <f t="shared" si="0"/>
        <v>1822714.9236694681</v>
      </c>
      <c r="W3" s="3">
        <f t="shared" si="0"/>
        <v>1822714.9236694681</v>
      </c>
      <c r="X3" s="3">
        <f t="shared" si="0"/>
        <v>1979378.9236694681</v>
      </c>
      <c r="Y3" s="3">
        <f t="shared" si="0"/>
        <v>1979378.9236694681</v>
      </c>
      <c r="Z3" s="3">
        <f t="shared" si="0"/>
        <v>1746821.1236694681</v>
      </c>
      <c r="AA3" s="3">
        <f t="shared" si="0"/>
        <v>1746821.1236694681</v>
      </c>
      <c r="AB3" s="3">
        <f t="shared" si="0"/>
        <v>1746821.1236694681</v>
      </c>
      <c r="AC3" s="3">
        <f t="shared" si="0"/>
        <v>1572810.1236694681</v>
      </c>
      <c r="AD3" s="3">
        <f t="shared" si="0"/>
        <v>1922810.1236694681</v>
      </c>
      <c r="AE3" s="3">
        <f t="shared" si="0"/>
        <v>2106810.1236694679</v>
      </c>
      <c r="AF3" s="3">
        <f t="shared" si="0"/>
        <v>2106810.1236694679</v>
      </c>
      <c r="AG3" s="3">
        <f t="shared" si="0"/>
        <v>2106810.1236694679</v>
      </c>
      <c r="AH3" s="3">
        <f t="shared" si="0"/>
        <v>2093888.1236694679</v>
      </c>
      <c r="AI3" s="3">
        <f t="shared" si="0"/>
        <v>2093888.1236694679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J4" s="3" t="s">
        <v>13</v>
      </c>
    </row>
    <row r="5" spans="1:37" x14ac:dyDescent="0.35">
      <c r="A5" t="s">
        <v>89</v>
      </c>
      <c r="B5" t="s">
        <v>90</v>
      </c>
      <c r="C5" s="5">
        <v>43820</v>
      </c>
      <c r="D5" s="3">
        <v>267000</v>
      </c>
      <c r="E5" s="3" t="s">
        <v>13</v>
      </c>
      <c r="F5" s="3"/>
      <c r="G5" s="3"/>
      <c r="H5" s="3"/>
      <c r="I5" s="3"/>
      <c r="J5" s="3"/>
      <c r="L5" s="3"/>
      <c r="N5" s="3"/>
      <c r="O5" s="3"/>
      <c r="P5" s="3"/>
      <c r="R5" s="3"/>
      <c r="S5" s="3"/>
      <c r="T5" s="3" t="s">
        <v>13</v>
      </c>
      <c r="U5" s="3"/>
      <c r="V5" s="3"/>
      <c r="W5" s="3"/>
      <c r="AC5">
        <v>267000</v>
      </c>
      <c r="AF5" s="3" t="s">
        <v>13</v>
      </c>
      <c r="AI5" s="3">
        <v>0</v>
      </c>
      <c r="AJ5" s="3">
        <f t="shared" ref="AJ5:AJ23" si="1">SUM(E5:AI5)</f>
        <v>267000</v>
      </c>
    </row>
    <row r="6" spans="1:37" x14ac:dyDescent="0.35">
      <c r="A6" t="s">
        <v>166</v>
      </c>
      <c r="B6" t="s">
        <v>19</v>
      </c>
      <c r="C6" s="5">
        <v>43836</v>
      </c>
      <c r="D6" s="3">
        <v>267000</v>
      </c>
      <c r="E6" t="s">
        <v>13</v>
      </c>
      <c r="F6" s="3"/>
      <c r="G6" s="3"/>
      <c r="H6" s="3"/>
      <c r="I6" s="3"/>
      <c r="J6" s="3"/>
      <c r="L6" s="3"/>
      <c r="M6" s="3"/>
      <c r="N6" s="3"/>
      <c r="O6" s="3"/>
      <c r="P6" s="3"/>
      <c r="R6" s="3"/>
      <c r="S6" s="3"/>
      <c r="T6" s="3" t="s">
        <v>13</v>
      </c>
      <c r="U6" s="3"/>
      <c r="V6" s="3"/>
      <c r="W6" s="3"/>
      <c r="AC6">
        <f>350000-AC5</f>
        <v>83000</v>
      </c>
      <c r="AD6">
        <v>184000</v>
      </c>
      <c r="AF6" t="s">
        <v>13</v>
      </c>
      <c r="AI6" s="3">
        <v>0</v>
      </c>
      <c r="AJ6" s="3">
        <f t="shared" si="1"/>
        <v>267000</v>
      </c>
    </row>
    <row r="7" spans="1:37" x14ac:dyDescent="0.35">
      <c r="A7" t="s">
        <v>174</v>
      </c>
      <c r="B7" t="s">
        <v>55</v>
      </c>
      <c r="C7" s="5">
        <v>43848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 t="s">
        <v>13</v>
      </c>
      <c r="AI7" s="3">
        <v>0</v>
      </c>
      <c r="AJ7" s="3">
        <f t="shared" si="1"/>
        <v>0</v>
      </c>
    </row>
    <row r="8" spans="1:37" x14ac:dyDescent="0.35">
      <c r="A8" t="s">
        <v>199</v>
      </c>
      <c r="B8" t="s">
        <v>63</v>
      </c>
      <c r="C8" s="5">
        <v>43865</v>
      </c>
      <c r="D8" s="3">
        <v>160200</v>
      </c>
      <c r="E8" t="s">
        <v>13</v>
      </c>
      <c r="F8" s="3"/>
      <c r="G8" s="3"/>
      <c r="H8" s="3"/>
      <c r="I8" s="3" t="s">
        <v>13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AI8" s="3">
        <v>0</v>
      </c>
      <c r="AJ8" s="3">
        <f t="shared" si="1"/>
        <v>0</v>
      </c>
    </row>
    <row r="9" spans="1:37" x14ac:dyDescent="0.35">
      <c r="A9" t="s">
        <v>203</v>
      </c>
      <c r="B9" t="s">
        <v>58</v>
      </c>
      <c r="C9" s="5">
        <v>43866</v>
      </c>
      <c r="D9" s="3">
        <v>33728</v>
      </c>
      <c r="E9" t="s">
        <v>13</v>
      </c>
      <c r="F9" s="3"/>
      <c r="G9" s="3"/>
      <c r="H9" s="3"/>
      <c r="I9" s="3"/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AI9" s="3">
        <v>0</v>
      </c>
      <c r="AJ9" s="3">
        <f t="shared" si="1"/>
        <v>0</v>
      </c>
    </row>
    <row r="10" spans="1:37" x14ac:dyDescent="0.35">
      <c r="A10" t="s">
        <v>207</v>
      </c>
      <c r="B10" t="s">
        <v>208</v>
      </c>
      <c r="C10" s="5">
        <v>43876</v>
      </c>
      <c r="D10" s="3">
        <v>160200</v>
      </c>
      <c r="E10" t="s">
        <v>13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 t="s">
        <v>13</v>
      </c>
      <c r="U10" s="3"/>
      <c r="V10" s="3"/>
      <c r="W10" s="3"/>
      <c r="AI10" s="3">
        <v>0</v>
      </c>
      <c r="AJ10" s="3">
        <f t="shared" si="1"/>
        <v>0</v>
      </c>
    </row>
    <row r="11" spans="1:37" x14ac:dyDescent="0.35">
      <c r="A11" t="s">
        <v>235</v>
      </c>
      <c r="B11" t="s">
        <v>234</v>
      </c>
      <c r="C11" s="5">
        <v>43882</v>
      </c>
      <c r="D11" s="3">
        <v>160200</v>
      </c>
      <c r="E11" t="s">
        <v>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I11" s="3">
        <v>0</v>
      </c>
      <c r="AJ11" s="3">
        <f t="shared" si="1"/>
        <v>0</v>
      </c>
    </row>
    <row r="12" spans="1:37" x14ac:dyDescent="0.35">
      <c r="A12" t="s">
        <v>242</v>
      </c>
      <c r="B12" t="s">
        <v>243</v>
      </c>
      <c r="C12" s="5">
        <v>43889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13</v>
      </c>
      <c r="U12" s="3"/>
      <c r="V12" s="3"/>
      <c r="W12" s="3"/>
      <c r="AI12" s="3">
        <v>0</v>
      </c>
      <c r="AJ12" s="3">
        <f t="shared" si="1"/>
        <v>0</v>
      </c>
    </row>
    <row r="13" spans="1:37" x14ac:dyDescent="0.35">
      <c r="A13" t="s">
        <v>244</v>
      </c>
      <c r="B13" t="s">
        <v>245</v>
      </c>
      <c r="C13" s="5">
        <v>43892</v>
      </c>
      <c r="D13" s="3">
        <f>28475.41*1.19</f>
        <v>33885.7379</v>
      </c>
      <c r="E13" t="s">
        <v>13</v>
      </c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 t="s">
        <v>13</v>
      </c>
      <c r="U13" s="3"/>
      <c r="V13" s="3"/>
      <c r="W13" s="3"/>
      <c r="AC13" t="s">
        <v>13</v>
      </c>
      <c r="AI13" s="3">
        <v>0</v>
      </c>
      <c r="AJ13" s="3">
        <f t="shared" si="1"/>
        <v>0</v>
      </c>
    </row>
    <row r="14" spans="1:37" x14ac:dyDescent="0.35">
      <c r="A14" t="s">
        <v>299</v>
      </c>
      <c r="B14" t="s">
        <v>300</v>
      </c>
      <c r="C14" s="5">
        <v>43904</v>
      </c>
      <c r="D14" s="3">
        <v>160200</v>
      </c>
      <c r="E14" t="s">
        <v>13</v>
      </c>
      <c r="F14" s="3" t="s">
        <v>13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s">
        <v>13</v>
      </c>
      <c r="U14" s="3"/>
      <c r="V14" s="3"/>
      <c r="W14" s="3"/>
      <c r="AI14" s="3">
        <v>0</v>
      </c>
      <c r="AJ14" s="3">
        <f t="shared" si="1"/>
        <v>0</v>
      </c>
      <c r="AK14" s="3" t="s">
        <v>13</v>
      </c>
    </row>
    <row r="15" spans="1:37" x14ac:dyDescent="0.35">
      <c r="A15" t="s">
        <v>345</v>
      </c>
      <c r="B15" t="s">
        <v>344</v>
      </c>
      <c r="C15" s="5" t="s">
        <v>13</v>
      </c>
      <c r="D15" s="3">
        <f>4500*60</f>
        <v>270000</v>
      </c>
      <c r="E15" t="s">
        <v>382</v>
      </c>
      <c r="F15" s="3" t="s">
        <v>13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I15" s="3">
        <v>0</v>
      </c>
      <c r="AJ15" s="3">
        <f t="shared" si="1"/>
        <v>0</v>
      </c>
      <c r="AK15" s="170" t="s">
        <v>13</v>
      </c>
    </row>
    <row r="16" spans="1:37" x14ac:dyDescent="0.35">
      <c r="A16" t="s">
        <v>459</v>
      </c>
      <c r="B16" t="s">
        <v>196</v>
      </c>
      <c r="C16" s="5">
        <v>44128</v>
      </c>
      <c r="D16" s="3">
        <v>31333</v>
      </c>
      <c r="F16" s="3"/>
      <c r="G16" s="3">
        <v>31333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AI16" s="3">
        <v>0</v>
      </c>
      <c r="AJ16" s="3">
        <f>SUM(E16:AI16)</f>
        <v>31333</v>
      </c>
      <c r="AK16" s="104"/>
    </row>
    <row r="17" spans="1:36" x14ac:dyDescent="0.35">
      <c r="A17" t="s">
        <v>466</v>
      </c>
      <c r="B17" t="s">
        <v>293</v>
      </c>
      <c r="C17" s="5">
        <v>44133</v>
      </c>
      <c r="D17" s="3">
        <v>31333</v>
      </c>
      <c r="F17" s="3"/>
      <c r="G17" s="3"/>
      <c r="H17" s="3">
        <v>31333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I17" s="3">
        <v>0</v>
      </c>
      <c r="AJ17" s="3">
        <f t="shared" si="1"/>
        <v>31333</v>
      </c>
    </row>
    <row r="18" spans="1:36" x14ac:dyDescent="0.35">
      <c r="A18" t="s">
        <v>467</v>
      </c>
      <c r="B18" t="s">
        <v>295</v>
      </c>
      <c r="C18" s="5">
        <v>44136</v>
      </c>
      <c r="D18" s="3">
        <v>62665</v>
      </c>
      <c r="F18" s="3"/>
      <c r="G18" s="3"/>
      <c r="H18" s="3">
        <v>62665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I18" s="3">
        <v>0</v>
      </c>
      <c r="AJ18" s="3">
        <f t="shared" si="1"/>
        <v>62665</v>
      </c>
    </row>
    <row r="19" spans="1:36" x14ac:dyDescent="0.35">
      <c r="A19" t="s">
        <v>468</v>
      </c>
      <c r="B19" t="s">
        <v>297</v>
      </c>
      <c r="C19" s="5">
        <v>44136</v>
      </c>
      <c r="D19" s="3">
        <v>93998</v>
      </c>
      <c r="F19" s="3"/>
      <c r="G19" s="3"/>
      <c r="H19" s="3">
        <f>156663-31333-62665</f>
        <v>62665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I19" s="3">
        <v>0</v>
      </c>
      <c r="AJ19" s="3">
        <f t="shared" si="1"/>
        <v>62665</v>
      </c>
    </row>
    <row r="20" spans="1:36" x14ac:dyDescent="0.35">
      <c r="A20" t="s">
        <v>481</v>
      </c>
      <c r="B20" t="s">
        <v>326</v>
      </c>
      <c r="C20" s="5">
        <v>44148</v>
      </c>
      <c r="D20" s="3">
        <v>125331</v>
      </c>
      <c r="E20" s="59" t="s">
        <v>13</v>
      </c>
      <c r="F20" s="3" t="s">
        <v>13</v>
      </c>
      <c r="G20" s="3"/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>
        <v>156664</v>
      </c>
      <c r="AI20" s="3">
        <v>0</v>
      </c>
      <c r="AJ20" s="3">
        <f t="shared" si="1"/>
        <v>156664</v>
      </c>
    </row>
    <row r="21" spans="1:36" x14ac:dyDescent="0.35">
      <c r="A21" t="s">
        <v>487</v>
      </c>
      <c r="B21" t="s">
        <v>488</v>
      </c>
      <c r="C21" s="5">
        <v>44155</v>
      </c>
      <c r="D21" s="3">
        <v>62665</v>
      </c>
      <c r="F21" s="3"/>
      <c r="G21" s="3"/>
      <c r="H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I21" s="3">
        <v>0</v>
      </c>
      <c r="AJ21" s="3">
        <f t="shared" si="1"/>
        <v>0</v>
      </c>
    </row>
    <row r="22" spans="1:36" x14ac:dyDescent="0.35">
      <c r="A22" t="s">
        <v>489</v>
      </c>
      <c r="B22" t="s">
        <v>333</v>
      </c>
      <c r="C22" s="5">
        <v>44155</v>
      </c>
      <c r="D22" s="3">
        <v>115199</v>
      </c>
      <c r="F22" s="3"/>
      <c r="G22" s="3"/>
      <c r="H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AI22" s="3">
        <v>0</v>
      </c>
      <c r="AJ22" s="3">
        <f t="shared" si="1"/>
        <v>0</v>
      </c>
    </row>
    <row r="23" spans="1:36" x14ac:dyDescent="0.35">
      <c r="A23" t="s">
        <v>493</v>
      </c>
      <c r="B23" t="s">
        <v>355</v>
      </c>
      <c r="C23" s="5">
        <v>44161</v>
      </c>
      <c r="D23" s="3">
        <f>26330*4*1.19</f>
        <v>125330.79999999999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AI23" s="3">
        <v>0</v>
      </c>
      <c r="AJ23" s="3">
        <f t="shared" si="1"/>
        <v>0</v>
      </c>
    </row>
    <row r="24" spans="1:36" x14ac:dyDescent="0.35">
      <c r="A24" s="2" t="s">
        <v>580</v>
      </c>
      <c r="C24" s="5"/>
      <c r="D24" s="3" t="s">
        <v>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AI24" s="3"/>
      <c r="AJ24" s="72">
        <f>SUM(AJ5:AJ23)</f>
        <v>878660</v>
      </c>
    </row>
    <row r="25" spans="1:36" x14ac:dyDescent="0.35">
      <c r="A25" t="s">
        <v>385</v>
      </c>
      <c r="C25" s="5">
        <v>43980</v>
      </c>
      <c r="D25" s="3">
        <v>10465</v>
      </c>
      <c r="F25" s="3"/>
      <c r="G25" s="3"/>
      <c r="H25" s="3"/>
      <c r="I25" s="3"/>
      <c r="J25" s="3"/>
      <c r="K25" s="3"/>
      <c r="M25" s="3"/>
      <c r="N25" s="3"/>
      <c r="O25" s="3"/>
      <c r="Q25" s="3"/>
      <c r="R25" s="3"/>
      <c r="S25" s="3"/>
      <c r="T25" s="3"/>
      <c r="U25" s="3"/>
      <c r="W25" s="3"/>
      <c r="AH25" s="3" t="s">
        <v>13</v>
      </c>
    </row>
    <row r="26" spans="1:36" x14ac:dyDescent="0.35">
      <c r="A26" t="s">
        <v>60</v>
      </c>
      <c r="D26" s="3">
        <f>250000+1950000</f>
        <v>2200000</v>
      </c>
      <c r="F26" s="3">
        <v>0</v>
      </c>
      <c r="G26" s="3">
        <v>0</v>
      </c>
      <c r="H26" s="3"/>
      <c r="I26" s="3"/>
      <c r="J26" s="3"/>
      <c r="K26" s="3" t="s">
        <v>13</v>
      </c>
      <c r="M26" s="3"/>
      <c r="N26" s="3"/>
      <c r="O26" s="3">
        <v>250000</v>
      </c>
      <c r="P26" s="3"/>
      <c r="Q26" s="3"/>
      <c r="R26" s="3">
        <v>1950000</v>
      </c>
      <c r="S26" s="3"/>
      <c r="T26" s="3"/>
      <c r="U26" s="3"/>
      <c r="V26" s="3"/>
      <c r="W26" s="3"/>
    </row>
    <row r="27" spans="1:36" x14ac:dyDescent="0.35">
      <c r="A27" t="s">
        <v>1</v>
      </c>
      <c r="F27" s="3"/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6" x14ac:dyDescent="0.35">
      <c r="A28" t="s">
        <v>478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v>16666</v>
      </c>
      <c r="S28" s="3"/>
      <c r="T28" s="3"/>
      <c r="U28" s="3"/>
      <c r="V28" s="3"/>
      <c r="W28" s="3"/>
    </row>
    <row r="29" spans="1:36" x14ac:dyDescent="0.35">
      <c r="A29" t="s">
        <v>204</v>
      </c>
      <c r="D29" s="3">
        <v>2001574</v>
      </c>
      <c r="F29" s="3"/>
      <c r="G29" s="3"/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AI29" s="3" t="s">
        <v>13</v>
      </c>
    </row>
    <row r="30" spans="1:36" x14ac:dyDescent="0.35"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6" x14ac:dyDescent="0.35"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6" x14ac:dyDescent="0.35">
      <c r="A32" s="2" t="s">
        <v>6</v>
      </c>
      <c r="F32" s="3">
        <f t="shared" ref="F32:AI32" si="2">SUM(F5:F31)</f>
        <v>0</v>
      </c>
      <c r="G32" s="3">
        <f t="shared" si="2"/>
        <v>31333</v>
      </c>
      <c r="H32" s="3">
        <f t="shared" si="2"/>
        <v>156663</v>
      </c>
      <c r="I32" s="3">
        <f t="shared" si="2"/>
        <v>0</v>
      </c>
      <c r="J32" s="3">
        <f t="shared" si="2"/>
        <v>0</v>
      </c>
      <c r="K32" s="3">
        <f t="shared" si="2"/>
        <v>0</v>
      </c>
      <c r="L32" s="3">
        <f t="shared" si="2"/>
        <v>0</v>
      </c>
      <c r="M32" s="3">
        <f t="shared" si="2"/>
        <v>0</v>
      </c>
      <c r="N32" s="3">
        <f t="shared" si="2"/>
        <v>0</v>
      </c>
      <c r="O32" s="3">
        <f t="shared" si="2"/>
        <v>250000</v>
      </c>
      <c r="P32" s="3">
        <f t="shared" si="2"/>
        <v>0</v>
      </c>
      <c r="Q32" s="3">
        <f t="shared" si="2"/>
        <v>0</v>
      </c>
      <c r="R32" s="3">
        <f t="shared" si="2"/>
        <v>1966666</v>
      </c>
      <c r="S32" s="3">
        <f t="shared" si="2"/>
        <v>0</v>
      </c>
      <c r="T32" s="3">
        <f t="shared" si="2"/>
        <v>0</v>
      </c>
      <c r="U32" s="3">
        <f t="shared" si="2"/>
        <v>0</v>
      </c>
      <c r="V32" s="3">
        <f t="shared" si="2"/>
        <v>0</v>
      </c>
      <c r="W32" s="3">
        <f t="shared" si="2"/>
        <v>156664</v>
      </c>
      <c r="X32" s="3">
        <f t="shared" si="2"/>
        <v>0</v>
      </c>
      <c r="Y32" s="3">
        <f t="shared" si="2"/>
        <v>0</v>
      </c>
      <c r="Z32" s="3">
        <f t="shared" si="2"/>
        <v>0</v>
      </c>
      <c r="AA32" s="3">
        <f t="shared" si="2"/>
        <v>0</v>
      </c>
      <c r="AB32" s="3">
        <f t="shared" si="2"/>
        <v>0</v>
      </c>
      <c r="AC32" s="3">
        <f t="shared" si="2"/>
        <v>350000</v>
      </c>
      <c r="AD32" s="3">
        <f t="shared" si="2"/>
        <v>184000</v>
      </c>
      <c r="AE32" s="3">
        <f t="shared" si="2"/>
        <v>0</v>
      </c>
      <c r="AF32" s="3">
        <f t="shared" si="2"/>
        <v>0</v>
      </c>
      <c r="AG32" s="3">
        <f t="shared" si="2"/>
        <v>0</v>
      </c>
      <c r="AH32" s="3">
        <f t="shared" si="2"/>
        <v>0</v>
      </c>
      <c r="AI32" s="3">
        <f t="shared" si="2"/>
        <v>0</v>
      </c>
    </row>
    <row r="33" spans="1:37" x14ac:dyDescent="0.35">
      <c r="A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37" x14ac:dyDescent="0.35">
      <c r="A34" s="2" t="s">
        <v>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37" x14ac:dyDescent="0.35">
      <c r="A35" s="4" t="s">
        <v>499</v>
      </c>
      <c r="B35" s="24" t="s">
        <v>477</v>
      </c>
      <c r="C35" s="67" t="s">
        <v>13</v>
      </c>
      <c r="D35" s="3">
        <v>500000</v>
      </c>
      <c r="F35" s="3"/>
      <c r="G35" s="3"/>
      <c r="H35" s="3"/>
      <c r="I35" s="3"/>
      <c r="K35" s="3" t="s">
        <v>13</v>
      </c>
      <c r="L35" s="3"/>
      <c r="M35" s="3"/>
      <c r="P35" s="3"/>
      <c r="Q35" s="3"/>
      <c r="R35" s="3"/>
      <c r="S35" s="3"/>
      <c r="T35" s="3"/>
      <c r="U35" s="3">
        <v>500000</v>
      </c>
      <c r="V35" s="3"/>
      <c r="W35" s="3"/>
      <c r="X35" t="s">
        <v>13</v>
      </c>
      <c r="AI35" s="3">
        <v>0</v>
      </c>
    </row>
    <row r="36" spans="1:37" x14ac:dyDescent="0.35">
      <c r="A36" s="4" t="s">
        <v>408</v>
      </c>
      <c r="B36" s="24" t="s">
        <v>337</v>
      </c>
      <c r="C36" s="67" t="s">
        <v>13</v>
      </c>
      <c r="D36" s="3">
        <v>500000</v>
      </c>
      <c r="F36" s="3"/>
      <c r="G36" s="3"/>
      <c r="H36" s="3"/>
      <c r="I36" s="3"/>
      <c r="K36" s="3"/>
      <c r="L36" s="3"/>
      <c r="M36" s="3"/>
      <c r="P36" s="3"/>
      <c r="Q36" s="3"/>
      <c r="R36" s="3"/>
      <c r="S36" s="3"/>
      <c r="T36" s="3"/>
      <c r="U36" s="3"/>
      <c r="V36" s="3"/>
      <c r="W36" s="3"/>
      <c r="AI36" s="3">
        <v>0</v>
      </c>
    </row>
    <row r="37" spans="1:37" x14ac:dyDescent="0.35">
      <c r="A37" s="4" t="s">
        <v>409</v>
      </c>
      <c r="B37" s="24" t="s">
        <v>337</v>
      </c>
      <c r="C37" s="67"/>
      <c r="D37" s="3">
        <f>500000/2</f>
        <v>250000</v>
      </c>
      <c r="F37" s="3"/>
      <c r="G37" s="3"/>
      <c r="H37" s="3"/>
      <c r="I37" s="3"/>
      <c r="K37" s="3"/>
      <c r="L37" s="3"/>
      <c r="M37" s="3"/>
      <c r="P37" s="3"/>
      <c r="Q37" s="3"/>
      <c r="R37" s="3"/>
      <c r="S37" s="3"/>
      <c r="T37" s="3"/>
      <c r="U37" s="3"/>
      <c r="V37" s="3"/>
      <c r="W37" s="3"/>
      <c r="AI37" s="3">
        <v>0</v>
      </c>
    </row>
    <row r="38" spans="1:37" x14ac:dyDescent="0.35">
      <c r="A38" s="4" t="s">
        <v>410</v>
      </c>
      <c r="B38" s="24" t="s">
        <v>337</v>
      </c>
      <c r="C38" s="67"/>
      <c r="D38" s="3">
        <f>500000/2</f>
        <v>250000</v>
      </c>
      <c r="F38" s="3"/>
      <c r="G38" s="3"/>
      <c r="H38" s="3"/>
      <c r="I38" s="3"/>
      <c r="J38" t="s">
        <v>13</v>
      </c>
      <c r="K38" s="3"/>
      <c r="L38" s="3"/>
      <c r="M38" s="3"/>
      <c r="P38" s="3"/>
      <c r="Q38" s="3"/>
      <c r="R38" s="3"/>
      <c r="S38" s="3"/>
      <c r="T38" s="3"/>
      <c r="U38" s="3"/>
      <c r="V38" s="3"/>
      <c r="W38" s="3"/>
      <c r="AI38" s="3">
        <v>0</v>
      </c>
    </row>
    <row r="39" spans="1:37" x14ac:dyDescent="0.35">
      <c r="A39" s="4" t="s">
        <v>411</v>
      </c>
      <c r="B39" s="24" t="s">
        <v>337</v>
      </c>
      <c r="C39" s="67"/>
      <c r="D39" s="3">
        <f>500000/2</f>
        <v>250000</v>
      </c>
      <c r="F39" s="3"/>
      <c r="G39" s="3"/>
      <c r="H39" s="3"/>
      <c r="I39" s="3"/>
      <c r="K39" s="3"/>
      <c r="L39" s="3"/>
      <c r="M39" s="3"/>
      <c r="P39" s="3"/>
      <c r="Q39" s="3"/>
      <c r="R39" s="3"/>
      <c r="S39" s="3"/>
      <c r="T39" s="3"/>
      <c r="U39" s="3"/>
      <c r="V39" s="3"/>
      <c r="W39" s="3"/>
      <c r="AI39" s="3">
        <v>0</v>
      </c>
    </row>
    <row r="40" spans="1:37" x14ac:dyDescent="0.35">
      <c r="A40" s="4" t="s">
        <v>492</v>
      </c>
      <c r="B40" s="24" t="s">
        <v>337</v>
      </c>
      <c r="C40" s="67"/>
      <c r="D40" s="3">
        <v>250000</v>
      </c>
      <c r="F40" s="3"/>
      <c r="G40" s="3"/>
      <c r="H40" s="3"/>
      <c r="I40" s="3"/>
      <c r="K40" s="3"/>
      <c r="L40" s="3"/>
      <c r="M40" s="3"/>
      <c r="P40" s="3"/>
      <c r="Q40" s="3"/>
      <c r="R40" s="3"/>
      <c r="S40" s="3"/>
      <c r="T40" s="3"/>
      <c r="U40" s="3"/>
      <c r="V40" s="3"/>
      <c r="W40" s="3"/>
      <c r="AI40" s="3">
        <v>0</v>
      </c>
    </row>
    <row r="41" spans="1:37" x14ac:dyDescent="0.35">
      <c r="A41" s="4" t="s">
        <v>494</v>
      </c>
      <c r="B41" s="24" t="s">
        <v>337</v>
      </c>
      <c r="C41" s="67"/>
      <c r="D41" s="3">
        <v>500000</v>
      </c>
      <c r="F41" s="3"/>
      <c r="G41" s="3"/>
      <c r="H41" s="3"/>
      <c r="I41" s="3"/>
      <c r="K41" s="3"/>
      <c r="L41" s="3"/>
      <c r="M41" s="3"/>
      <c r="P41" s="3"/>
      <c r="Q41" s="3"/>
      <c r="R41" s="3"/>
      <c r="S41" s="3"/>
      <c r="T41" s="3"/>
      <c r="U41" s="3"/>
      <c r="V41" s="3"/>
      <c r="W41" s="3"/>
      <c r="AI41" s="3">
        <v>0</v>
      </c>
    </row>
    <row r="42" spans="1:37" x14ac:dyDescent="0.35">
      <c r="A42" s="4" t="s">
        <v>495</v>
      </c>
      <c r="B42" s="24" t="s">
        <v>337</v>
      </c>
      <c r="C42" s="67"/>
      <c r="D42" s="3">
        <v>500000</v>
      </c>
      <c r="F42" s="3"/>
      <c r="G42" s="3"/>
      <c r="H42" s="3"/>
      <c r="I42" s="3"/>
      <c r="K42" s="3"/>
      <c r="L42" s="3"/>
      <c r="M42" s="3"/>
      <c r="P42" s="3"/>
      <c r="Q42" s="3"/>
      <c r="R42" s="3"/>
      <c r="S42" s="3"/>
      <c r="T42" s="3"/>
      <c r="U42" s="3"/>
      <c r="V42" s="3"/>
      <c r="W42" s="3"/>
      <c r="AI42" s="3">
        <v>0</v>
      </c>
    </row>
    <row r="43" spans="1:37" x14ac:dyDescent="0.35">
      <c r="A43" t="s">
        <v>241</v>
      </c>
      <c r="B43" t="s">
        <v>337</v>
      </c>
      <c r="C43" s="5" t="s">
        <v>13</v>
      </c>
      <c r="D43" s="3">
        <f>+AI43</f>
        <v>0</v>
      </c>
      <c r="F43" s="3"/>
      <c r="G43" s="3"/>
      <c r="H43" s="3"/>
      <c r="I43" s="3"/>
      <c r="J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W43" s="3"/>
      <c r="AI43" s="3">
        <v>0</v>
      </c>
      <c r="AK43" t="s">
        <v>13</v>
      </c>
    </row>
    <row r="44" spans="1:37" x14ac:dyDescent="0.35">
      <c r="A44" s="4" t="s">
        <v>240</v>
      </c>
      <c r="B44" s="68" t="s">
        <v>239</v>
      </c>
      <c r="C44" s="67">
        <v>43892</v>
      </c>
      <c r="D44" s="3">
        <f>45500*1.19</f>
        <v>54145</v>
      </c>
      <c r="E44" t="s">
        <v>401</v>
      </c>
      <c r="F44" s="3"/>
      <c r="G44" s="3"/>
      <c r="H44" s="3"/>
      <c r="I44" s="3"/>
      <c r="J44" s="3"/>
      <c r="K44" s="3"/>
      <c r="L44" s="3"/>
      <c r="M44" s="3"/>
      <c r="N44" s="3"/>
      <c r="O44" s="3" t="s">
        <v>13</v>
      </c>
      <c r="P44" s="3"/>
      <c r="Q44" s="3"/>
      <c r="R44" s="3"/>
      <c r="S44" s="3"/>
      <c r="T44" s="3"/>
      <c r="U44" s="3">
        <v>30000</v>
      </c>
      <c r="V44" s="3"/>
      <c r="W44" s="3"/>
      <c r="AI44" s="3" t="s">
        <v>13</v>
      </c>
    </row>
    <row r="45" spans="1:37" x14ac:dyDescent="0.35">
      <c r="A45" s="4" t="s">
        <v>460</v>
      </c>
      <c r="C45" s="67">
        <v>44134</v>
      </c>
      <c r="D45" s="3">
        <f>(23.8+36.4+3.5+15.4)*810/9+2287*2+1351+585</f>
        <v>13629</v>
      </c>
      <c r="E45" t="s">
        <v>401</v>
      </c>
      <c r="F45" s="3"/>
      <c r="G45" s="3"/>
      <c r="H45" s="3"/>
      <c r="I45" s="3">
        <f>(23.8+36.4+3.5+15.4)*810/9+2287*2+1351+585</f>
        <v>13629</v>
      </c>
      <c r="J45" s="3"/>
      <c r="K45" s="3"/>
      <c r="L45" s="3"/>
      <c r="M45" s="3"/>
      <c r="N45" s="3"/>
      <c r="O45" s="3"/>
      <c r="P45" s="3"/>
      <c r="Q45" s="3"/>
      <c r="R45" s="3"/>
      <c r="T45" s="3"/>
      <c r="U45" s="3"/>
      <c r="V45" s="3"/>
      <c r="W45" s="3"/>
      <c r="AB45" s="3"/>
    </row>
    <row r="46" spans="1:37" x14ac:dyDescent="0.35">
      <c r="A46" s="4" t="s">
        <v>464</v>
      </c>
      <c r="B46" t="s">
        <v>463</v>
      </c>
      <c r="C46" s="67">
        <v>44134</v>
      </c>
      <c r="D46" s="3">
        <v>19111</v>
      </c>
      <c r="E46" t="s">
        <v>401</v>
      </c>
      <c r="F46" s="3"/>
      <c r="G46" s="3"/>
      <c r="H46" s="3"/>
      <c r="I46" s="3"/>
      <c r="J46" s="3" t="s">
        <v>13</v>
      </c>
      <c r="K46" s="3">
        <v>19111</v>
      </c>
      <c r="L46" s="3"/>
      <c r="M46" s="3"/>
      <c r="N46" s="3"/>
      <c r="O46" s="3"/>
      <c r="P46" s="3"/>
      <c r="Q46" s="3"/>
      <c r="R46" s="3"/>
      <c r="T46" s="3"/>
      <c r="U46" s="3"/>
      <c r="V46" s="3"/>
      <c r="W46" s="3"/>
      <c r="AB46" s="3"/>
    </row>
    <row r="47" spans="1:37" x14ac:dyDescent="0.35">
      <c r="A47" s="4" t="s">
        <v>469</v>
      </c>
      <c r="B47" t="s">
        <v>465</v>
      </c>
      <c r="C47" s="5">
        <v>44137</v>
      </c>
      <c r="D47" s="3">
        <v>71400</v>
      </c>
      <c r="E47" t="s">
        <v>401</v>
      </c>
      <c r="F47" s="3"/>
      <c r="G47" s="3"/>
      <c r="H47" s="3"/>
      <c r="I47" s="3"/>
      <c r="J47" s="3"/>
      <c r="K47" s="3">
        <v>71400</v>
      </c>
      <c r="L47" s="3"/>
      <c r="M47" s="3"/>
      <c r="N47" s="3"/>
      <c r="O47" s="3"/>
      <c r="P47" s="3"/>
      <c r="Q47" s="3"/>
      <c r="R47" s="3"/>
      <c r="T47" s="3"/>
      <c r="U47" s="3"/>
      <c r="V47" s="3"/>
      <c r="W47" s="3"/>
      <c r="AB47" s="3"/>
    </row>
    <row r="48" spans="1:37" x14ac:dyDescent="0.35">
      <c r="A48" s="4" t="s">
        <v>470</v>
      </c>
      <c r="B48" t="s">
        <v>471</v>
      </c>
      <c r="C48" s="67">
        <v>44143</v>
      </c>
      <c r="D48" s="3">
        <f>19798+3789+142</f>
        <v>23729</v>
      </c>
      <c r="F48" s="3"/>
      <c r="G48" s="3"/>
      <c r="H48" s="3"/>
      <c r="I48" s="3"/>
      <c r="J48" s="3"/>
      <c r="K48" s="3"/>
      <c r="L48" s="3"/>
      <c r="N48" s="3"/>
      <c r="O48" s="3"/>
      <c r="P48" s="3" t="s">
        <v>13</v>
      </c>
      <c r="Q48" s="3"/>
      <c r="R48" s="3">
        <f>19798+3789+142</f>
        <v>23729</v>
      </c>
      <c r="T48" s="3"/>
      <c r="U48" s="3"/>
      <c r="V48" s="3"/>
      <c r="W48" s="3"/>
      <c r="AB48" s="3"/>
    </row>
    <row r="49" spans="1:33" x14ac:dyDescent="0.35">
      <c r="A49" s="4" t="s">
        <v>473</v>
      </c>
      <c r="B49" t="s">
        <v>472</v>
      </c>
      <c r="C49" s="67">
        <v>44142</v>
      </c>
      <c r="D49" s="3">
        <f>46548*1.19</f>
        <v>55392.119999999995</v>
      </c>
      <c r="F49" s="3"/>
      <c r="G49" s="3"/>
      <c r="H49" s="3"/>
      <c r="I49" s="3"/>
      <c r="J49" s="3"/>
      <c r="K49" s="3"/>
      <c r="M49" s="3"/>
      <c r="N49" s="3"/>
      <c r="O49" s="3"/>
      <c r="P49" s="3"/>
      <c r="Q49" s="3"/>
      <c r="R49" s="3">
        <f>46548*1.19</f>
        <v>55392.119999999995</v>
      </c>
      <c r="T49" s="3"/>
      <c r="U49" s="3"/>
      <c r="V49" s="3"/>
      <c r="W49" s="3"/>
      <c r="AB49" s="3"/>
    </row>
    <row r="50" spans="1:33" x14ac:dyDescent="0.35">
      <c r="A50" s="4" t="s">
        <v>474</v>
      </c>
      <c r="C50" s="67">
        <v>44147</v>
      </c>
      <c r="D50" s="3">
        <f>2615+1313+389+788+407+560+644+377+337+614+285+1237+3800+2700*2+283*480/12</f>
        <v>30086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f>2615+1313+389+788+407+560+644+377+337+614+285+1237+3800+2700*2+283*480/12</f>
        <v>30086</v>
      </c>
      <c r="T50" s="3"/>
      <c r="U50" s="3"/>
      <c r="V50" s="3"/>
      <c r="W50" s="3"/>
      <c r="AB50" s="3"/>
    </row>
    <row r="51" spans="1:33" x14ac:dyDescent="0.35">
      <c r="A51" s="169" t="s">
        <v>475</v>
      </c>
      <c r="B51">
        <v>7052893</v>
      </c>
      <c r="C51" s="5">
        <v>44144</v>
      </c>
      <c r="D51" s="3">
        <v>137</v>
      </c>
      <c r="F51" s="3"/>
      <c r="G51" s="3"/>
      <c r="H51" s="3"/>
      <c r="I51" s="3"/>
      <c r="J51" s="3"/>
      <c r="K51" s="3"/>
      <c r="L51" s="3"/>
      <c r="M51" s="3"/>
      <c r="N51" s="3">
        <v>137</v>
      </c>
      <c r="O51" s="3"/>
      <c r="P51" s="3"/>
      <c r="Q51" s="3"/>
      <c r="R51" s="3"/>
      <c r="T51" s="3"/>
      <c r="U51" s="3"/>
      <c r="V51" s="3"/>
      <c r="W51" s="3"/>
      <c r="AB51" s="3"/>
    </row>
    <row r="52" spans="1:33" x14ac:dyDescent="0.35">
      <c r="A52" s="4" t="s">
        <v>476</v>
      </c>
      <c r="C52" s="67">
        <v>44148</v>
      </c>
      <c r="D52" s="3">
        <f>(15.4+5.7+14.6)*810/9</f>
        <v>3213.0000000000005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T52" s="3"/>
      <c r="U52" s="3">
        <f>(15.4+5.7+14.6)*810/9</f>
        <v>3213.0000000000005</v>
      </c>
      <c r="V52" s="3"/>
      <c r="W52" s="3"/>
      <c r="AB52" s="3"/>
    </row>
    <row r="53" spans="1:33" x14ac:dyDescent="0.35">
      <c r="A53" s="4" t="s">
        <v>479</v>
      </c>
      <c r="B53" t="s">
        <v>480</v>
      </c>
      <c r="C53" s="67">
        <v>44148</v>
      </c>
      <c r="D53" s="3">
        <f>3200*10*1.19</f>
        <v>38080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>
        <f>3200*10*1.19</f>
        <v>38080</v>
      </c>
    </row>
    <row r="54" spans="1:33" x14ac:dyDescent="0.35">
      <c r="A54" s="4" t="s">
        <v>497</v>
      </c>
      <c r="B54" t="s">
        <v>498</v>
      </c>
      <c r="C54" s="67">
        <v>44152</v>
      </c>
      <c r="D54" s="3">
        <f>1647*1.19</f>
        <v>1959.9299999999998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AG54">
        <v>1960</v>
      </c>
    </row>
    <row r="55" spans="1:33" x14ac:dyDescent="0.35">
      <c r="A55" s="4" t="s">
        <v>482</v>
      </c>
      <c r="B55" t="s">
        <v>483</v>
      </c>
      <c r="C55" s="67">
        <v>44153</v>
      </c>
      <c r="D55" s="3">
        <f>112020*1.19</f>
        <v>133303.79999999999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>
        <f>112020*1.19</f>
        <v>133303.79999999999</v>
      </c>
    </row>
    <row r="56" spans="1:33" x14ac:dyDescent="0.35">
      <c r="A56" s="4" t="s">
        <v>484</v>
      </c>
      <c r="C56" s="67">
        <v>44153</v>
      </c>
      <c r="D56" s="3">
        <f>(23.4*2)*810/9</f>
        <v>4212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>
        <f>(23.4*2)*810/9</f>
        <v>4212</v>
      </c>
    </row>
    <row r="57" spans="1:33" x14ac:dyDescent="0.35">
      <c r="A57" s="4" t="s">
        <v>484</v>
      </c>
      <c r="C57" s="67">
        <v>44154</v>
      </c>
      <c r="D57" s="3">
        <f>(23.4*2)*810/9</f>
        <v>4212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>
        <f>(23.4*2)*810/9</f>
        <v>4212</v>
      </c>
    </row>
    <row r="58" spans="1:33" x14ac:dyDescent="0.35">
      <c r="A58" s="4" t="s">
        <v>485</v>
      </c>
      <c r="B58" t="s">
        <v>539</v>
      </c>
      <c r="C58" s="67">
        <v>44155</v>
      </c>
      <c r="D58" s="3">
        <f>38366*1.19</f>
        <v>45655.54</v>
      </c>
      <c r="E58" t="s">
        <v>401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>
        <v>45656</v>
      </c>
    </row>
    <row r="59" spans="1:33" x14ac:dyDescent="0.35">
      <c r="A59" s="4" t="s">
        <v>486</v>
      </c>
      <c r="C59" s="67">
        <v>44155</v>
      </c>
      <c r="D59" s="3">
        <v>7094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>
        <v>7094</v>
      </c>
    </row>
    <row r="60" spans="1:33" x14ac:dyDescent="0.35">
      <c r="A60" s="4" t="s">
        <v>490</v>
      </c>
      <c r="B60" t="s">
        <v>491</v>
      </c>
      <c r="C60" s="67">
        <v>44159</v>
      </c>
      <c r="D60" s="3">
        <v>174011</v>
      </c>
      <c r="E60" t="s">
        <v>13</v>
      </c>
      <c r="F60" s="341" t="s">
        <v>13</v>
      </c>
      <c r="G60" s="236" t="s">
        <v>13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B60" s="3">
        <v>174011</v>
      </c>
    </row>
    <row r="61" spans="1:33" x14ac:dyDescent="0.35">
      <c r="A61" s="4" t="s">
        <v>496</v>
      </c>
      <c r="C61" s="67">
        <v>44160</v>
      </c>
      <c r="D61" s="3">
        <f>+((14.1+23.4)*2)*810/9</f>
        <v>6750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B61" s="3"/>
      <c r="AG61">
        <v>6750</v>
      </c>
    </row>
    <row r="62" spans="1:33" x14ac:dyDescent="0.35">
      <c r="A62" s="4" t="s">
        <v>484</v>
      </c>
      <c r="C62" s="67">
        <v>44161</v>
      </c>
      <c r="D62" s="3">
        <f>(23.4*2)*810/9</f>
        <v>4212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B62" s="3"/>
      <c r="AG62">
        <v>4212</v>
      </c>
    </row>
    <row r="63" spans="1:33" x14ac:dyDescent="0.35">
      <c r="A63" s="4" t="s">
        <v>13</v>
      </c>
      <c r="B63" t="s">
        <v>13</v>
      </c>
      <c r="C63" s="67" t="s">
        <v>13</v>
      </c>
      <c r="D63" s="3" t="s">
        <v>13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B63" s="3"/>
    </row>
    <row r="64" spans="1:33" x14ac:dyDescent="0.35">
      <c r="A64" s="4"/>
      <c r="C64" s="67"/>
      <c r="D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</row>
    <row r="65" spans="1:35" x14ac:dyDescent="0.35">
      <c r="A65" s="2" t="s">
        <v>9</v>
      </c>
      <c r="F65" s="3">
        <f>SUM(F35:F64)</f>
        <v>0</v>
      </c>
      <c r="G65" s="3">
        <f t="shared" ref="G65:AI65" si="3">SUM(G35:G64)</f>
        <v>0</v>
      </c>
      <c r="H65" s="3">
        <f t="shared" si="3"/>
        <v>0</v>
      </c>
      <c r="I65" s="3">
        <f t="shared" si="3"/>
        <v>13629</v>
      </c>
      <c r="J65" s="3">
        <f t="shared" si="3"/>
        <v>0</v>
      </c>
      <c r="K65" s="3">
        <f t="shared" si="3"/>
        <v>90511</v>
      </c>
      <c r="L65" s="3">
        <f t="shared" si="3"/>
        <v>0</v>
      </c>
      <c r="M65" s="3">
        <f t="shared" si="3"/>
        <v>0</v>
      </c>
      <c r="N65" s="3">
        <f t="shared" si="3"/>
        <v>137</v>
      </c>
      <c r="O65" s="3">
        <f t="shared" si="3"/>
        <v>0</v>
      </c>
      <c r="P65" s="3">
        <f t="shared" si="3"/>
        <v>0</v>
      </c>
      <c r="Q65" s="3">
        <f t="shared" si="3"/>
        <v>0</v>
      </c>
      <c r="R65" s="3">
        <f t="shared" si="3"/>
        <v>109207.12</v>
      </c>
      <c r="S65" s="3">
        <f t="shared" si="3"/>
        <v>0</v>
      </c>
      <c r="T65" s="3">
        <f t="shared" si="3"/>
        <v>0</v>
      </c>
      <c r="U65" s="3">
        <f t="shared" si="3"/>
        <v>533213</v>
      </c>
      <c r="V65" s="3">
        <f t="shared" si="3"/>
        <v>0</v>
      </c>
      <c r="W65" s="3">
        <f t="shared" si="3"/>
        <v>0</v>
      </c>
      <c r="X65" s="3">
        <f t="shared" si="3"/>
        <v>0</v>
      </c>
      <c r="Y65" s="3">
        <f t="shared" si="3"/>
        <v>232557.8</v>
      </c>
      <c r="Z65" s="3">
        <f t="shared" si="3"/>
        <v>0</v>
      </c>
      <c r="AA65" s="3">
        <f t="shared" si="3"/>
        <v>0</v>
      </c>
      <c r="AB65" s="3">
        <f t="shared" si="3"/>
        <v>174011</v>
      </c>
      <c r="AC65" s="3">
        <f t="shared" si="3"/>
        <v>0</v>
      </c>
      <c r="AD65" s="3">
        <f t="shared" si="3"/>
        <v>0</v>
      </c>
      <c r="AE65" s="3">
        <f t="shared" si="3"/>
        <v>0</v>
      </c>
      <c r="AF65" s="3">
        <f t="shared" si="3"/>
        <v>0</v>
      </c>
      <c r="AG65" s="3">
        <f t="shared" si="3"/>
        <v>12922</v>
      </c>
      <c r="AH65" s="3">
        <f t="shared" si="3"/>
        <v>0</v>
      </c>
      <c r="AI65" s="3">
        <f t="shared" si="3"/>
        <v>0</v>
      </c>
    </row>
    <row r="66" spans="1:35" x14ac:dyDescent="0.35">
      <c r="A66" t="s">
        <v>8</v>
      </c>
      <c r="F66" s="3">
        <f>+F32+F3-F65</f>
        <v>164750.04366946808</v>
      </c>
      <c r="G66" s="3">
        <f t="shared" ref="G66:AI66" si="4">+G3+G32-G65</f>
        <v>196083.04366946808</v>
      </c>
      <c r="H66" s="3">
        <f t="shared" si="4"/>
        <v>352746.04366946808</v>
      </c>
      <c r="I66" s="3">
        <f t="shared" si="4"/>
        <v>339117.04366946808</v>
      </c>
      <c r="J66" s="3">
        <f t="shared" si="4"/>
        <v>339117.04366946808</v>
      </c>
      <c r="K66" s="3">
        <f t="shared" si="4"/>
        <v>248606.04366946808</v>
      </c>
      <c r="L66" s="3">
        <f t="shared" si="4"/>
        <v>248606.04366946808</v>
      </c>
      <c r="M66" s="3">
        <f t="shared" si="4"/>
        <v>248606.04366946808</v>
      </c>
      <c r="N66" s="3">
        <f t="shared" si="4"/>
        <v>248469.04366946808</v>
      </c>
      <c r="O66" s="3">
        <f t="shared" si="4"/>
        <v>498469.04366946808</v>
      </c>
      <c r="P66" s="3">
        <f t="shared" si="4"/>
        <v>498469.04366946808</v>
      </c>
      <c r="Q66" s="3">
        <f t="shared" si="4"/>
        <v>498469.04366946808</v>
      </c>
      <c r="R66" s="3">
        <f t="shared" si="4"/>
        <v>2355927.9236694681</v>
      </c>
      <c r="S66" s="3">
        <f t="shared" si="4"/>
        <v>2355927.9236694681</v>
      </c>
      <c r="T66" s="3">
        <f t="shared" si="4"/>
        <v>2355927.9236694681</v>
      </c>
      <c r="U66" s="3">
        <f t="shared" si="4"/>
        <v>1822714.9236694681</v>
      </c>
      <c r="V66" s="3">
        <f t="shared" si="4"/>
        <v>1822714.9236694681</v>
      </c>
      <c r="W66" s="3">
        <f t="shared" si="4"/>
        <v>1979378.9236694681</v>
      </c>
      <c r="X66" s="3">
        <f t="shared" si="4"/>
        <v>1979378.9236694681</v>
      </c>
      <c r="Y66" s="3">
        <f t="shared" si="4"/>
        <v>1746821.1236694681</v>
      </c>
      <c r="Z66" s="3">
        <f t="shared" si="4"/>
        <v>1746821.1236694681</v>
      </c>
      <c r="AA66" s="3">
        <f t="shared" si="4"/>
        <v>1746821.1236694681</v>
      </c>
      <c r="AB66" s="3">
        <f t="shared" si="4"/>
        <v>1572810.1236694681</v>
      </c>
      <c r="AC66" s="3">
        <f t="shared" si="4"/>
        <v>1922810.1236694681</v>
      </c>
      <c r="AD66" s="3">
        <f t="shared" si="4"/>
        <v>2106810.1236694679</v>
      </c>
      <c r="AE66" s="3">
        <f t="shared" si="4"/>
        <v>2106810.1236694679</v>
      </c>
      <c r="AF66" s="3">
        <f t="shared" si="4"/>
        <v>2106810.1236694679</v>
      </c>
      <c r="AG66" s="3">
        <f t="shared" si="4"/>
        <v>2093888.1236694679</v>
      </c>
      <c r="AH66" s="3">
        <f t="shared" si="4"/>
        <v>2093888.1236694679</v>
      </c>
      <c r="AI66" s="3">
        <f t="shared" si="4"/>
        <v>2093888.1236694679</v>
      </c>
    </row>
    <row r="67" spans="1:35" x14ac:dyDescent="0.35">
      <c r="F67" s="3"/>
      <c r="G67" s="3"/>
      <c r="H67" s="3"/>
      <c r="I67" s="3" t="s">
        <v>13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 t="s">
        <v>13</v>
      </c>
      <c r="U67" s="3"/>
      <c r="V67" s="3"/>
      <c r="W67" s="3"/>
      <c r="Y67" s="3" t="s">
        <v>13</v>
      </c>
      <c r="AA67" s="3" t="s">
        <v>13</v>
      </c>
      <c r="AB67" s="3" t="s">
        <v>13</v>
      </c>
    </row>
    <row r="68" spans="1:35" x14ac:dyDescent="0.35"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 t="s">
        <v>13</v>
      </c>
      <c r="R68" s="3"/>
      <c r="S68" s="3"/>
      <c r="T68" s="3"/>
      <c r="U68" s="3" t="s">
        <v>13</v>
      </c>
      <c r="V68" s="3"/>
      <c r="W68" s="3"/>
      <c r="AB68" s="3" t="s">
        <v>13</v>
      </c>
    </row>
    <row r="69" spans="1:35" x14ac:dyDescent="0.35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 t="s">
        <v>13</v>
      </c>
      <c r="U69" s="3"/>
      <c r="V69" s="3"/>
      <c r="W69" s="3"/>
      <c r="AB69" s="3" t="s">
        <v>13</v>
      </c>
    </row>
    <row r="70" spans="1:35" x14ac:dyDescent="0.35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>
        <f>500000-360070</f>
        <v>139930</v>
      </c>
      <c r="AB70" s="3" t="s">
        <v>13</v>
      </c>
    </row>
    <row r="71" spans="1:35" x14ac:dyDescent="0.35"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AB71" s="3" t="s">
        <v>13</v>
      </c>
    </row>
    <row r="72" spans="1:35" x14ac:dyDescent="0.35"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AB72" s="3" t="s">
        <v>13</v>
      </c>
    </row>
    <row r="73" spans="1:35" x14ac:dyDescent="0.35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AB73" s="3" t="s">
        <v>13</v>
      </c>
    </row>
    <row r="74" spans="1:35" x14ac:dyDescent="0.35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AB74" s="3" t="s">
        <v>98</v>
      </c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K70"/>
  <sheetViews>
    <sheetView topLeftCell="A34" workbookViewId="0">
      <selection activeCell="A58" sqref="A58"/>
    </sheetView>
  </sheetViews>
  <sheetFormatPr baseColWidth="10" defaultColWidth="11.08984375" defaultRowHeight="14.5" x14ac:dyDescent="0.35"/>
  <cols>
    <col min="1" max="1" width="42.72656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4" width="12.81640625" customWidth="1"/>
    <col min="35" max="35" width="13.36328125" customWidth="1"/>
    <col min="37" max="37" width="16.726562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44166</v>
      </c>
      <c r="G2" s="1">
        <v>44167</v>
      </c>
      <c r="H2" s="1">
        <v>44168</v>
      </c>
      <c r="I2" s="1">
        <v>44169</v>
      </c>
      <c r="J2" s="1">
        <v>44170</v>
      </c>
      <c r="K2" s="1">
        <v>44171</v>
      </c>
      <c r="L2" s="1">
        <v>44172</v>
      </c>
      <c r="M2" s="1">
        <v>44173</v>
      </c>
      <c r="N2" s="1">
        <v>44174</v>
      </c>
      <c r="O2" s="1">
        <v>44175</v>
      </c>
      <c r="P2" s="1">
        <v>44176</v>
      </c>
      <c r="Q2" s="1">
        <v>44177</v>
      </c>
      <c r="R2" s="1">
        <v>44178</v>
      </c>
      <c r="S2" s="1">
        <v>44179</v>
      </c>
      <c r="T2" s="1">
        <v>44180</v>
      </c>
      <c r="U2" s="1">
        <v>44181</v>
      </c>
      <c r="V2" s="1">
        <v>44182</v>
      </c>
      <c r="W2" s="1">
        <v>44183</v>
      </c>
      <c r="X2" s="1">
        <v>44184</v>
      </c>
      <c r="Y2" s="1">
        <v>44185</v>
      </c>
      <c r="Z2" s="1">
        <v>44186</v>
      </c>
      <c r="AA2" s="1">
        <v>44187</v>
      </c>
      <c r="AB2" s="1">
        <v>44188</v>
      </c>
      <c r="AC2" s="1">
        <v>44189</v>
      </c>
      <c r="AD2" s="1">
        <v>44190</v>
      </c>
      <c r="AE2" s="1">
        <v>44191</v>
      </c>
      <c r="AF2" s="1">
        <v>44192</v>
      </c>
      <c r="AG2" s="1">
        <v>44193</v>
      </c>
      <c r="AH2" s="1">
        <v>44194</v>
      </c>
      <c r="AI2" s="1">
        <v>44195</v>
      </c>
      <c r="AJ2" s="1">
        <v>44196</v>
      </c>
      <c r="AK2" s="176" t="s">
        <v>579</v>
      </c>
    </row>
    <row r="3" spans="1:37" x14ac:dyDescent="0.35">
      <c r="A3" t="s">
        <v>7</v>
      </c>
      <c r="F3" s="3">
        <f>+'NOV-20'!AI66</f>
        <v>2093888.1236694679</v>
      </c>
      <c r="G3" s="3">
        <f t="shared" ref="G3:AJ3" si="0">+F62</f>
        <v>2048758.1236694679</v>
      </c>
      <c r="H3" s="3">
        <f t="shared" si="0"/>
        <v>2212660.1236694679</v>
      </c>
      <c r="I3" s="3">
        <f t="shared" si="0"/>
        <v>2212660.1236694679</v>
      </c>
      <c r="J3" s="3">
        <f t="shared" si="0"/>
        <v>2212660.1236694679</v>
      </c>
      <c r="K3" s="3">
        <f t="shared" si="0"/>
        <v>2212660.1236694679</v>
      </c>
      <c r="L3" s="3">
        <f t="shared" si="0"/>
        <v>2212660.1236694679</v>
      </c>
      <c r="M3" s="3">
        <f t="shared" si="0"/>
        <v>2212660.1236694679</v>
      </c>
      <c r="N3" s="3">
        <f t="shared" si="0"/>
        <v>2212660.1236694679</v>
      </c>
      <c r="O3" s="3">
        <f t="shared" si="0"/>
        <v>2087329.1236694679</v>
      </c>
      <c r="P3" s="3">
        <f t="shared" si="0"/>
        <v>2087329.1236694679</v>
      </c>
      <c r="Q3" s="3">
        <f t="shared" si="0"/>
        <v>1602495.5681139124</v>
      </c>
      <c r="R3" s="3">
        <f t="shared" si="0"/>
        <v>1602495.5681139124</v>
      </c>
      <c r="S3" s="3">
        <f t="shared" si="0"/>
        <v>1302591.7681139123</v>
      </c>
      <c r="T3" s="3">
        <f t="shared" si="0"/>
        <v>1302591.7681139123</v>
      </c>
      <c r="U3" s="3">
        <f t="shared" si="0"/>
        <v>1302591.7681139123</v>
      </c>
      <c r="V3" s="3">
        <f t="shared" si="0"/>
        <v>1333924.7681139123</v>
      </c>
      <c r="W3" s="3">
        <f t="shared" si="0"/>
        <v>1333924.7681139123</v>
      </c>
      <c r="X3" s="3">
        <f t="shared" si="0"/>
        <v>1333924.7681139123</v>
      </c>
      <c r="Y3" s="3">
        <f t="shared" si="0"/>
        <v>1333924.7681139123</v>
      </c>
      <c r="Z3" s="3">
        <f t="shared" si="0"/>
        <v>1333924.7681139123</v>
      </c>
      <c r="AA3" s="3">
        <f t="shared" si="0"/>
        <v>1330354.7681139123</v>
      </c>
      <c r="AB3" s="3">
        <f t="shared" si="0"/>
        <v>1313410.7681139123</v>
      </c>
      <c r="AC3" s="3">
        <f t="shared" si="0"/>
        <v>1406116.3236694678</v>
      </c>
      <c r="AD3" s="3">
        <f t="shared" si="0"/>
        <v>1552648.3236694678</v>
      </c>
      <c r="AE3" s="3">
        <f t="shared" si="0"/>
        <v>1552648.3236694678</v>
      </c>
      <c r="AF3" s="3">
        <f t="shared" si="0"/>
        <v>1552648.3236694678</v>
      </c>
      <c r="AG3" s="3">
        <f t="shared" si="0"/>
        <v>1552648.3236694678</v>
      </c>
      <c r="AH3" s="3">
        <f t="shared" si="0"/>
        <v>1552648.3236694678</v>
      </c>
      <c r="AI3" s="3">
        <f t="shared" si="0"/>
        <v>1552648.3236694678</v>
      </c>
      <c r="AJ3" s="3">
        <f t="shared" si="0"/>
        <v>1552648.3236694678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K4" s="3" t="s">
        <v>13</v>
      </c>
    </row>
    <row r="5" spans="1:37" x14ac:dyDescent="0.35">
      <c r="A5" t="s">
        <v>174</v>
      </c>
      <c r="B5" t="s">
        <v>55</v>
      </c>
      <c r="C5" s="5">
        <v>43848</v>
      </c>
      <c r="D5" s="3">
        <v>160200</v>
      </c>
      <c r="E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13</v>
      </c>
      <c r="U5" s="3"/>
      <c r="V5" s="3"/>
      <c r="W5" s="3" t="s">
        <v>13</v>
      </c>
      <c r="AJ5" s="3">
        <v>0</v>
      </c>
      <c r="AK5" s="3">
        <f t="shared" ref="AK5:AK21" si="1">SUM(F5:AJ5)</f>
        <v>0</v>
      </c>
    </row>
    <row r="6" spans="1:37" x14ac:dyDescent="0.35">
      <c r="A6" t="s">
        <v>199</v>
      </c>
      <c r="B6" t="s">
        <v>63</v>
      </c>
      <c r="C6" s="5">
        <v>43865</v>
      </c>
      <c r="D6" s="3">
        <v>160200</v>
      </c>
      <c r="E6" t="s">
        <v>13</v>
      </c>
      <c r="F6" s="3"/>
      <c r="G6" s="3"/>
      <c r="H6" s="3"/>
      <c r="I6" s="3" t="s">
        <v>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AJ6" s="3">
        <v>0</v>
      </c>
      <c r="AK6" s="3">
        <f t="shared" si="1"/>
        <v>0</v>
      </c>
    </row>
    <row r="7" spans="1:37" x14ac:dyDescent="0.35">
      <c r="A7" t="s">
        <v>203</v>
      </c>
      <c r="B7" t="s">
        <v>58</v>
      </c>
      <c r="C7" s="5">
        <v>43866</v>
      </c>
      <c r="D7" s="3">
        <v>33728</v>
      </c>
      <c r="E7" t="s">
        <v>13</v>
      </c>
      <c r="F7" s="3"/>
      <c r="G7" s="3"/>
      <c r="H7" s="3"/>
      <c r="I7" s="3"/>
      <c r="J7" s="3" t="s">
        <v>13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AJ7" s="3">
        <v>0</v>
      </c>
      <c r="AK7" s="3">
        <f t="shared" si="1"/>
        <v>0</v>
      </c>
    </row>
    <row r="8" spans="1:37" x14ac:dyDescent="0.35">
      <c r="A8" t="s">
        <v>207</v>
      </c>
      <c r="B8" t="s">
        <v>208</v>
      </c>
      <c r="C8" s="5">
        <v>43876</v>
      </c>
      <c r="D8" s="3">
        <v>160200</v>
      </c>
      <c r="E8" t="s">
        <v>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13</v>
      </c>
      <c r="T8" s="3" t="s">
        <v>13</v>
      </c>
      <c r="U8" s="3"/>
      <c r="V8" s="3"/>
      <c r="W8" s="3"/>
      <c r="AJ8" s="3">
        <v>0</v>
      </c>
      <c r="AK8" s="3">
        <f t="shared" si="1"/>
        <v>0</v>
      </c>
    </row>
    <row r="9" spans="1:37" x14ac:dyDescent="0.35">
      <c r="A9" t="s">
        <v>235</v>
      </c>
      <c r="B9" t="s">
        <v>234</v>
      </c>
      <c r="C9" s="5">
        <v>43882</v>
      </c>
      <c r="D9" s="3">
        <v>160200</v>
      </c>
      <c r="E9" t="s">
        <v>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J9" s="3">
        <v>0</v>
      </c>
      <c r="AK9" s="3">
        <f t="shared" si="1"/>
        <v>0</v>
      </c>
    </row>
    <row r="10" spans="1:37" x14ac:dyDescent="0.35">
      <c r="A10" t="s">
        <v>242</v>
      </c>
      <c r="B10" t="s">
        <v>243</v>
      </c>
      <c r="C10" s="5">
        <v>43889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13</v>
      </c>
      <c r="U10" s="3"/>
      <c r="V10" s="3"/>
      <c r="W10" s="3"/>
      <c r="AJ10" s="3">
        <v>0</v>
      </c>
      <c r="AK10" s="3">
        <f t="shared" si="1"/>
        <v>0</v>
      </c>
    </row>
    <row r="11" spans="1:37" x14ac:dyDescent="0.35">
      <c r="A11" t="s">
        <v>244</v>
      </c>
      <c r="B11" t="s">
        <v>245</v>
      </c>
      <c r="C11" s="5">
        <v>43892</v>
      </c>
      <c r="D11" s="3">
        <f>28475.41*1.19</f>
        <v>33885.7379</v>
      </c>
      <c r="E11" t="s">
        <v>13</v>
      </c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C11" t="s">
        <v>13</v>
      </c>
      <c r="AJ11" s="3">
        <v>0</v>
      </c>
      <c r="AK11" s="3">
        <f t="shared" si="1"/>
        <v>0</v>
      </c>
    </row>
    <row r="12" spans="1:37" x14ac:dyDescent="0.35">
      <c r="A12" t="s">
        <v>299</v>
      </c>
      <c r="B12" t="s">
        <v>300</v>
      </c>
      <c r="C12" s="5">
        <v>43904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13</v>
      </c>
      <c r="U12" s="3"/>
      <c r="V12" s="3"/>
      <c r="W12" s="3"/>
      <c r="AJ12" s="3">
        <v>0</v>
      </c>
      <c r="AK12" s="3">
        <f t="shared" si="1"/>
        <v>0</v>
      </c>
    </row>
    <row r="13" spans="1:37" x14ac:dyDescent="0.35">
      <c r="A13" t="s">
        <v>345</v>
      </c>
      <c r="B13" t="s">
        <v>344</v>
      </c>
      <c r="C13" s="5" t="s">
        <v>13</v>
      </c>
      <c r="D13" s="3">
        <f>4500*60</f>
        <v>270000</v>
      </c>
      <c r="E13" t="s">
        <v>382</v>
      </c>
      <c r="F13" s="3" t="s">
        <v>13</v>
      </c>
      <c r="G13" s="3"/>
      <c r="H13" s="3"/>
      <c r="I13" s="3"/>
      <c r="J13" s="3" t="s">
        <v>13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J13" s="3">
        <v>0</v>
      </c>
      <c r="AK13" s="3">
        <f t="shared" si="1"/>
        <v>0</v>
      </c>
    </row>
    <row r="14" spans="1:37" x14ac:dyDescent="0.35">
      <c r="A14" t="s">
        <v>487</v>
      </c>
      <c r="B14" t="s">
        <v>488</v>
      </c>
      <c r="C14" s="5">
        <v>44155</v>
      </c>
      <c r="D14" s="3">
        <v>62665</v>
      </c>
      <c r="F14" s="3"/>
      <c r="G14" s="3">
        <v>125331</v>
      </c>
      <c r="H14" s="3"/>
      <c r="J14" s="3"/>
      <c r="K14" s="3"/>
      <c r="L14" s="3"/>
      <c r="M14" s="3"/>
      <c r="N14" s="3">
        <v>-125331</v>
      </c>
      <c r="O14" s="3"/>
      <c r="P14" s="3">
        <v>62665</v>
      </c>
      <c r="Q14" s="3"/>
      <c r="R14" s="3"/>
      <c r="S14" s="3"/>
      <c r="T14" s="3"/>
      <c r="U14" s="3"/>
      <c r="V14" s="3"/>
      <c r="W14" s="3"/>
      <c r="AJ14" s="3" t="s">
        <v>13</v>
      </c>
      <c r="AK14" s="3">
        <f t="shared" si="1"/>
        <v>62665</v>
      </c>
    </row>
    <row r="15" spans="1:37" x14ac:dyDescent="0.35">
      <c r="A15" t="s">
        <v>489</v>
      </c>
      <c r="B15" t="s">
        <v>333</v>
      </c>
      <c r="C15" s="5">
        <v>44155</v>
      </c>
      <c r="D15" s="3">
        <v>115199</v>
      </c>
      <c r="F15" s="3"/>
      <c r="G15" s="3"/>
      <c r="H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C15" s="3">
        <f>+D15</f>
        <v>115199</v>
      </c>
      <c r="AJ15" s="3" t="s">
        <v>13</v>
      </c>
      <c r="AK15" s="3">
        <f t="shared" si="1"/>
        <v>115199</v>
      </c>
    </row>
    <row r="16" spans="1:37" x14ac:dyDescent="0.35">
      <c r="A16" t="s">
        <v>493</v>
      </c>
      <c r="B16" t="s">
        <v>355</v>
      </c>
      <c r="C16" s="5">
        <v>44161</v>
      </c>
      <c r="D16" s="3">
        <f>26330*4*1.19</f>
        <v>125330.79999999999</v>
      </c>
      <c r="F16" s="3"/>
      <c r="G16" s="3">
        <v>125331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AJ16" s="3" t="s">
        <v>13</v>
      </c>
      <c r="AK16" s="3">
        <f>SUM(F16:AJ16)</f>
        <v>125331</v>
      </c>
    </row>
    <row r="17" spans="1:37" x14ac:dyDescent="0.35">
      <c r="A17" t="s">
        <v>521</v>
      </c>
      <c r="B17" t="s">
        <v>520</v>
      </c>
      <c r="C17" s="5">
        <v>44174</v>
      </c>
      <c r="D17" s="3">
        <v>62665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62666</v>
      </c>
      <c r="Q17" s="3"/>
      <c r="R17" s="3"/>
      <c r="S17" s="3"/>
      <c r="T17" s="3"/>
      <c r="U17" s="3"/>
      <c r="V17" s="3"/>
      <c r="W17" s="3"/>
      <c r="AI17" s="3"/>
      <c r="AK17" s="3">
        <f t="shared" si="1"/>
        <v>62666</v>
      </c>
    </row>
    <row r="18" spans="1:37" x14ac:dyDescent="0.35">
      <c r="A18" t="s">
        <v>523</v>
      </c>
      <c r="B18" t="s">
        <v>522</v>
      </c>
      <c r="C18" s="5">
        <v>44175</v>
      </c>
      <c r="D18" s="3">
        <v>31333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C18" s="3">
        <f>+D18</f>
        <v>31333</v>
      </c>
      <c r="AI18" s="3"/>
      <c r="AJ18" s="3" t="s">
        <v>13</v>
      </c>
      <c r="AK18" s="3">
        <f t="shared" si="1"/>
        <v>31333</v>
      </c>
    </row>
    <row r="19" spans="1:37" x14ac:dyDescent="0.35">
      <c r="A19" t="s">
        <v>527</v>
      </c>
      <c r="B19" t="s">
        <v>331</v>
      </c>
      <c r="C19" s="5">
        <v>44180</v>
      </c>
      <c r="D19" s="3">
        <v>31333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31333</v>
      </c>
      <c r="V19" s="3"/>
      <c r="W19" s="3"/>
      <c r="AI19" s="3"/>
      <c r="AK19" s="3">
        <f t="shared" si="1"/>
        <v>31333</v>
      </c>
    </row>
    <row r="20" spans="1:37" x14ac:dyDescent="0.35">
      <c r="A20" t="s">
        <v>528</v>
      </c>
      <c r="B20" t="s">
        <v>529</v>
      </c>
      <c r="C20" s="5">
        <v>44186</v>
      </c>
      <c r="D20" s="3">
        <v>62666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B20" s="3">
        <v>62666</v>
      </c>
      <c r="AI20" s="3"/>
      <c r="AJ20" s="3" t="s">
        <v>13</v>
      </c>
      <c r="AK20" s="3">
        <f t="shared" si="1"/>
        <v>62666</v>
      </c>
    </row>
    <row r="21" spans="1:37" x14ac:dyDescent="0.35">
      <c r="A21" t="s">
        <v>534</v>
      </c>
      <c r="B21" t="s">
        <v>535</v>
      </c>
      <c r="C21" s="5">
        <v>44187</v>
      </c>
      <c r="D21" s="3">
        <v>34604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B21" s="3">
        <v>34604</v>
      </c>
      <c r="AI21" s="3"/>
      <c r="AK21" s="3">
        <f t="shared" si="1"/>
        <v>34604</v>
      </c>
    </row>
    <row r="22" spans="1:37" x14ac:dyDescent="0.35">
      <c r="A22" s="2" t="s">
        <v>580</v>
      </c>
      <c r="C22" s="5"/>
      <c r="D22" s="3" t="s">
        <v>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AI22" s="3"/>
      <c r="AK22" s="72">
        <f>SUM(AK5:AK21)</f>
        <v>525797</v>
      </c>
    </row>
    <row r="23" spans="1:37" x14ac:dyDescent="0.35">
      <c r="A23" t="s">
        <v>385</v>
      </c>
      <c r="C23" s="5">
        <v>43980</v>
      </c>
      <c r="D23" s="3">
        <v>10465</v>
      </c>
      <c r="F23" s="3"/>
      <c r="G23" s="3"/>
      <c r="H23" s="3"/>
      <c r="I23" s="3"/>
      <c r="J23" s="3"/>
      <c r="K23" s="3"/>
      <c r="M23" s="3"/>
      <c r="N23" s="3"/>
      <c r="O23" s="3"/>
      <c r="Q23" s="3"/>
      <c r="R23" s="3"/>
      <c r="S23" s="3"/>
      <c r="T23" s="3"/>
      <c r="U23" s="3"/>
      <c r="W23" s="3"/>
      <c r="AJ23" s="3" t="s">
        <v>98</v>
      </c>
      <c r="AK23" s="3" t="s">
        <v>13</v>
      </c>
    </row>
    <row r="24" spans="1:37" x14ac:dyDescent="0.35">
      <c r="A24" t="s">
        <v>60</v>
      </c>
      <c r="D24" s="3">
        <v>0</v>
      </c>
      <c r="F24" s="3">
        <v>0</v>
      </c>
      <c r="G24" s="3">
        <v>0</v>
      </c>
      <c r="H24" s="3"/>
      <c r="I24" s="3"/>
      <c r="J24" s="3"/>
      <c r="K24" s="3" t="s">
        <v>13</v>
      </c>
      <c r="M24" s="3"/>
      <c r="N24" s="3"/>
      <c r="O24" s="3" t="s">
        <v>13</v>
      </c>
      <c r="P24" s="3"/>
      <c r="Q24" s="3"/>
      <c r="R24" s="3" t="s">
        <v>13</v>
      </c>
      <c r="S24" s="3"/>
      <c r="T24" s="3"/>
      <c r="U24" s="3"/>
      <c r="V24" s="3"/>
      <c r="W24" s="3"/>
      <c r="AK24" s="72" t="s">
        <v>13</v>
      </c>
    </row>
    <row r="25" spans="1:37" x14ac:dyDescent="0.35">
      <c r="A25" t="s">
        <v>1</v>
      </c>
      <c r="F25" s="3"/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7" x14ac:dyDescent="0.35">
      <c r="A26" t="s">
        <v>478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 t="s">
        <v>13</v>
      </c>
      <c r="S26" s="3"/>
      <c r="T26" s="3"/>
      <c r="U26" s="3"/>
      <c r="V26" s="3"/>
      <c r="W26" s="3"/>
    </row>
    <row r="27" spans="1:37" x14ac:dyDescent="0.35">
      <c r="A27" t="s">
        <v>204</v>
      </c>
      <c r="D27" s="3">
        <v>2001574</v>
      </c>
      <c r="F27" s="3"/>
      <c r="G27" s="3"/>
      <c r="H27" s="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AJ27" s="3">
        <v>0</v>
      </c>
    </row>
    <row r="28" spans="1:37" x14ac:dyDescent="0.3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7" x14ac:dyDescent="0.35"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37" x14ac:dyDescent="0.35">
      <c r="A30" s="2" t="s">
        <v>6</v>
      </c>
      <c r="B30">
        <v>2020</v>
      </c>
      <c r="F30" s="3">
        <f t="shared" ref="F30:AI30" si="2">SUM(F5:F29)</f>
        <v>0</v>
      </c>
      <c r="G30" s="3">
        <f t="shared" si="2"/>
        <v>250662</v>
      </c>
      <c r="H30" s="3">
        <f t="shared" si="2"/>
        <v>0</v>
      </c>
      <c r="I30" s="3">
        <f t="shared" si="2"/>
        <v>0</v>
      </c>
      <c r="J30" s="3">
        <f t="shared" si="2"/>
        <v>0</v>
      </c>
      <c r="K30" s="3">
        <f t="shared" si="2"/>
        <v>0</v>
      </c>
      <c r="L30" s="3">
        <f t="shared" si="2"/>
        <v>0</v>
      </c>
      <c r="M30" s="3">
        <f t="shared" si="2"/>
        <v>0</v>
      </c>
      <c r="N30" s="3">
        <f t="shared" si="2"/>
        <v>-125331</v>
      </c>
      <c r="O30" s="3">
        <f t="shared" si="2"/>
        <v>0</v>
      </c>
      <c r="P30" s="3">
        <f t="shared" si="2"/>
        <v>125331</v>
      </c>
      <c r="Q30" s="3">
        <f t="shared" si="2"/>
        <v>0</v>
      </c>
      <c r="R30" s="3">
        <f t="shared" si="2"/>
        <v>0</v>
      </c>
      <c r="S30" s="3">
        <f t="shared" si="2"/>
        <v>0</v>
      </c>
      <c r="T30" s="3">
        <f t="shared" si="2"/>
        <v>0</v>
      </c>
      <c r="U30" s="3">
        <f t="shared" si="2"/>
        <v>31333</v>
      </c>
      <c r="V30" s="3">
        <f t="shared" si="2"/>
        <v>0</v>
      </c>
      <c r="W30" s="3">
        <f t="shared" si="2"/>
        <v>0</v>
      </c>
      <c r="X30" s="3">
        <f t="shared" si="2"/>
        <v>0</v>
      </c>
      <c r="Y30" s="3">
        <f t="shared" si="2"/>
        <v>0</v>
      </c>
      <c r="Z30" s="3">
        <f t="shared" si="2"/>
        <v>0</v>
      </c>
      <c r="AA30" s="3">
        <f t="shared" si="2"/>
        <v>0</v>
      </c>
      <c r="AB30" s="3">
        <f t="shared" si="2"/>
        <v>97270</v>
      </c>
      <c r="AC30" s="3">
        <f t="shared" si="2"/>
        <v>146532</v>
      </c>
      <c r="AD30" s="3">
        <f t="shared" si="2"/>
        <v>0</v>
      </c>
      <c r="AE30" s="3">
        <f t="shared" si="2"/>
        <v>0</v>
      </c>
      <c r="AF30" s="3">
        <f t="shared" si="2"/>
        <v>0</v>
      </c>
      <c r="AG30" s="3">
        <f t="shared" si="2"/>
        <v>0</v>
      </c>
      <c r="AH30" s="3">
        <f t="shared" si="2"/>
        <v>0</v>
      </c>
      <c r="AI30" s="3">
        <f t="shared" si="2"/>
        <v>0</v>
      </c>
    </row>
    <row r="31" spans="1:37" x14ac:dyDescent="0.35">
      <c r="A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7" x14ac:dyDescent="0.35">
      <c r="A32" s="2" t="s">
        <v>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37" x14ac:dyDescent="0.35">
      <c r="A33" s="4" t="s">
        <v>524</v>
      </c>
      <c r="B33" s="24" t="s">
        <v>525</v>
      </c>
      <c r="C33" s="67" t="s">
        <v>13</v>
      </c>
      <c r="D33" s="3">
        <v>500000</v>
      </c>
      <c r="F33" s="3"/>
      <c r="G33" s="3"/>
      <c r="H33" s="3"/>
      <c r="I33" s="3"/>
      <c r="K33" s="3"/>
      <c r="L33" s="3"/>
      <c r="M33" s="3"/>
      <c r="P33" s="3">
        <v>500000</v>
      </c>
      <c r="Q33" s="3"/>
      <c r="R33" s="3"/>
      <c r="S33" s="3"/>
      <c r="T33" s="3"/>
      <c r="U33" s="3"/>
      <c r="V33" s="3"/>
      <c r="W33" s="3"/>
      <c r="AJ33" s="3" t="s">
        <v>13</v>
      </c>
    </row>
    <row r="34" spans="1:37" x14ac:dyDescent="0.35">
      <c r="A34" s="4" t="s">
        <v>409</v>
      </c>
      <c r="B34" s="24" t="s">
        <v>337</v>
      </c>
      <c r="C34" s="67"/>
      <c r="D34" s="3">
        <f>500000/2</f>
        <v>250000</v>
      </c>
      <c r="F34" s="3"/>
      <c r="G34" s="3"/>
      <c r="H34" s="3"/>
      <c r="I34" s="3"/>
      <c r="K34" s="3"/>
      <c r="L34" s="3"/>
      <c r="M34" s="3"/>
      <c r="P34" s="3"/>
      <c r="Q34" s="3"/>
      <c r="R34" s="3"/>
      <c r="S34" s="3"/>
      <c r="T34" s="3"/>
      <c r="U34" s="3"/>
      <c r="V34" s="3"/>
      <c r="W34" s="3"/>
      <c r="AJ34" s="3">
        <v>0</v>
      </c>
    </row>
    <row r="35" spans="1:37" x14ac:dyDescent="0.35">
      <c r="A35" s="4" t="s">
        <v>410</v>
      </c>
      <c r="B35" s="24" t="s">
        <v>337</v>
      </c>
      <c r="C35" s="67"/>
      <c r="D35" s="3">
        <f>500000/2</f>
        <v>250000</v>
      </c>
      <c r="F35" s="3"/>
      <c r="G35" s="3"/>
      <c r="H35" s="3"/>
      <c r="I35" s="3"/>
      <c r="J35" t="s">
        <v>13</v>
      </c>
      <c r="K35" s="3"/>
      <c r="L35" s="3"/>
      <c r="M35" s="3"/>
      <c r="P35" s="3"/>
      <c r="Q35" s="3"/>
      <c r="R35" s="3"/>
      <c r="S35" s="3"/>
      <c r="T35" s="3"/>
      <c r="U35" s="3"/>
      <c r="V35" s="3"/>
      <c r="W35" s="3"/>
      <c r="AJ35" s="3">
        <v>0</v>
      </c>
    </row>
    <row r="36" spans="1:37" x14ac:dyDescent="0.35">
      <c r="A36" s="4" t="s">
        <v>411</v>
      </c>
      <c r="B36" s="24" t="s">
        <v>337</v>
      </c>
      <c r="C36" s="67"/>
      <c r="D36" s="3">
        <f>500000/2</f>
        <v>250000</v>
      </c>
      <c r="F36" s="3"/>
      <c r="G36" s="3"/>
      <c r="H36" s="3"/>
      <c r="I36" s="3"/>
      <c r="K36" s="3"/>
      <c r="L36" s="3"/>
      <c r="M36" s="3"/>
      <c r="P36" s="3"/>
      <c r="Q36" s="3"/>
      <c r="R36" s="3"/>
      <c r="S36" s="3"/>
      <c r="T36" s="3"/>
      <c r="U36" s="3"/>
      <c r="V36" s="3"/>
      <c r="W36" s="3"/>
      <c r="AJ36" s="3">
        <v>0</v>
      </c>
    </row>
    <row r="37" spans="1:37" x14ac:dyDescent="0.35">
      <c r="A37" s="4" t="s">
        <v>492</v>
      </c>
      <c r="B37" s="24" t="s">
        <v>337</v>
      </c>
      <c r="C37" s="67"/>
      <c r="D37" s="3">
        <v>250000</v>
      </c>
      <c r="F37" s="3"/>
      <c r="G37" s="3"/>
      <c r="H37" s="3"/>
      <c r="I37" s="3"/>
      <c r="K37" s="3"/>
      <c r="L37" s="3"/>
      <c r="M37" s="3"/>
      <c r="P37" s="3"/>
      <c r="Q37" s="3"/>
      <c r="R37" s="3"/>
      <c r="S37" s="3"/>
      <c r="T37" s="3"/>
      <c r="U37" s="3"/>
      <c r="V37" s="3"/>
      <c r="W37" s="3"/>
      <c r="AJ37" s="3">
        <v>0</v>
      </c>
    </row>
    <row r="38" spans="1:37" x14ac:dyDescent="0.35">
      <c r="A38" s="4" t="s">
        <v>494</v>
      </c>
      <c r="B38" s="24" t="s">
        <v>337</v>
      </c>
      <c r="C38" s="67"/>
      <c r="D38" s="3">
        <v>500000</v>
      </c>
      <c r="F38" s="3"/>
      <c r="G38" s="3"/>
      <c r="H38" s="3"/>
      <c r="I38" s="3"/>
      <c r="K38" s="3"/>
      <c r="L38" s="3"/>
      <c r="M38" s="3"/>
      <c r="P38" s="3"/>
      <c r="Q38" s="3"/>
      <c r="R38" s="3"/>
      <c r="S38" s="3"/>
      <c r="T38" s="3"/>
      <c r="U38" s="3"/>
      <c r="V38" s="3"/>
      <c r="W38" s="3"/>
      <c r="AJ38" s="3">
        <v>0</v>
      </c>
    </row>
    <row r="39" spans="1:37" x14ac:dyDescent="0.35">
      <c r="A39" s="4" t="s">
        <v>495</v>
      </c>
      <c r="B39" s="24" t="s">
        <v>337</v>
      </c>
      <c r="C39" s="67"/>
      <c r="D39" s="3">
        <v>500000</v>
      </c>
      <c r="F39" s="3"/>
      <c r="G39" s="3"/>
      <c r="H39" s="3"/>
      <c r="I39" s="3"/>
      <c r="K39" s="3"/>
      <c r="L39" s="3"/>
      <c r="M39" s="3"/>
      <c r="P39" s="3"/>
      <c r="Q39" s="3"/>
      <c r="R39" s="3"/>
      <c r="S39" s="3"/>
      <c r="T39" s="3"/>
      <c r="U39" s="3"/>
      <c r="V39" s="3"/>
      <c r="W39" s="3"/>
      <c r="AJ39" s="3">
        <v>0</v>
      </c>
    </row>
    <row r="40" spans="1:37" x14ac:dyDescent="0.35">
      <c r="A40" t="s">
        <v>241</v>
      </c>
      <c r="B40" t="s">
        <v>337</v>
      </c>
      <c r="C40" s="5" t="s">
        <v>13</v>
      </c>
      <c r="D40" s="3">
        <f>+AJ40</f>
        <v>0</v>
      </c>
      <c r="F40" s="3"/>
      <c r="G40" s="3"/>
      <c r="H40" s="3"/>
      <c r="I40" s="3"/>
      <c r="J40" s="3"/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W40" s="3"/>
      <c r="AJ40" s="3">
        <v>0</v>
      </c>
      <c r="AK40" t="s">
        <v>13</v>
      </c>
    </row>
    <row r="41" spans="1:37" x14ac:dyDescent="0.35">
      <c r="A41" s="4" t="s">
        <v>500</v>
      </c>
      <c r="B41" s="24" t="s">
        <v>501</v>
      </c>
      <c r="C41" s="67">
        <v>44166</v>
      </c>
      <c r="D41" s="3">
        <v>45130</v>
      </c>
      <c r="E41" t="s">
        <v>401</v>
      </c>
      <c r="F41" s="3">
        <v>45130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AB41" s="3"/>
    </row>
    <row r="42" spans="1:37" x14ac:dyDescent="0.35">
      <c r="A42" s="4" t="s">
        <v>504</v>
      </c>
      <c r="B42" s="24" t="s">
        <v>502</v>
      </c>
      <c r="C42" s="67">
        <v>44167</v>
      </c>
      <c r="D42" s="3">
        <v>22000</v>
      </c>
      <c r="E42" t="s">
        <v>503</v>
      </c>
      <c r="F42" s="3"/>
      <c r="G42" s="3">
        <v>22000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B42" s="3"/>
    </row>
    <row r="43" spans="1:37" x14ac:dyDescent="0.35">
      <c r="A43" s="4" t="s">
        <v>505</v>
      </c>
      <c r="B43" s="24"/>
      <c r="C43" s="67">
        <v>44167</v>
      </c>
      <c r="D43" s="3">
        <v>60000</v>
      </c>
      <c r="E43" t="s">
        <v>503</v>
      </c>
      <c r="F43" s="3"/>
      <c r="G43" s="3">
        <v>60000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AB43" s="3"/>
    </row>
    <row r="44" spans="1:37" x14ac:dyDescent="0.35">
      <c r="A44" s="4" t="s">
        <v>506</v>
      </c>
      <c r="B44" s="24"/>
      <c r="C44" s="67">
        <v>44167</v>
      </c>
      <c r="D44" s="3">
        <f>+(25.6*2)*790/9</f>
        <v>4494.2222222222226</v>
      </c>
      <c r="E44" t="s">
        <v>503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>
        <f>+(25.6*2)*790/9</f>
        <v>4494.2222222222226</v>
      </c>
      <c r="Q44" s="3"/>
      <c r="R44" s="3"/>
      <c r="S44" s="3"/>
      <c r="T44" s="3"/>
      <c r="U44" s="3"/>
      <c r="V44" s="3"/>
      <c r="W44" s="3"/>
      <c r="Y44" s="3"/>
      <c r="AB44" s="3"/>
    </row>
    <row r="45" spans="1:37" x14ac:dyDescent="0.35">
      <c r="A45" s="4" t="s">
        <v>515</v>
      </c>
      <c r="B45" t="s">
        <v>514</v>
      </c>
      <c r="C45" s="5">
        <v>44167</v>
      </c>
      <c r="D45" s="3">
        <f>71400*2</f>
        <v>142800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>
        <f>71400*2</f>
        <v>142800</v>
      </c>
      <c r="S45" s="3"/>
      <c r="T45" s="3"/>
      <c r="U45" s="3"/>
      <c r="V45" s="3"/>
      <c r="W45" s="3"/>
      <c r="Y45" s="3"/>
      <c r="AB45" s="3"/>
    </row>
    <row r="46" spans="1:37" x14ac:dyDescent="0.35">
      <c r="A46" s="4" t="s">
        <v>519</v>
      </c>
      <c r="B46" s="24" t="s">
        <v>518</v>
      </c>
      <c r="C46" s="67">
        <v>44168</v>
      </c>
      <c r="D46" s="3">
        <v>11180</v>
      </c>
      <c r="E46" t="s">
        <v>517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>
        <v>11180</v>
      </c>
      <c r="Q46" s="3"/>
      <c r="R46" s="3"/>
      <c r="S46" s="3"/>
      <c r="T46" s="3"/>
      <c r="U46" s="3"/>
      <c r="V46" s="3"/>
      <c r="W46" s="3"/>
      <c r="Y46" s="3"/>
      <c r="AB46" s="3"/>
    </row>
    <row r="47" spans="1:37" x14ac:dyDescent="0.35">
      <c r="A47" s="4" t="s">
        <v>507</v>
      </c>
      <c r="B47" s="171" t="s">
        <v>509</v>
      </c>
      <c r="C47" s="67">
        <v>44168</v>
      </c>
      <c r="D47" s="3">
        <v>4760</v>
      </c>
      <c r="E47" t="s">
        <v>503</v>
      </c>
      <c r="F47" s="3"/>
      <c r="G47" s="3">
        <v>4760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B47" s="3"/>
    </row>
    <row r="48" spans="1:37" x14ac:dyDescent="0.35">
      <c r="A48" s="4" t="s">
        <v>516</v>
      </c>
      <c r="B48" s="24"/>
      <c r="C48" s="67">
        <v>44168</v>
      </c>
      <c r="D48" s="3">
        <f>+(16.3+7.6+14.5)*790/9</f>
        <v>3370.6666666666665</v>
      </c>
      <c r="E48" t="s">
        <v>503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>
        <f>+(16.3+7.6+14.5)*790/9</f>
        <v>3370.6666666666665</v>
      </c>
      <c r="Q48" s="3"/>
      <c r="R48" s="3"/>
      <c r="S48" s="3"/>
      <c r="T48" s="3"/>
      <c r="U48" s="3"/>
      <c r="V48" s="3"/>
      <c r="W48" s="3"/>
      <c r="Y48" s="3"/>
      <c r="AB48" s="3"/>
    </row>
    <row r="49" spans="1:36" x14ac:dyDescent="0.35">
      <c r="A49" s="4" t="s">
        <v>510</v>
      </c>
      <c r="B49" t="s">
        <v>511</v>
      </c>
      <c r="C49" s="67">
        <v>44168</v>
      </c>
      <c r="D49" s="3">
        <f>(65020+7000)*1.19</f>
        <v>85703.8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>
        <f>(65020+7000)*1.19</f>
        <v>85703.8</v>
      </c>
      <c r="S49" s="3"/>
      <c r="T49" s="3"/>
      <c r="U49" s="3"/>
      <c r="V49" s="3"/>
      <c r="W49" s="3"/>
      <c r="Y49" s="3"/>
      <c r="AB49" s="3"/>
    </row>
    <row r="50" spans="1:36" x14ac:dyDescent="0.35">
      <c r="A50" s="4" t="s">
        <v>513</v>
      </c>
      <c r="B50" t="s">
        <v>512</v>
      </c>
      <c r="C50" s="5">
        <v>44168</v>
      </c>
      <c r="D50" s="3">
        <v>71400</v>
      </c>
      <c r="F50" s="3"/>
      <c r="G50" s="3"/>
      <c r="H50" s="3"/>
      <c r="I50" s="3"/>
      <c r="J50" s="3"/>
      <c r="K50" s="3"/>
      <c r="L50" s="3" t="s">
        <v>13</v>
      </c>
      <c r="M50" s="3"/>
      <c r="N50" s="3"/>
      <c r="O50" s="3"/>
      <c r="P50" s="3"/>
      <c r="Q50" s="3"/>
      <c r="R50" s="3">
        <v>71400</v>
      </c>
      <c r="S50" s="3"/>
      <c r="T50" s="3"/>
      <c r="U50" s="3"/>
      <c r="V50" s="3"/>
      <c r="W50" s="3"/>
      <c r="Y50" s="3"/>
      <c r="AB50" s="3"/>
    </row>
    <row r="51" spans="1:36" x14ac:dyDescent="0.35">
      <c r="A51" s="4" t="s">
        <v>506</v>
      </c>
      <c r="B51" s="24"/>
      <c r="C51" s="67">
        <v>44174</v>
      </c>
      <c r="D51" s="3">
        <f>+(25.6*2)*790/9</f>
        <v>4494.2222222222226</v>
      </c>
      <c r="E51" t="s">
        <v>503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>
        <f>+(25.6*2)*790/9</f>
        <v>4494.2222222222226</v>
      </c>
      <c r="Q51" s="3"/>
      <c r="R51" s="3"/>
      <c r="S51" s="3"/>
      <c r="T51" s="3"/>
      <c r="U51" s="3"/>
      <c r="V51" s="3"/>
      <c r="W51" s="3"/>
      <c r="Y51" s="3"/>
      <c r="AB51" s="3"/>
    </row>
    <row r="52" spans="1:36" x14ac:dyDescent="0.35">
      <c r="A52" s="4" t="s">
        <v>506</v>
      </c>
      <c r="B52" s="24"/>
      <c r="C52" s="67">
        <v>44175</v>
      </c>
      <c r="D52" s="3">
        <f>+(25.6*2)*790/9</f>
        <v>4494.2222222222226</v>
      </c>
      <c r="E52" t="s">
        <v>503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>
        <f>+(25.6*2)*790/9</f>
        <v>4494.2222222222226</v>
      </c>
      <c r="Q52" s="3"/>
      <c r="R52" s="3"/>
      <c r="S52" s="3"/>
      <c r="T52" s="3"/>
      <c r="U52" s="3"/>
      <c r="V52" s="3"/>
      <c r="W52" s="3"/>
      <c r="Y52" s="3"/>
      <c r="AB52" s="3"/>
    </row>
    <row r="53" spans="1:36" x14ac:dyDescent="0.35">
      <c r="A53" s="4" t="s">
        <v>506</v>
      </c>
      <c r="B53" s="24"/>
      <c r="C53" s="67">
        <v>44176</v>
      </c>
      <c r="D53" s="3">
        <f>+(25.6*2)*790/9</f>
        <v>4494.2222222222226</v>
      </c>
      <c r="E53" t="s">
        <v>503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>
        <f>+(25.6*2)*790/9</f>
        <v>4494.2222222222226</v>
      </c>
      <c r="Q53" s="3"/>
      <c r="R53" s="3"/>
      <c r="S53" s="3"/>
      <c r="T53" s="3"/>
      <c r="U53" s="3"/>
      <c r="V53" s="3"/>
      <c r="W53" s="3"/>
      <c r="Y53" s="3"/>
      <c r="AB53" s="3"/>
    </row>
    <row r="54" spans="1:36" x14ac:dyDescent="0.35">
      <c r="A54" t="s">
        <v>533</v>
      </c>
      <c r="C54" s="5">
        <v>44176</v>
      </c>
      <c r="D54" s="3">
        <v>77637</v>
      </c>
      <c r="E54" t="s">
        <v>503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>
        <v>77637</v>
      </c>
      <c r="Q54" s="3" t="s">
        <v>13</v>
      </c>
      <c r="R54" s="3"/>
      <c r="S54" s="3"/>
      <c r="T54" s="3"/>
      <c r="U54" s="3"/>
      <c r="V54" s="3"/>
      <c r="W54" s="3"/>
      <c r="Y54" s="3"/>
      <c r="AB54" s="3"/>
    </row>
    <row r="55" spans="1:36" x14ac:dyDescent="0.35">
      <c r="A55" s="4" t="s">
        <v>532</v>
      </c>
      <c r="C55" s="5">
        <v>44181</v>
      </c>
      <c r="D55" s="3">
        <v>16944</v>
      </c>
      <c r="E55" t="s">
        <v>503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AA55" s="3">
        <v>16944</v>
      </c>
      <c r="AB55" s="3"/>
    </row>
    <row r="56" spans="1:36" x14ac:dyDescent="0.35">
      <c r="A56" s="4" t="s">
        <v>526</v>
      </c>
      <c r="C56" s="5">
        <v>44182</v>
      </c>
      <c r="D56" s="3">
        <f>+(12.3*2)*790/9</f>
        <v>2159.3333333333335</v>
      </c>
      <c r="E56" t="s">
        <v>503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B56" s="3">
        <f>+(12.3*2)*790/9</f>
        <v>2159.3333333333335</v>
      </c>
    </row>
    <row r="57" spans="1:36" x14ac:dyDescent="0.35">
      <c r="A57" s="4" t="s">
        <v>526</v>
      </c>
      <c r="C57" s="5">
        <v>44186</v>
      </c>
      <c r="D57" s="3">
        <f>+(13.7*2)*790/9</f>
        <v>2405.1111111111113</v>
      </c>
      <c r="E57" t="s">
        <v>503</v>
      </c>
      <c r="F57" s="3"/>
      <c r="G57" s="3" t="s">
        <v>13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B57" s="3">
        <f>+(13.7*2)*790/9</f>
        <v>2405.1111111111113</v>
      </c>
    </row>
    <row r="58" spans="1:36" x14ac:dyDescent="0.35">
      <c r="A58" s="4" t="s">
        <v>531</v>
      </c>
      <c r="B58" s="171" t="s">
        <v>530</v>
      </c>
      <c r="C58" s="67">
        <v>44186</v>
      </c>
      <c r="D58" s="3">
        <v>3570</v>
      </c>
      <c r="E58" t="s">
        <v>503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Z58" s="3">
        <v>3570</v>
      </c>
      <c r="AB58" s="3"/>
    </row>
    <row r="59" spans="1:36" x14ac:dyDescent="0.35">
      <c r="A59" s="4" t="s">
        <v>13</v>
      </c>
      <c r="B59" s="171"/>
      <c r="C59" s="67" t="s">
        <v>13</v>
      </c>
      <c r="D59" s="3" t="s">
        <v>13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Z59" s="3"/>
      <c r="AB59" s="3"/>
    </row>
    <row r="60" spans="1:36" x14ac:dyDescent="0.35">
      <c r="A60" s="4"/>
      <c r="B60" s="171"/>
      <c r="C60" s="67"/>
      <c r="D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Z60" s="3"/>
      <c r="AB60" s="3"/>
    </row>
    <row r="61" spans="1:36" x14ac:dyDescent="0.35">
      <c r="A61" s="2" t="s">
        <v>9</v>
      </c>
      <c r="F61" s="3">
        <f t="shared" ref="F61:AJ61" si="3">SUM(F33:F59)</f>
        <v>45130</v>
      </c>
      <c r="G61" s="3">
        <f t="shared" si="3"/>
        <v>86760</v>
      </c>
      <c r="H61" s="3">
        <f t="shared" si="3"/>
        <v>0</v>
      </c>
      <c r="I61" s="3">
        <f t="shared" si="3"/>
        <v>0</v>
      </c>
      <c r="J61" s="3">
        <f t="shared" si="3"/>
        <v>0</v>
      </c>
      <c r="K61" s="3">
        <f t="shared" si="3"/>
        <v>0</v>
      </c>
      <c r="L61" s="3">
        <f t="shared" si="3"/>
        <v>0</v>
      </c>
      <c r="M61" s="3">
        <f t="shared" si="3"/>
        <v>0</v>
      </c>
      <c r="N61" s="3">
        <f t="shared" si="3"/>
        <v>0</v>
      </c>
      <c r="O61" s="3">
        <f t="shared" si="3"/>
        <v>0</v>
      </c>
      <c r="P61" s="3">
        <f t="shared" si="3"/>
        <v>610164.55555555562</v>
      </c>
      <c r="Q61" s="3">
        <f t="shared" si="3"/>
        <v>0</v>
      </c>
      <c r="R61" s="3">
        <f t="shared" si="3"/>
        <v>299903.8</v>
      </c>
      <c r="S61" s="3">
        <f t="shared" si="3"/>
        <v>0</v>
      </c>
      <c r="T61" s="3">
        <f t="shared" si="3"/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3">
        <f t="shared" si="3"/>
        <v>0</v>
      </c>
      <c r="Y61" s="3">
        <f t="shared" si="3"/>
        <v>0</v>
      </c>
      <c r="Z61" s="3">
        <f t="shared" si="3"/>
        <v>3570</v>
      </c>
      <c r="AA61" s="3">
        <f t="shared" si="3"/>
        <v>16944</v>
      </c>
      <c r="AB61" s="3">
        <f t="shared" si="3"/>
        <v>4564.4444444444453</v>
      </c>
      <c r="AC61" s="3">
        <f t="shared" si="3"/>
        <v>0</v>
      </c>
      <c r="AD61" s="3">
        <f t="shared" si="3"/>
        <v>0</v>
      </c>
      <c r="AE61" s="3">
        <f t="shared" si="3"/>
        <v>0</v>
      </c>
      <c r="AF61" s="3">
        <f t="shared" si="3"/>
        <v>0</v>
      </c>
      <c r="AG61" s="3">
        <f t="shared" si="3"/>
        <v>0</v>
      </c>
      <c r="AH61" s="3">
        <f t="shared" si="3"/>
        <v>0</v>
      </c>
      <c r="AI61" s="3">
        <f t="shared" si="3"/>
        <v>0</v>
      </c>
      <c r="AJ61" s="3">
        <f t="shared" si="3"/>
        <v>0</v>
      </c>
    </row>
    <row r="62" spans="1:36" x14ac:dyDescent="0.35">
      <c r="A62" t="s">
        <v>8</v>
      </c>
      <c r="F62" s="3">
        <f>+F30+F3-F61</f>
        <v>2048758.1236694679</v>
      </c>
      <c r="G62" s="3">
        <f t="shared" ref="G62:AJ62" si="4">+G3+G30-G61</f>
        <v>2212660.1236694679</v>
      </c>
      <c r="H62" s="3">
        <f t="shared" si="4"/>
        <v>2212660.1236694679</v>
      </c>
      <c r="I62" s="3">
        <f t="shared" si="4"/>
        <v>2212660.1236694679</v>
      </c>
      <c r="J62" s="3">
        <f t="shared" si="4"/>
        <v>2212660.1236694679</v>
      </c>
      <c r="K62" s="3">
        <f t="shared" si="4"/>
        <v>2212660.1236694679</v>
      </c>
      <c r="L62" s="3">
        <f t="shared" si="4"/>
        <v>2212660.1236694679</v>
      </c>
      <c r="M62" s="3">
        <f t="shared" si="4"/>
        <v>2212660.1236694679</v>
      </c>
      <c r="N62" s="3">
        <f t="shared" si="4"/>
        <v>2087329.1236694679</v>
      </c>
      <c r="O62" s="3">
        <f t="shared" si="4"/>
        <v>2087329.1236694679</v>
      </c>
      <c r="P62" s="3">
        <f t="shared" si="4"/>
        <v>1602495.5681139124</v>
      </c>
      <c r="Q62" s="3">
        <f t="shared" si="4"/>
        <v>1602495.5681139124</v>
      </c>
      <c r="R62" s="3">
        <f t="shared" si="4"/>
        <v>1302591.7681139123</v>
      </c>
      <c r="S62" s="3">
        <f t="shared" si="4"/>
        <v>1302591.7681139123</v>
      </c>
      <c r="T62" s="3">
        <f t="shared" si="4"/>
        <v>1302591.7681139123</v>
      </c>
      <c r="U62" s="3">
        <f t="shared" si="4"/>
        <v>1333924.7681139123</v>
      </c>
      <c r="V62" s="3">
        <f t="shared" si="4"/>
        <v>1333924.7681139123</v>
      </c>
      <c r="W62" s="3">
        <f t="shared" si="4"/>
        <v>1333924.7681139123</v>
      </c>
      <c r="X62" s="3">
        <f t="shared" si="4"/>
        <v>1333924.7681139123</v>
      </c>
      <c r="Y62" s="3">
        <f t="shared" si="4"/>
        <v>1333924.7681139123</v>
      </c>
      <c r="Z62" s="3">
        <f t="shared" si="4"/>
        <v>1330354.7681139123</v>
      </c>
      <c r="AA62" s="3">
        <f t="shared" si="4"/>
        <v>1313410.7681139123</v>
      </c>
      <c r="AB62" s="3">
        <f t="shared" si="4"/>
        <v>1406116.3236694678</v>
      </c>
      <c r="AC62" s="3">
        <f t="shared" si="4"/>
        <v>1552648.3236694678</v>
      </c>
      <c r="AD62" s="3">
        <f t="shared" si="4"/>
        <v>1552648.3236694678</v>
      </c>
      <c r="AE62" s="3">
        <f t="shared" si="4"/>
        <v>1552648.3236694678</v>
      </c>
      <c r="AF62" s="3">
        <f t="shared" si="4"/>
        <v>1552648.3236694678</v>
      </c>
      <c r="AG62" s="3">
        <f t="shared" si="4"/>
        <v>1552648.3236694678</v>
      </c>
      <c r="AH62" s="3">
        <f t="shared" si="4"/>
        <v>1552648.3236694678</v>
      </c>
      <c r="AI62" s="3">
        <f t="shared" si="4"/>
        <v>1552648.3236694678</v>
      </c>
      <c r="AJ62" s="3">
        <f t="shared" si="4"/>
        <v>1552648.3236694678</v>
      </c>
    </row>
    <row r="63" spans="1:36" x14ac:dyDescent="0.35">
      <c r="F63" s="3"/>
      <c r="G63" s="3"/>
      <c r="H63" s="3"/>
      <c r="I63" s="3" t="s">
        <v>13</v>
      </c>
      <c r="J63" s="3"/>
      <c r="K63" s="3"/>
      <c r="L63" s="3"/>
      <c r="M63" s="3"/>
      <c r="N63" s="3"/>
      <c r="O63" s="3"/>
      <c r="P63" s="3">
        <v>1329252</v>
      </c>
      <c r="Q63" s="3"/>
      <c r="R63" s="3"/>
      <c r="S63" s="3"/>
      <c r="T63" s="3" t="s">
        <v>13</v>
      </c>
      <c r="U63" s="3"/>
      <c r="V63" s="3"/>
      <c r="W63" s="3"/>
      <c r="Y63" s="3" t="s">
        <v>13</v>
      </c>
      <c r="AA63" s="3" t="s">
        <v>13</v>
      </c>
      <c r="AB63" s="3" t="s">
        <v>13</v>
      </c>
    </row>
    <row r="64" spans="1:36" x14ac:dyDescent="0.35">
      <c r="F64" s="3"/>
      <c r="G64" s="3"/>
      <c r="H64" s="3"/>
      <c r="I64" s="3"/>
      <c r="J64" s="3"/>
      <c r="K64" s="3"/>
      <c r="L64" s="3"/>
      <c r="M64" s="3"/>
      <c r="N64" s="3"/>
      <c r="O64" s="3"/>
      <c r="P64" s="3">
        <f>+P62-P63</f>
        <v>273243.56811391236</v>
      </c>
      <c r="Q64" s="3" t="s">
        <v>13</v>
      </c>
      <c r="R64" s="3"/>
      <c r="S64" s="3"/>
      <c r="T64" s="3"/>
      <c r="U64" s="3" t="s">
        <v>13</v>
      </c>
      <c r="V64" s="3"/>
      <c r="W64" s="3"/>
      <c r="AB64" s="3" t="s">
        <v>13</v>
      </c>
    </row>
    <row r="65" spans="6:28" x14ac:dyDescent="0.35"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 t="s">
        <v>13</v>
      </c>
      <c r="U65" s="3"/>
      <c r="V65" s="3"/>
      <c r="W65" s="3"/>
      <c r="AB65" s="3" t="s">
        <v>13</v>
      </c>
    </row>
    <row r="66" spans="6:28" x14ac:dyDescent="0.35"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>
        <f>500000-360070</f>
        <v>139930</v>
      </c>
      <c r="AB66" s="3" t="s">
        <v>13</v>
      </c>
    </row>
    <row r="67" spans="6:28" x14ac:dyDescent="0.35"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AB67" s="3" t="s">
        <v>13</v>
      </c>
    </row>
    <row r="68" spans="6:28" x14ac:dyDescent="0.35">
      <c r="F68" s="3"/>
      <c r="G68" s="3" t="s">
        <v>13</v>
      </c>
      <c r="H68" s="3" t="s">
        <v>13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AB68" s="3" t="s">
        <v>13</v>
      </c>
    </row>
    <row r="69" spans="6:28" x14ac:dyDescent="0.35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AB69" s="3" t="s">
        <v>13</v>
      </c>
    </row>
    <row r="70" spans="6:28" x14ac:dyDescent="0.35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AB70" s="3" t="s">
        <v>98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K74"/>
  <sheetViews>
    <sheetView topLeftCell="A29" workbookViewId="0">
      <selection activeCell="F41" sqref="F41"/>
    </sheetView>
  </sheetViews>
  <sheetFormatPr baseColWidth="10" defaultColWidth="11.08984375" defaultRowHeight="14.5" x14ac:dyDescent="0.35"/>
  <cols>
    <col min="1" max="1" width="42.72656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4" width="12.81640625" customWidth="1"/>
    <col min="35" max="35" width="13.36328125" customWidth="1"/>
    <col min="36" max="36" width="14.1796875" customWidth="1"/>
    <col min="37" max="37" width="13.3632812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44197</v>
      </c>
      <c r="G2" s="1">
        <v>44198</v>
      </c>
      <c r="H2" s="1">
        <v>44199</v>
      </c>
      <c r="I2" s="1">
        <v>44200</v>
      </c>
      <c r="J2" s="1">
        <v>44201</v>
      </c>
      <c r="K2" s="1">
        <v>44202</v>
      </c>
      <c r="L2" s="1">
        <v>44203</v>
      </c>
      <c r="M2" s="1">
        <v>44204</v>
      </c>
      <c r="N2" s="1">
        <v>44205</v>
      </c>
      <c r="O2" s="1">
        <v>44206</v>
      </c>
      <c r="P2" s="1">
        <v>44207</v>
      </c>
      <c r="Q2" s="1">
        <v>44208</v>
      </c>
      <c r="R2" s="1">
        <v>44209</v>
      </c>
      <c r="S2" s="1">
        <v>44210</v>
      </c>
      <c r="T2" s="1">
        <v>44211</v>
      </c>
      <c r="U2" s="1">
        <v>44212</v>
      </c>
      <c r="V2" s="1">
        <v>44213</v>
      </c>
      <c r="W2" s="1">
        <v>44214</v>
      </c>
      <c r="X2" s="1">
        <v>44215</v>
      </c>
      <c r="Y2" s="1">
        <v>44216</v>
      </c>
      <c r="Z2" s="1">
        <v>44217</v>
      </c>
      <c r="AA2" s="1">
        <v>44218</v>
      </c>
      <c r="AB2" s="1">
        <v>44219</v>
      </c>
      <c r="AC2" s="1">
        <v>44220</v>
      </c>
      <c r="AD2" s="1">
        <v>44221</v>
      </c>
      <c r="AE2" s="1">
        <v>44222</v>
      </c>
      <c r="AF2" s="1">
        <v>44223</v>
      </c>
      <c r="AG2" s="1">
        <v>44224</v>
      </c>
      <c r="AH2" s="1">
        <v>44225</v>
      </c>
      <c r="AI2" s="1">
        <v>44226</v>
      </c>
      <c r="AJ2" s="1">
        <v>44227</v>
      </c>
      <c r="AK2" s="176" t="s">
        <v>579</v>
      </c>
    </row>
    <row r="3" spans="1:37" x14ac:dyDescent="0.35">
      <c r="A3" t="s">
        <v>7</v>
      </c>
      <c r="F3" s="3">
        <f>+'DIC-20'!AJ62</f>
        <v>1552648.3236694678</v>
      </c>
      <c r="G3" s="3">
        <f t="shared" ref="G3:AJ3" si="0">+F66</f>
        <v>1552648.3236694678</v>
      </c>
      <c r="H3" s="3">
        <f t="shared" si="0"/>
        <v>1552648.3236694678</v>
      </c>
      <c r="I3" s="3">
        <f t="shared" si="0"/>
        <v>1552648.3236694678</v>
      </c>
      <c r="J3" s="3">
        <f t="shared" si="0"/>
        <v>1552648.3236694678</v>
      </c>
      <c r="K3" s="3">
        <f t="shared" si="0"/>
        <v>1552648.3236694678</v>
      </c>
      <c r="L3" s="3">
        <f t="shared" si="0"/>
        <v>1380747.3236694678</v>
      </c>
      <c r="M3" s="3">
        <f t="shared" si="0"/>
        <v>1123477.3236694678</v>
      </c>
      <c r="N3" s="3">
        <f t="shared" si="0"/>
        <v>1123477.3236694678</v>
      </c>
      <c r="O3" s="3">
        <f t="shared" si="0"/>
        <v>1123477.3236694678</v>
      </c>
      <c r="P3" s="3">
        <f t="shared" si="0"/>
        <v>1123477.3236694678</v>
      </c>
      <c r="Q3" s="3">
        <f t="shared" si="0"/>
        <v>1040718.4347805789</v>
      </c>
      <c r="R3" s="3">
        <f t="shared" si="0"/>
        <v>1040718.4347805789</v>
      </c>
      <c r="S3" s="3">
        <f t="shared" si="0"/>
        <v>1040718.4347805789</v>
      </c>
      <c r="T3" s="3">
        <f t="shared" si="0"/>
        <v>962818.43478057894</v>
      </c>
      <c r="U3" s="3">
        <f t="shared" si="0"/>
        <v>27615.434780578944</v>
      </c>
      <c r="V3" s="3">
        <f t="shared" si="0"/>
        <v>27615.434780578944</v>
      </c>
      <c r="W3" s="3">
        <f t="shared" si="0"/>
        <v>27615.434780578944</v>
      </c>
      <c r="X3" s="3">
        <f t="shared" si="0"/>
        <v>27615.434780578944</v>
      </c>
      <c r="Y3" s="3">
        <f t="shared" si="0"/>
        <v>27615.434780578944</v>
      </c>
      <c r="Z3" s="3">
        <f t="shared" si="0"/>
        <v>23432.434780578944</v>
      </c>
      <c r="AA3" s="3">
        <f t="shared" si="0"/>
        <v>23432.434780578944</v>
      </c>
      <c r="AB3" s="3">
        <f t="shared" si="0"/>
        <v>23432.434780578944</v>
      </c>
      <c r="AC3" s="3">
        <f t="shared" si="0"/>
        <v>23432.434780578944</v>
      </c>
      <c r="AD3" s="3">
        <f t="shared" si="0"/>
        <v>23432.434780578944</v>
      </c>
      <c r="AE3" s="3">
        <f t="shared" si="0"/>
        <v>23432.434780578944</v>
      </c>
      <c r="AF3" s="3">
        <f t="shared" si="0"/>
        <v>23432.434780578944</v>
      </c>
      <c r="AG3" s="3">
        <f t="shared" si="0"/>
        <v>154765.43478057894</v>
      </c>
      <c r="AH3" s="3">
        <f t="shared" si="0"/>
        <v>154765.43478057894</v>
      </c>
      <c r="AI3" s="3">
        <f t="shared" si="0"/>
        <v>404765.43478057894</v>
      </c>
      <c r="AJ3" s="3">
        <f t="shared" si="0"/>
        <v>475165.43478057894</v>
      </c>
    </row>
    <row r="4" spans="1:37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K4" s="3" t="s">
        <v>13</v>
      </c>
    </row>
    <row r="5" spans="1:37" x14ac:dyDescent="0.35">
      <c r="A5" t="s">
        <v>174</v>
      </c>
      <c r="B5" t="s">
        <v>55</v>
      </c>
      <c r="C5" s="5">
        <v>43848</v>
      </c>
      <c r="D5" s="3">
        <v>160200</v>
      </c>
      <c r="E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13</v>
      </c>
      <c r="U5" s="3"/>
      <c r="V5" s="3"/>
      <c r="W5" s="3" t="s">
        <v>13</v>
      </c>
      <c r="AE5" t="s">
        <v>13</v>
      </c>
      <c r="AH5">
        <v>250000</v>
      </c>
      <c r="AJ5" s="3">
        <v>0</v>
      </c>
      <c r="AK5" s="3">
        <f t="shared" ref="AK5:AK20" si="1">SUM(F5:AJ5)</f>
        <v>250000</v>
      </c>
    </row>
    <row r="6" spans="1:37" x14ac:dyDescent="0.35">
      <c r="A6" t="s">
        <v>199</v>
      </c>
      <c r="B6" t="s">
        <v>63</v>
      </c>
      <c r="C6" s="5">
        <v>43865</v>
      </c>
      <c r="D6" s="3">
        <v>160200</v>
      </c>
      <c r="E6" t="s">
        <v>13</v>
      </c>
      <c r="F6" s="3"/>
      <c r="G6" s="3"/>
      <c r="H6" s="3"/>
      <c r="I6" s="3" t="s">
        <v>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AE6" t="s">
        <v>13</v>
      </c>
      <c r="AI6">
        <v>70400</v>
      </c>
      <c r="AJ6" s="3">
        <v>0</v>
      </c>
      <c r="AK6" s="3">
        <f t="shared" si="1"/>
        <v>70400</v>
      </c>
    </row>
    <row r="7" spans="1:37" x14ac:dyDescent="0.35">
      <c r="A7" t="s">
        <v>203</v>
      </c>
      <c r="B7" t="s">
        <v>58</v>
      </c>
      <c r="C7" s="5">
        <v>43866</v>
      </c>
      <c r="D7" s="3">
        <v>33728</v>
      </c>
      <c r="E7" t="s">
        <v>13</v>
      </c>
      <c r="F7" s="3"/>
      <c r="G7" s="3"/>
      <c r="H7" s="3"/>
      <c r="I7" s="3"/>
      <c r="J7" s="3" t="s">
        <v>13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AJ7" s="3">
        <v>0</v>
      </c>
      <c r="AK7" s="3">
        <f t="shared" si="1"/>
        <v>0</v>
      </c>
    </row>
    <row r="8" spans="1:37" x14ac:dyDescent="0.35">
      <c r="A8" t="s">
        <v>207</v>
      </c>
      <c r="B8" t="s">
        <v>208</v>
      </c>
      <c r="C8" s="5">
        <v>43876</v>
      </c>
      <c r="D8" s="3">
        <v>160200</v>
      </c>
      <c r="E8" t="s">
        <v>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13</v>
      </c>
      <c r="T8" s="3" t="s">
        <v>13</v>
      </c>
      <c r="U8" s="3"/>
      <c r="V8" s="3"/>
      <c r="W8" s="3"/>
      <c r="AJ8" s="3">
        <v>0</v>
      </c>
      <c r="AK8" s="3">
        <f t="shared" si="1"/>
        <v>0</v>
      </c>
    </row>
    <row r="9" spans="1:37" x14ac:dyDescent="0.35">
      <c r="A9" t="s">
        <v>235</v>
      </c>
      <c r="B9" t="s">
        <v>234</v>
      </c>
      <c r="C9" s="5">
        <v>43882</v>
      </c>
      <c r="D9" s="3">
        <v>160200</v>
      </c>
      <c r="E9" t="s">
        <v>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J9" s="3">
        <v>0</v>
      </c>
      <c r="AK9" s="3">
        <f t="shared" si="1"/>
        <v>0</v>
      </c>
    </row>
    <row r="10" spans="1:37" x14ac:dyDescent="0.35">
      <c r="A10" t="s">
        <v>242</v>
      </c>
      <c r="B10" t="s">
        <v>243</v>
      </c>
      <c r="C10" s="5">
        <v>43889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 t="s">
        <v>13</v>
      </c>
      <c r="U10" s="3"/>
      <c r="V10" s="3"/>
      <c r="W10" s="3"/>
      <c r="AJ10" s="3">
        <v>0</v>
      </c>
      <c r="AK10" s="3">
        <f t="shared" si="1"/>
        <v>0</v>
      </c>
    </row>
    <row r="11" spans="1:37" x14ac:dyDescent="0.35">
      <c r="A11" t="s">
        <v>244</v>
      </c>
      <c r="B11" t="s">
        <v>245</v>
      </c>
      <c r="C11" s="5">
        <v>43892</v>
      </c>
      <c r="D11" s="3">
        <f>28475.41*1.19</f>
        <v>33885.7379</v>
      </c>
      <c r="E11" t="s">
        <v>13</v>
      </c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/>
      <c r="V11" s="3"/>
      <c r="W11" s="3"/>
      <c r="AC11" t="s">
        <v>13</v>
      </c>
      <c r="AJ11" s="3">
        <v>0</v>
      </c>
      <c r="AK11" s="3">
        <f t="shared" si="1"/>
        <v>0</v>
      </c>
    </row>
    <row r="12" spans="1:37" x14ac:dyDescent="0.35">
      <c r="A12" t="s">
        <v>299</v>
      </c>
      <c r="B12" t="s">
        <v>300</v>
      </c>
      <c r="C12" s="5">
        <v>43904</v>
      </c>
      <c r="D12" s="3">
        <v>160200</v>
      </c>
      <c r="E12" t="s">
        <v>13</v>
      </c>
      <c r="F12" s="3" t="s">
        <v>13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s">
        <v>13</v>
      </c>
      <c r="U12" s="3"/>
      <c r="V12" s="3"/>
      <c r="W12" s="3"/>
      <c r="AJ12" s="3">
        <v>0</v>
      </c>
      <c r="AK12" s="3">
        <f t="shared" si="1"/>
        <v>0</v>
      </c>
    </row>
    <row r="13" spans="1:37" x14ac:dyDescent="0.35">
      <c r="A13" t="s">
        <v>345</v>
      </c>
      <c r="B13" t="s">
        <v>344</v>
      </c>
      <c r="C13" s="5" t="s">
        <v>13</v>
      </c>
      <c r="D13" s="3">
        <f>4500*60</f>
        <v>270000</v>
      </c>
      <c r="E13" t="s">
        <v>382</v>
      </c>
      <c r="F13" s="3" t="s">
        <v>13</v>
      </c>
      <c r="G13" s="3"/>
      <c r="H13" s="3"/>
      <c r="I13" s="3"/>
      <c r="J13" s="3" t="s">
        <v>13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J13" s="3">
        <v>0</v>
      </c>
      <c r="AK13" s="3">
        <f t="shared" si="1"/>
        <v>0</v>
      </c>
    </row>
    <row r="14" spans="1:37" x14ac:dyDescent="0.35">
      <c r="A14" t="s">
        <v>555</v>
      </c>
      <c r="B14" t="s">
        <v>552</v>
      </c>
      <c r="C14" s="5">
        <v>44194</v>
      </c>
      <c r="D14" s="3">
        <v>31333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E14" t="s">
        <v>13</v>
      </c>
      <c r="AF14">
        <v>31333</v>
      </c>
      <c r="AJ14" s="3"/>
      <c r="AK14" s="3">
        <f t="shared" si="1"/>
        <v>31333</v>
      </c>
    </row>
    <row r="15" spans="1:37" x14ac:dyDescent="0.35">
      <c r="A15" t="s">
        <v>550</v>
      </c>
      <c r="B15" t="s">
        <v>553</v>
      </c>
      <c r="C15" s="5">
        <v>44194</v>
      </c>
      <c r="D15" s="3">
        <v>62665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Y15">
        <v>62665</v>
      </c>
      <c r="AJ15" s="3"/>
      <c r="AK15" s="3">
        <f t="shared" si="1"/>
        <v>62665</v>
      </c>
    </row>
    <row r="16" spans="1:37" x14ac:dyDescent="0.35">
      <c r="A16" t="s">
        <v>551</v>
      </c>
      <c r="B16" t="s">
        <v>554</v>
      </c>
      <c r="C16" s="5">
        <v>44202</v>
      </c>
      <c r="D16" s="3">
        <v>62665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Y16">
        <f>124817-Y15</f>
        <v>62152</v>
      </c>
      <c r="AF16">
        <v>515</v>
      </c>
      <c r="AJ16" s="3"/>
      <c r="AK16" s="3">
        <f>SUM(F16:AJ16)</f>
        <v>62667</v>
      </c>
    </row>
    <row r="17" spans="1:37" x14ac:dyDescent="0.35">
      <c r="A17" s="173" t="s">
        <v>556</v>
      </c>
      <c r="B17" s="173" t="s">
        <v>557</v>
      </c>
      <c r="C17" s="174">
        <v>44207</v>
      </c>
      <c r="D17" s="175">
        <v>51885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F17">
        <v>51885</v>
      </c>
      <c r="AJ17" s="3"/>
      <c r="AK17" s="3">
        <f t="shared" si="1"/>
        <v>51885</v>
      </c>
    </row>
    <row r="18" spans="1:37" x14ac:dyDescent="0.35">
      <c r="A18" s="173" t="s">
        <v>558</v>
      </c>
      <c r="B18" s="173" t="s">
        <v>559</v>
      </c>
      <c r="C18" s="174">
        <v>44207</v>
      </c>
      <c r="D18" s="175">
        <v>47600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F18">
        <v>47600</v>
      </c>
      <c r="AJ18" s="3"/>
      <c r="AK18" s="3">
        <f t="shared" si="1"/>
        <v>47600</v>
      </c>
    </row>
    <row r="19" spans="1:37" x14ac:dyDescent="0.35">
      <c r="A19" t="s">
        <v>569</v>
      </c>
      <c r="B19" t="s">
        <v>570</v>
      </c>
      <c r="C19" s="5">
        <v>44209</v>
      </c>
      <c r="D19" s="3">
        <v>31333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F19" t="s">
        <v>13</v>
      </c>
      <c r="AJ19" s="3"/>
      <c r="AK19" s="3">
        <f t="shared" si="1"/>
        <v>0</v>
      </c>
    </row>
    <row r="20" spans="1:37" x14ac:dyDescent="0.35">
      <c r="A20" s="173" t="s">
        <v>568</v>
      </c>
      <c r="B20" t="s">
        <v>567</v>
      </c>
      <c r="C20" s="5">
        <v>44209</v>
      </c>
      <c r="D20" s="3">
        <v>156664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E20" s="3" t="s">
        <v>13</v>
      </c>
      <c r="AF20" t="s">
        <v>13</v>
      </c>
      <c r="AJ20" s="3"/>
      <c r="AK20" s="3">
        <f t="shared" si="1"/>
        <v>0</v>
      </c>
    </row>
    <row r="21" spans="1:37" x14ac:dyDescent="0.35">
      <c r="A21" s="2" t="s">
        <v>580</v>
      </c>
      <c r="C21" s="5"/>
      <c r="D21" s="3" t="s">
        <v>13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I21" s="3"/>
      <c r="AK21" s="72">
        <f>SUM(AK5:AK20)</f>
        <v>576550</v>
      </c>
    </row>
    <row r="22" spans="1:37" x14ac:dyDescent="0.35">
      <c r="A22" t="s">
        <v>385</v>
      </c>
      <c r="C22" s="5">
        <v>43980</v>
      </c>
      <c r="D22" s="3">
        <v>10465</v>
      </c>
      <c r="F22" s="3"/>
      <c r="G22" s="3"/>
      <c r="H22" s="3"/>
      <c r="I22" s="3"/>
      <c r="J22" s="3"/>
      <c r="K22" s="3"/>
      <c r="M22" s="3"/>
      <c r="N22" s="3"/>
      <c r="O22" s="3"/>
      <c r="Q22" s="3"/>
      <c r="R22" s="3"/>
      <c r="S22" s="3"/>
      <c r="T22" s="3"/>
      <c r="U22" s="3"/>
      <c r="W22" s="3"/>
      <c r="AJ22" s="3">
        <v>0</v>
      </c>
      <c r="AK22" s="72" t="s">
        <v>13</v>
      </c>
    </row>
    <row r="23" spans="1:37" x14ac:dyDescent="0.35">
      <c r="A23" t="s">
        <v>60</v>
      </c>
      <c r="D23" s="3">
        <v>0</v>
      </c>
      <c r="F23" s="3">
        <v>0</v>
      </c>
      <c r="G23" s="3">
        <v>0</v>
      </c>
      <c r="H23" s="3"/>
      <c r="I23" s="3"/>
      <c r="J23" s="3"/>
      <c r="K23" s="3" t="s">
        <v>13</v>
      </c>
      <c r="M23" s="3"/>
      <c r="N23" s="3"/>
      <c r="O23" s="3" t="s">
        <v>13</v>
      </c>
      <c r="P23" s="3"/>
      <c r="Q23" s="3"/>
      <c r="R23" s="3" t="s">
        <v>13</v>
      </c>
      <c r="S23" s="3"/>
      <c r="T23" s="3"/>
      <c r="U23" s="3"/>
      <c r="V23" s="3"/>
      <c r="W23" s="3"/>
    </row>
    <row r="24" spans="1:37" x14ac:dyDescent="0.35">
      <c r="A24" t="s">
        <v>1</v>
      </c>
      <c r="F24" s="3"/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7" x14ac:dyDescent="0.35">
      <c r="A25" t="s">
        <v>478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 t="s">
        <v>13</v>
      </c>
      <c r="S25" s="3"/>
      <c r="T25" s="3"/>
      <c r="U25" s="3"/>
      <c r="V25" s="3"/>
      <c r="W25" s="3"/>
    </row>
    <row r="26" spans="1:37" x14ac:dyDescent="0.35">
      <c r="A26" t="s">
        <v>204</v>
      </c>
      <c r="D26" s="3">
        <v>2001574</v>
      </c>
      <c r="F26" s="3"/>
      <c r="G26" s="3"/>
      <c r="H26" s="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AJ26" s="3">
        <v>0</v>
      </c>
    </row>
    <row r="27" spans="1:37" x14ac:dyDescent="0.35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7" x14ac:dyDescent="0.3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7" x14ac:dyDescent="0.35">
      <c r="A29" s="2" t="s">
        <v>6</v>
      </c>
      <c r="F29" s="3">
        <f t="shared" ref="F29:AJ29" si="2">SUM(F5:F28)</f>
        <v>0</v>
      </c>
      <c r="G29" s="3">
        <f t="shared" si="2"/>
        <v>0</v>
      </c>
      <c r="H29" s="3">
        <f t="shared" si="2"/>
        <v>0</v>
      </c>
      <c r="I29" s="3">
        <f t="shared" si="2"/>
        <v>0</v>
      </c>
      <c r="J29" s="3">
        <f>SUM(J5:J28)</f>
        <v>0</v>
      </c>
      <c r="K29" s="3">
        <f t="shared" si="2"/>
        <v>0</v>
      </c>
      <c r="L29" s="3">
        <f t="shared" si="2"/>
        <v>0</v>
      </c>
      <c r="M29" s="3">
        <f t="shared" si="2"/>
        <v>0</v>
      </c>
      <c r="N29" s="3">
        <f t="shared" si="2"/>
        <v>0</v>
      </c>
      <c r="O29" s="3">
        <f t="shared" si="2"/>
        <v>0</v>
      </c>
      <c r="P29" s="3">
        <f t="shared" si="2"/>
        <v>0</v>
      </c>
      <c r="Q29" s="3">
        <f t="shared" si="2"/>
        <v>0</v>
      </c>
      <c r="R29" s="3">
        <f t="shared" si="2"/>
        <v>0</v>
      </c>
      <c r="S29" s="3">
        <f t="shared" si="2"/>
        <v>0</v>
      </c>
      <c r="T29" s="3">
        <f t="shared" si="2"/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3">
        <f t="shared" si="2"/>
        <v>0</v>
      </c>
      <c r="Y29" s="3">
        <f t="shared" si="2"/>
        <v>124817</v>
      </c>
      <c r="Z29" s="3">
        <f t="shared" si="2"/>
        <v>0</v>
      </c>
      <c r="AA29" s="3">
        <f t="shared" si="2"/>
        <v>0</v>
      </c>
      <c r="AB29" s="3">
        <f t="shared" si="2"/>
        <v>0</v>
      </c>
      <c r="AC29" s="3">
        <f t="shared" si="2"/>
        <v>0</v>
      </c>
      <c r="AD29" s="3">
        <f t="shared" si="2"/>
        <v>0</v>
      </c>
      <c r="AE29" s="3">
        <f t="shared" si="2"/>
        <v>0</v>
      </c>
      <c r="AF29" s="3">
        <f t="shared" si="2"/>
        <v>131333</v>
      </c>
      <c r="AG29" s="3">
        <f t="shared" si="2"/>
        <v>0</v>
      </c>
      <c r="AH29" s="3">
        <f t="shared" si="2"/>
        <v>250000</v>
      </c>
      <c r="AI29" s="3">
        <f t="shared" si="2"/>
        <v>70400</v>
      </c>
      <c r="AJ29" s="3">
        <f t="shared" si="2"/>
        <v>0</v>
      </c>
    </row>
    <row r="30" spans="1:37" x14ac:dyDescent="0.35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7" x14ac:dyDescent="0.35">
      <c r="A31" s="2" t="s">
        <v>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7" x14ac:dyDescent="0.35">
      <c r="A32" s="4" t="s">
        <v>409</v>
      </c>
      <c r="B32" s="24" t="s">
        <v>337</v>
      </c>
      <c r="C32" s="67"/>
      <c r="D32" s="3">
        <f>500000/2</f>
        <v>250000</v>
      </c>
      <c r="F32" s="3"/>
      <c r="G32" s="3"/>
      <c r="H32" s="3"/>
      <c r="I32" s="3"/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  <c r="AJ32" s="3">
        <v>0</v>
      </c>
    </row>
    <row r="33" spans="1:37" x14ac:dyDescent="0.35">
      <c r="A33" s="4" t="s">
        <v>410</v>
      </c>
      <c r="B33" s="24" t="s">
        <v>337</v>
      </c>
      <c r="C33" s="67"/>
      <c r="D33" s="3">
        <f>500000/2</f>
        <v>250000</v>
      </c>
      <c r="F33" s="3"/>
      <c r="G33" s="3"/>
      <c r="H33" s="3"/>
      <c r="I33" s="3"/>
      <c r="J33" t="s">
        <v>13</v>
      </c>
      <c r="K33" s="3"/>
      <c r="L33" s="3"/>
      <c r="M33" s="3"/>
      <c r="P33" s="3"/>
      <c r="Q33" s="3"/>
      <c r="R33" s="3"/>
      <c r="S33" s="3"/>
      <c r="T33" s="3"/>
      <c r="U33" s="3"/>
      <c r="V33" s="3"/>
      <c r="W33" s="3"/>
      <c r="AJ33" s="3">
        <v>0</v>
      </c>
    </row>
    <row r="34" spans="1:37" x14ac:dyDescent="0.35">
      <c r="A34" s="4" t="s">
        <v>411</v>
      </c>
      <c r="B34" s="24" t="s">
        <v>337</v>
      </c>
      <c r="C34" s="67"/>
      <c r="D34" s="3">
        <f>500000/2</f>
        <v>250000</v>
      </c>
      <c r="F34" s="3"/>
      <c r="G34" s="3"/>
      <c r="H34" s="3"/>
      <c r="I34" s="3"/>
      <c r="K34" s="3"/>
      <c r="L34" s="3"/>
      <c r="M34" s="3"/>
      <c r="P34" s="3"/>
      <c r="Q34" s="3"/>
      <c r="R34" s="3"/>
      <c r="S34" s="3"/>
      <c r="T34" s="3"/>
      <c r="U34" s="3"/>
      <c r="V34" s="3"/>
      <c r="W34" s="3"/>
      <c r="AJ34" s="3">
        <v>0</v>
      </c>
    </row>
    <row r="35" spans="1:37" x14ac:dyDescent="0.35">
      <c r="A35" s="4" t="s">
        <v>492</v>
      </c>
      <c r="B35" s="24" t="s">
        <v>337</v>
      </c>
      <c r="C35" s="67"/>
      <c r="D35" s="3">
        <v>250000</v>
      </c>
      <c r="F35" s="3"/>
      <c r="G35" s="3"/>
      <c r="H35" s="3"/>
      <c r="I35" s="3"/>
      <c r="K35" s="3"/>
      <c r="L35" s="3"/>
      <c r="M35" s="3"/>
      <c r="P35" s="3"/>
      <c r="Q35" s="3"/>
      <c r="R35" s="3"/>
      <c r="S35" s="3"/>
      <c r="T35" s="3"/>
      <c r="U35" s="3"/>
      <c r="V35" s="3"/>
      <c r="W35" s="3"/>
      <c r="AJ35" s="3">
        <v>0</v>
      </c>
    </row>
    <row r="36" spans="1:37" x14ac:dyDescent="0.35">
      <c r="A36" s="4" t="s">
        <v>494</v>
      </c>
      <c r="B36" s="24" t="s">
        <v>337</v>
      </c>
      <c r="C36" s="67"/>
      <c r="D36" s="3">
        <v>500000</v>
      </c>
      <c r="F36" s="3"/>
      <c r="G36" s="3"/>
      <c r="H36" s="3"/>
      <c r="I36" s="3"/>
      <c r="K36" s="3"/>
      <c r="L36" s="3"/>
      <c r="M36" s="3"/>
      <c r="P36" s="3"/>
      <c r="Q36" s="3"/>
      <c r="R36" s="3"/>
      <c r="S36" s="3"/>
      <c r="T36" s="3"/>
      <c r="U36" s="3"/>
      <c r="V36" s="3"/>
      <c r="W36" s="3"/>
      <c r="AJ36" s="3">
        <v>0</v>
      </c>
    </row>
    <row r="37" spans="1:37" x14ac:dyDescent="0.35">
      <c r="A37" s="4" t="s">
        <v>495</v>
      </c>
      <c r="B37" s="24" t="s">
        <v>337</v>
      </c>
      <c r="C37" s="67"/>
      <c r="D37" s="3">
        <v>500000</v>
      </c>
      <c r="F37" s="3"/>
      <c r="G37" s="3"/>
      <c r="H37" s="3"/>
      <c r="I37" s="3"/>
      <c r="K37" s="3"/>
      <c r="L37" s="3"/>
      <c r="M37" s="3"/>
      <c r="P37" s="3"/>
      <c r="Q37" s="3"/>
      <c r="R37" s="3"/>
      <c r="S37" s="3"/>
      <c r="T37" s="3"/>
      <c r="U37" s="3"/>
      <c r="V37" s="3"/>
      <c r="W37" s="3"/>
      <c r="AJ37" s="3">
        <v>0</v>
      </c>
    </row>
    <row r="38" spans="1:37" x14ac:dyDescent="0.35">
      <c r="A38" s="4" t="s">
        <v>541</v>
      </c>
      <c r="B38" s="24" t="s">
        <v>337</v>
      </c>
      <c r="C38" s="67"/>
      <c r="D38" s="3">
        <v>500000</v>
      </c>
      <c r="F38" s="3"/>
      <c r="G38" s="3"/>
      <c r="H38" s="3"/>
      <c r="I38" s="3"/>
      <c r="K38" s="3"/>
      <c r="L38" s="3"/>
      <c r="M38" s="3"/>
      <c r="P38" s="3"/>
      <c r="Q38" s="3"/>
      <c r="R38" s="3"/>
      <c r="S38" s="3"/>
      <c r="T38" s="3"/>
      <c r="U38" s="3"/>
      <c r="V38" s="3"/>
      <c r="W38" s="3"/>
      <c r="AJ38" s="3">
        <v>0</v>
      </c>
    </row>
    <row r="39" spans="1:37" x14ac:dyDescent="0.35">
      <c r="A39" t="s">
        <v>241</v>
      </c>
      <c r="B39" t="s">
        <v>337</v>
      </c>
      <c r="C39" s="5" t="s">
        <v>13</v>
      </c>
      <c r="D39" s="3">
        <f>+AJ39</f>
        <v>0</v>
      </c>
      <c r="F39" s="3"/>
      <c r="G39" s="3"/>
      <c r="H39" s="3"/>
      <c r="I39" s="3"/>
      <c r="J39" s="3"/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W39" s="3"/>
      <c r="AJ39" s="3">
        <v>0</v>
      </c>
      <c r="AK39" t="s">
        <v>13</v>
      </c>
    </row>
    <row r="40" spans="1:37" x14ac:dyDescent="0.35">
      <c r="A40" s="4" t="s">
        <v>506</v>
      </c>
      <c r="B40" s="24"/>
      <c r="C40" s="67">
        <v>44194</v>
      </c>
      <c r="D40" s="3">
        <f>+(25.6*2)*790/9</f>
        <v>4494.2222222222226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>+(25.6*2)*790/9</f>
        <v>4494.2222222222226</v>
      </c>
      <c r="Q40" s="3"/>
      <c r="R40" s="3"/>
      <c r="S40" s="3"/>
      <c r="T40" s="3"/>
      <c r="U40" s="3"/>
      <c r="V40" s="3"/>
      <c r="W40" s="3"/>
      <c r="Y40" s="3"/>
      <c r="AB40" s="3"/>
      <c r="AJ40" s="3">
        <v>0</v>
      </c>
    </row>
    <row r="41" spans="1:37" x14ac:dyDescent="0.35">
      <c r="A41" s="4" t="s">
        <v>540</v>
      </c>
      <c r="B41" t="s">
        <v>539</v>
      </c>
      <c r="C41" s="67">
        <v>44155</v>
      </c>
      <c r="D41" s="3">
        <v>7270</v>
      </c>
      <c r="E41" t="s">
        <v>401</v>
      </c>
      <c r="F41" s="3" t="s">
        <v>13</v>
      </c>
      <c r="G41" s="3"/>
      <c r="H41" s="3"/>
      <c r="I41" s="3"/>
      <c r="J41" s="3"/>
      <c r="K41" s="3"/>
      <c r="L41" s="3">
        <v>7270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</row>
    <row r="42" spans="1:37" x14ac:dyDescent="0.35">
      <c r="A42" s="4" t="s">
        <v>545</v>
      </c>
      <c r="B42" s="24" t="s">
        <v>577</v>
      </c>
      <c r="C42" s="67">
        <v>44182</v>
      </c>
      <c r="D42" s="3">
        <v>121856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</row>
    <row r="43" spans="1:37" x14ac:dyDescent="0.35">
      <c r="A43" s="4" t="s">
        <v>549</v>
      </c>
      <c r="B43" s="24" t="s">
        <v>78</v>
      </c>
      <c r="C43" s="67">
        <v>44195</v>
      </c>
      <c r="D43" s="3">
        <v>240975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</row>
    <row r="44" spans="1:37" x14ac:dyDescent="0.35">
      <c r="A44" s="4" t="s">
        <v>484</v>
      </c>
      <c r="C44" s="67">
        <v>44201</v>
      </c>
      <c r="D44" s="3">
        <f>(23.4*2)*810/9</f>
        <v>4212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>
        <f>(23.4*2)*810/9</f>
        <v>4212</v>
      </c>
      <c r="Q44" s="3"/>
      <c r="R44" s="3"/>
      <c r="S44" s="3"/>
      <c r="T44" s="3"/>
      <c r="U44" s="3"/>
      <c r="V44" s="3"/>
      <c r="W44" s="3"/>
      <c r="Y44" s="3"/>
    </row>
    <row r="45" spans="1:37" x14ac:dyDescent="0.35">
      <c r="A45" s="4" t="s">
        <v>506</v>
      </c>
      <c r="B45" s="24"/>
      <c r="C45" s="67">
        <v>44201</v>
      </c>
      <c r="D45" s="3">
        <f>+(25.6*2)*790/9</f>
        <v>4494.2222222222226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>
        <f>+(25.6*2)*790/9</f>
        <v>4494.2222222222226</v>
      </c>
      <c r="Q45" s="3"/>
      <c r="R45" s="3"/>
      <c r="S45" s="3"/>
      <c r="T45" s="3"/>
      <c r="U45" s="3"/>
      <c r="V45" s="3"/>
      <c r="W45" s="3"/>
      <c r="Y45" s="3"/>
    </row>
    <row r="46" spans="1:37" x14ac:dyDescent="0.35">
      <c r="A46" s="4" t="s">
        <v>546</v>
      </c>
      <c r="B46" s="24" t="s">
        <v>564</v>
      </c>
      <c r="C46" s="67">
        <v>44202</v>
      </c>
      <c r="D46" s="3">
        <v>475030</v>
      </c>
      <c r="F46" s="3"/>
      <c r="G46" s="3"/>
      <c r="H46" s="3"/>
      <c r="I46" s="3"/>
      <c r="J46" s="3"/>
      <c r="K46" s="3"/>
      <c r="L46" s="3"/>
      <c r="M46" s="3"/>
      <c r="N46" s="3"/>
      <c r="O46" s="3"/>
      <c r="Q46" s="3"/>
      <c r="R46" s="3"/>
      <c r="S46" s="3"/>
      <c r="T46" s="3">
        <v>475030</v>
      </c>
      <c r="U46" s="3"/>
      <c r="V46" s="3"/>
      <c r="W46" s="3"/>
      <c r="Y46" s="3"/>
    </row>
    <row r="47" spans="1:37" x14ac:dyDescent="0.35">
      <c r="A47" s="4" t="s">
        <v>547</v>
      </c>
      <c r="B47" s="24" t="s">
        <v>565</v>
      </c>
      <c r="C47" s="67">
        <v>44202</v>
      </c>
      <c r="D47" s="3">
        <v>142800</v>
      </c>
      <c r="F47" s="3"/>
      <c r="G47" s="3"/>
      <c r="H47" s="3"/>
      <c r="I47" s="3"/>
      <c r="J47" s="3"/>
      <c r="K47" s="3"/>
      <c r="L47" s="3"/>
      <c r="M47" s="3"/>
      <c r="N47" s="3"/>
      <c r="O47" s="3"/>
      <c r="Q47" s="3"/>
      <c r="R47" s="3"/>
      <c r="S47" s="3"/>
      <c r="T47" s="3">
        <v>142800</v>
      </c>
      <c r="U47" s="3"/>
      <c r="V47" s="3"/>
      <c r="W47" s="3"/>
      <c r="Y47" s="3"/>
    </row>
    <row r="48" spans="1:37" x14ac:dyDescent="0.35">
      <c r="A48" s="4" t="s">
        <v>536</v>
      </c>
      <c r="B48" t="s">
        <v>537</v>
      </c>
      <c r="C48" s="67">
        <v>44202</v>
      </c>
      <c r="D48" s="3">
        <f>164901+7000</f>
        <v>171901</v>
      </c>
      <c r="F48" s="3"/>
      <c r="G48" s="3"/>
      <c r="H48" s="3"/>
      <c r="I48" s="3"/>
      <c r="J48" s="3"/>
      <c r="K48" s="3">
        <f>164901+7000</f>
        <v>171901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</row>
    <row r="49" spans="1:25" x14ac:dyDescent="0.35">
      <c r="A49" s="4" t="s">
        <v>561</v>
      </c>
      <c r="B49" s="24" t="s">
        <v>560</v>
      </c>
      <c r="C49" s="67">
        <v>44203</v>
      </c>
      <c r="D49" s="3">
        <v>283101</v>
      </c>
      <c r="F49" s="3"/>
      <c r="G49" s="3"/>
      <c r="H49" s="3"/>
      <c r="I49" s="3"/>
      <c r="J49" s="3"/>
      <c r="K49" s="3"/>
      <c r="L49" s="3"/>
      <c r="M49" s="3"/>
      <c r="N49" s="3"/>
      <c r="O49" s="3"/>
      <c r="Q49" s="3"/>
      <c r="R49" s="3"/>
      <c r="S49" s="3"/>
      <c r="T49" s="3">
        <v>283101</v>
      </c>
      <c r="U49" s="3"/>
      <c r="V49" s="3"/>
      <c r="W49" s="3"/>
      <c r="Y49" s="3"/>
    </row>
    <row r="50" spans="1:25" x14ac:dyDescent="0.35">
      <c r="A50" s="4" t="s">
        <v>545</v>
      </c>
      <c r="B50" s="24" t="s">
        <v>566</v>
      </c>
      <c r="C50" s="67">
        <v>44203</v>
      </c>
      <c r="D50" s="3">
        <v>34272</v>
      </c>
      <c r="F50" s="3"/>
      <c r="G50" s="3"/>
      <c r="H50" s="3"/>
      <c r="I50" s="3"/>
      <c r="J50" s="3"/>
      <c r="K50" s="3"/>
      <c r="L50" s="3"/>
      <c r="M50" s="3"/>
      <c r="N50" s="3"/>
      <c r="O50" s="3"/>
      <c r="Q50" s="3"/>
      <c r="R50" s="3"/>
      <c r="S50" s="3"/>
      <c r="T50" s="3">
        <v>34272</v>
      </c>
      <c r="U50" s="3"/>
      <c r="V50" s="3"/>
      <c r="W50" s="3"/>
      <c r="Y50" s="3"/>
    </row>
    <row r="51" spans="1:25" x14ac:dyDescent="0.35">
      <c r="A51" s="4" t="s">
        <v>548</v>
      </c>
      <c r="B51" s="24" t="s">
        <v>563</v>
      </c>
      <c r="C51" s="67">
        <v>44203</v>
      </c>
      <c r="D51" s="3">
        <v>28988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</row>
    <row r="52" spans="1:25" x14ac:dyDescent="0.35">
      <c r="A52" s="4" t="s">
        <v>538</v>
      </c>
      <c r="C52" s="67">
        <v>44203</v>
      </c>
      <c r="D52" s="3">
        <v>250000</v>
      </c>
      <c r="F52" s="3"/>
      <c r="G52" s="3"/>
      <c r="H52" s="3"/>
      <c r="I52" s="3"/>
      <c r="J52" s="3"/>
      <c r="K52" s="3"/>
      <c r="L52" s="3">
        <v>250000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</row>
    <row r="53" spans="1:25" x14ac:dyDescent="0.35">
      <c r="A53" s="4" t="s">
        <v>506</v>
      </c>
      <c r="B53" s="24"/>
      <c r="C53" s="67">
        <v>44203</v>
      </c>
      <c r="D53" s="3">
        <f>+(25.6*2)*790/9</f>
        <v>4494.2222222222226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>
        <f>+(25.6*2)*790/9</f>
        <v>4494.2222222222226</v>
      </c>
      <c r="Q53" s="3"/>
      <c r="R53" s="3"/>
      <c r="S53" s="3"/>
      <c r="T53" s="3"/>
      <c r="U53" s="3"/>
      <c r="V53" s="3"/>
      <c r="W53" s="3"/>
      <c r="Y53" s="3"/>
    </row>
    <row r="54" spans="1:25" x14ac:dyDescent="0.35">
      <c r="A54" s="4" t="s">
        <v>542</v>
      </c>
      <c r="B54" s="24" t="s">
        <v>543</v>
      </c>
      <c r="C54" s="67">
        <v>44204</v>
      </c>
      <c r="D54" s="3">
        <v>77900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>
        <v>77900</v>
      </c>
      <c r="T54" s="3"/>
      <c r="U54" s="3"/>
      <c r="V54" s="3"/>
      <c r="W54" s="3"/>
      <c r="Y54" s="3"/>
    </row>
    <row r="55" spans="1:25" x14ac:dyDescent="0.35">
      <c r="A55" s="4" t="s">
        <v>506</v>
      </c>
      <c r="B55" s="24"/>
      <c r="C55" s="67">
        <v>44204</v>
      </c>
      <c r="D55" s="3">
        <f>+(25.6*2)*790/9</f>
        <v>4494.2222222222226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>
        <f>+(25.6*2)*790/9</f>
        <v>4494.2222222222226</v>
      </c>
      <c r="Q55" s="3"/>
      <c r="R55" s="3"/>
      <c r="S55" s="3"/>
      <c r="T55" s="3"/>
      <c r="U55" s="3"/>
      <c r="V55" s="3"/>
      <c r="W55" s="3"/>
      <c r="Y55" s="3"/>
    </row>
    <row r="56" spans="1:25" x14ac:dyDescent="0.35">
      <c r="A56" s="4" t="s">
        <v>168</v>
      </c>
      <c r="B56" s="24"/>
      <c r="C56" s="67">
        <v>44207</v>
      </c>
      <c r="D56" s="3">
        <v>60570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>
        <v>60570</v>
      </c>
      <c r="Q56" s="3"/>
      <c r="R56" s="3"/>
      <c r="S56" s="3"/>
      <c r="T56" s="3"/>
      <c r="U56" s="3"/>
      <c r="V56" s="3"/>
      <c r="W56" s="3"/>
      <c r="Y56" s="3"/>
    </row>
    <row r="57" spans="1:25" x14ac:dyDescent="0.35">
      <c r="A57" s="4" t="s">
        <v>506</v>
      </c>
      <c r="B57" s="24"/>
      <c r="C57" s="67">
        <v>44207</v>
      </c>
      <c r="D57" s="3">
        <f>+(25.6*2)*790/9</f>
        <v>4494.2222222222226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</row>
    <row r="58" spans="1:25" x14ac:dyDescent="0.35">
      <c r="A58" s="4" t="s">
        <v>506</v>
      </c>
      <c r="B58" s="24"/>
      <c r="C58" s="67">
        <v>44208</v>
      </c>
      <c r="D58" s="3">
        <f>+(25.6*2)*790/9</f>
        <v>4494.2222222222226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</row>
    <row r="59" spans="1:25" x14ac:dyDescent="0.35">
      <c r="A59" s="4" t="s">
        <v>562</v>
      </c>
      <c r="B59" s="24"/>
      <c r="C59" s="67">
        <v>44209</v>
      </c>
      <c r="D59" s="3">
        <f>+(25.6*2)*790/9</f>
        <v>4494.2222222222226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</row>
    <row r="60" spans="1:25" x14ac:dyDescent="0.35">
      <c r="A60" s="4" t="s">
        <v>571</v>
      </c>
      <c r="B60" s="24" t="s">
        <v>574</v>
      </c>
      <c r="C60" s="67">
        <v>44203</v>
      </c>
      <c r="D60" s="3">
        <v>15700</v>
      </c>
      <c r="E60" t="s">
        <v>517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</row>
    <row r="61" spans="1:25" x14ac:dyDescent="0.35">
      <c r="A61" s="4" t="s">
        <v>572</v>
      </c>
      <c r="B61" s="24" t="s">
        <v>573</v>
      </c>
      <c r="C61" s="67">
        <v>44204</v>
      </c>
      <c r="D61" s="3">
        <v>5990</v>
      </c>
      <c r="E61" t="s">
        <v>517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</row>
    <row r="62" spans="1:25" x14ac:dyDescent="0.35">
      <c r="A62" s="4" t="s">
        <v>571</v>
      </c>
      <c r="B62" s="24" t="s">
        <v>575</v>
      </c>
      <c r="C62" s="67">
        <v>44210</v>
      </c>
      <c r="D62" s="3">
        <v>12730</v>
      </c>
      <c r="E62" t="s">
        <v>517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 t="s">
        <v>13</v>
      </c>
    </row>
    <row r="63" spans="1:25" x14ac:dyDescent="0.35">
      <c r="A63" s="4" t="s">
        <v>578</v>
      </c>
      <c r="B63" s="24"/>
      <c r="C63" s="67">
        <v>44216</v>
      </c>
      <c r="D63" s="3">
        <v>129000</v>
      </c>
      <c r="E63" t="s">
        <v>401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>
        <v>129000</v>
      </c>
    </row>
    <row r="64" spans="1:25" x14ac:dyDescent="0.35">
      <c r="A64" s="4"/>
      <c r="B64" s="24"/>
      <c r="C64" s="67"/>
      <c r="D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</row>
    <row r="65" spans="1:36" x14ac:dyDescent="0.35">
      <c r="A65" s="2" t="s">
        <v>9</v>
      </c>
      <c r="F65" s="3">
        <f t="shared" ref="F65:AJ65" si="3">SUM(F32:F63)</f>
        <v>0</v>
      </c>
      <c r="G65" s="3">
        <f t="shared" si="3"/>
        <v>0</v>
      </c>
      <c r="H65" s="3">
        <f t="shared" si="3"/>
        <v>0</v>
      </c>
      <c r="I65" s="3">
        <f t="shared" si="3"/>
        <v>0</v>
      </c>
      <c r="J65" s="3">
        <f t="shared" si="3"/>
        <v>0</v>
      </c>
      <c r="K65" s="3">
        <f t="shared" si="3"/>
        <v>171901</v>
      </c>
      <c r="L65" s="3">
        <f t="shared" si="3"/>
        <v>257270</v>
      </c>
      <c r="M65" s="3">
        <f t="shared" si="3"/>
        <v>0</v>
      </c>
      <c r="N65" s="3">
        <f t="shared" si="3"/>
        <v>0</v>
      </c>
      <c r="O65" s="3">
        <f t="shared" si="3"/>
        <v>0</v>
      </c>
      <c r="P65" s="3">
        <f t="shared" si="3"/>
        <v>82758.888888888891</v>
      </c>
      <c r="Q65" s="3">
        <f t="shared" si="3"/>
        <v>0</v>
      </c>
      <c r="R65" s="3">
        <f t="shared" si="3"/>
        <v>0</v>
      </c>
      <c r="S65" s="3">
        <f t="shared" si="3"/>
        <v>77900</v>
      </c>
      <c r="T65" s="3">
        <f t="shared" si="3"/>
        <v>935203</v>
      </c>
      <c r="U65" s="3">
        <f t="shared" si="3"/>
        <v>0</v>
      </c>
      <c r="V65" s="3">
        <f t="shared" si="3"/>
        <v>0</v>
      </c>
      <c r="W65" s="3">
        <f t="shared" si="3"/>
        <v>0</v>
      </c>
      <c r="X65" s="3">
        <f t="shared" si="3"/>
        <v>0</v>
      </c>
      <c r="Y65" s="3">
        <f t="shared" si="3"/>
        <v>129000</v>
      </c>
      <c r="Z65" s="3">
        <f t="shared" si="3"/>
        <v>0</v>
      </c>
      <c r="AA65" s="3">
        <f t="shared" si="3"/>
        <v>0</v>
      </c>
      <c r="AB65" s="3">
        <f t="shared" si="3"/>
        <v>0</v>
      </c>
      <c r="AC65" s="3">
        <f t="shared" si="3"/>
        <v>0</v>
      </c>
      <c r="AD65" s="3">
        <f t="shared" si="3"/>
        <v>0</v>
      </c>
      <c r="AE65" s="3">
        <f t="shared" si="3"/>
        <v>0</v>
      </c>
      <c r="AF65" s="3">
        <f t="shared" si="3"/>
        <v>0</v>
      </c>
      <c r="AG65" s="3">
        <f t="shared" si="3"/>
        <v>0</v>
      </c>
      <c r="AH65" s="3">
        <f t="shared" si="3"/>
        <v>0</v>
      </c>
      <c r="AI65" s="3">
        <f t="shared" si="3"/>
        <v>0</v>
      </c>
      <c r="AJ65" s="3">
        <f t="shared" si="3"/>
        <v>0</v>
      </c>
    </row>
    <row r="66" spans="1:36" x14ac:dyDescent="0.35">
      <c r="A66" t="s">
        <v>8</v>
      </c>
      <c r="F66" s="3">
        <f>+F29+F3-F65</f>
        <v>1552648.3236694678</v>
      </c>
      <c r="G66" s="3">
        <f t="shared" ref="G66:AJ66" si="4">+G3+G29-G65</f>
        <v>1552648.3236694678</v>
      </c>
      <c r="H66" s="3">
        <f t="shared" si="4"/>
        <v>1552648.3236694678</v>
      </c>
      <c r="I66" s="3">
        <f t="shared" si="4"/>
        <v>1552648.3236694678</v>
      </c>
      <c r="J66" s="3">
        <f t="shared" si="4"/>
        <v>1552648.3236694678</v>
      </c>
      <c r="K66" s="3">
        <f t="shared" si="4"/>
        <v>1380747.3236694678</v>
      </c>
      <c r="L66" s="3">
        <f t="shared" si="4"/>
        <v>1123477.3236694678</v>
      </c>
      <c r="M66" s="3">
        <f t="shared" si="4"/>
        <v>1123477.3236694678</v>
      </c>
      <c r="N66" s="3">
        <f t="shared" si="4"/>
        <v>1123477.3236694678</v>
      </c>
      <c r="O66" s="3">
        <f t="shared" si="4"/>
        <v>1123477.3236694678</v>
      </c>
      <c r="P66" s="3">
        <f t="shared" si="4"/>
        <v>1040718.4347805789</v>
      </c>
      <c r="Q66" s="3">
        <f t="shared" si="4"/>
        <v>1040718.4347805789</v>
      </c>
      <c r="R66" s="3">
        <f t="shared" si="4"/>
        <v>1040718.4347805789</v>
      </c>
      <c r="S66" s="3">
        <f t="shared" si="4"/>
        <v>962818.43478057894</v>
      </c>
      <c r="T66" s="3">
        <f t="shared" si="4"/>
        <v>27615.434780578944</v>
      </c>
      <c r="U66" s="3">
        <f t="shared" si="4"/>
        <v>27615.434780578944</v>
      </c>
      <c r="V66" s="3">
        <f t="shared" si="4"/>
        <v>27615.434780578944</v>
      </c>
      <c r="W66" s="3">
        <f t="shared" si="4"/>
        <v>27615.434780578944</v>
      </c>
      <c r="X66" s="3">
        <f t="shared" si="4"/>
        <v>27615.434780578944</v>
      </c>
      <c r="Y66" s="3">
        <f t="shared" si="4"/>
        <v>23432.434780578944</v>
      </c>
      <c r="Z66" s="3">
        <f t="shared" si="4"/>
        <v>23432.434780578944</v>
      </c>
      <c r="AA66" s="3">
        <f t="shared" si="4"/>
        <v>23432.434780578944</v>
      </c>
      <c r="AB66" s="3">
        <f t="shared" si="4"/>
        <v>23432.434780578944</v>
      </c>
      <c r="AC66" s="3">
        <f t="shared" si="4"/>
        <v>23432.434780578944</v>
      </c>
      <c r="AD66" s="3">
        <f t="shared" si="4"/>
        <v>23432.434780578944</v>
      </c>
      <c r="AE66" s="3">
        <f t="shared" si="4"/>
        <v>23432.434780578944</v>
      </c>
      <c r="AF66" s="3">
        <f t="shared" si="4"/>
        <v>154765.43478057894</v>
      </c>
      <c r="AG66" s="3">
        <f t="shared" si="4"/>
        <v>154765.43478057894</v>
      </c>
      <c r="AH66" s="3">
        <f t="shared" si="4"/>
        <v>404765.43478057894</v>
      </c>
      <c r="AI66" s="3">
        <f t="shared" si="4"/>
        <v>475165.43478057894</v>
      </c>
      <c r="AJ66" s="3">
        <f t="shared" si="4"/>
        <v>475165.43478057894</v>
      </c>
    </row>
    <row r="67" spans="1:36" x14ac:dyDescent="0.35">
      <c r="F67" s="3"/>
      <c r="G67" s="3"/>
      <c r="H67" s="3"/>
      <c r="I67" s="3" t="s">
        <v>13</v>
      </c>
      <c r="J67" s="3"/>
      <c r="K67" s="3"/>
      <c r="L67" s="3"/>
      <c r="M67" s="3"/>
      <c r="N67" s="3"/>
      <c r="O67" s="3"/>
      <c r="P67" s="3">
        <v>1040719</v>
      </c>
      <c r="Q67" s="3"/>
      <c r="R67" s="3"/>
      <c r="S67" s="3"/>
      <c r="T67" s="3" t="s">
        <v>13</v>
      </c>
      <c r="U67" s="3"/>
      <c r="V67" s="3"/>
      <c r="W67" s="3"/>
      <c r="Y67" s="3" t="s">
        <v>13</v>
      </c>
      <c r="AA67" s="3" t="s">
        <v>13</v>
      </c>
      <c r="AB67" s="3" t="s">
        <v>13</v>
      </c>
    </row>
    <row r="68" spans="1:36" x14ac:dyDescent="0.35">
      <c r="F68" s="3"/>
      <c r="G68" s="3"/>
      <c r="H68" s="3"/>
      <c r="I68" s="3"/>
      <c r="J68" s="3"/>
      <c r="K68" s="3"/>
      <c r="L68" s="3"/>
      <c r="M68" s="3"/>
      <c r="N68" s="3"/>
      <c r="O68" s="3"/>
      <c r="P68" s="3" t="s">
        <v>13</v>
      </c>
      <c r="Q68" s="3" t="s">
        <v>13</v>
      </c>
      <c r="R68" s="3"/>
      <c r="S68" s="3"/>
      <c r="T68" s="3"/>
      <c r="U68" s="3" t="s">
        <v>13</v>
      </c>
      <c r="V68" s="3"/>
      <c r="W68" s="3"/>
      <c r="AB68" s="3" t="s">
        <v>13</v>
      </c>
    </row>
    <row r="69" spans="1:36" x14ac:dyDescent="0.35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 t="s">
        <v>13</v>
      </c>
      <c r="U69" s="3"/>
      <c r="V69" s="3"/>
      <c r="W69" s="3"/>
      <c r="AB69" s="3" t="s">
        <v>13</v>
      </c>
    </row>
    <row r="70" spans="1:36" x14ac:dyDescent="0.35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>
        <f>500000-360070</f>
        <v>139930</v>
      </c>
      <c r="AB70" s="3" t="s">
        <v>13</v>
      </c>
    </row>
    <row r="71" spans="1:36" x14ac:dyDescent="0.35"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AB71" s="3" t="s">
        <v>13</v>
      </c>
    </row>
    <row r="72" spans="1:36" x14ac:dyDescent="0.35"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AB72" s="3" t="s">
        <v>13</v>
      </c>
    </row>
    <row r="73" spans="1:36" x14ac:dyDescent="0.35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AB73" s="3" t="s">
        <v>13</v>
      </c>
    </row>
    <row r="74" spans="1:36" x14ac:dyDescent="0.35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AB74" s="3" t="s">
        <v>98</v>
      </c>
    </row>
  </sheetData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H88"/>
  <sheetViews>
    <sheetView topLeftCell="A52" workbookViewId="0">
      <selection activeCell="A66" sqref="A66"/>
    </sheetView>
  </sheetViews>
  <sheetFormatPr baseColWidth="10" defaultColWidth="11.08984375" defaultRowHeight="14.5" x14ac:dyDescent="0.35"/>
  <cols>
    <col min="1" max="1" width="42.7265625" customWidth="1"/>
    <col min="2" max="4" width="13.26953125" customWidth="1"/>
    <col min="5" max="5" width="13.17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</cols>
  <sheetData>
    <row r="2" spans="1:34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44228</v>
      </c>
      <c r="G2" s="1">
        <v>44229</v>
      </c>
      <c r="H2" s="1">
        <v>44230</v>
      </c>
      <c r="I2" s="1">
        <v>44231</v>
      </c>
      <c r="J2" s="1">
        <v>44232</v>
      </c>
      <c r="K2" s="1">
        <v>44233</v>
      </c>
      <c r="L2" s="1">
        <v>44234</v>
      </c>
      <c r="M2" s="1">
        <v>44235</v>
      </c>
      <c r="N2" s="1">
        <v>44236</v>
      </c>
      <c r="O2" s="1">
        <v>44237</v>
      </c>
      <c r="P2" s="1">
        <v>44238</v>
      </c>
      <c r="Q2" s="1">
        <v>44239</v>
      </c>
      <c r="R2" s="1">
        <v>44240</v>
      </c>
      <c r="S2" s="1">
        <v>44241</v>
      </c>
      <c r="T2" s="1">
        <v>44242</v>
      </c>
      <c r="U2" s="1">
        <v>44243</v>
      </c>
      <c r="V2" s="1">
        <v>44244</v>
      </c>
      <c r="W2" s="1">
        <v>44245</v>
      </c>
      <c r="X2" s="1">
        <v>44246</v>
      </c>
      <c r="Y2" s="1">
        <v>44247</v>
      </c>
      <c r="Z2" s="1">
        <v>44248</v>
      </c>
      <c r="AA2" s="1">
        <v>44249</v>
      </c>
      <c r="AB2" s="1">
        <v>44250</v>
      </c>
      <c r="AC2" s="1">
        <v>44251</v>
      </c>
      <c r="AD2" s="1">
        <v>44252</v>
      </c>
      <c r="AE2" s="1">
        <v>44253</v>
      </c>
      <c r="AF2" s="1">
        <v>44254</v>
      </c>
      <c r="AG2" s="1">
        <v>44255</v>
      </c>
      <c r="AH2" s="176" t="s">
        <v>579</v>
      </c>
    </row>
    <row r="3" spans="1:34" x14ac:dyDescent="0.35">
      <c r="A3" t="s">
        <v>7</v>
      </c>
      <c r="F3" s="3">
        <f>+'ENE-21'!AJ66</f>
        <v>475165.43478057894</v>
      </c>
      <c r="G3" s="3">
        <f t="shared" ref="G3:AG3" si="0">+F80</f>
        <v>475165.43478057894</v>
      </c>
      <c r="H3" s="3">
        <f t="shared" si="0"/>
        <v>427262.76811391226</v>
      </c>
      <c r="I3" s="3">
        <f t="shared" si="0"/>
        <v>427262.76811391226</v>
      </c>
      <c r="J3" s="3">
        <f t="shared" si="0"/>
        <v>404057.76811391226</v>
      </c>
      <c r="K3" s="3">
        <f t="shared" si="0"/>
        <v>404057.76811391226</v>
      </c>
      <c r="L3" s="3">
        <f t="shared" si="0"/>
        <v>404057.76811391226</v>
      </c>
      <c r="M3" s="3">
        <f t="shared" si="0"/>
        <v>404057.76811391226</v>
      </c>
      <c r="N3" s="3">
        <f t="shared" si="0"/>
        <v>221927.8281139122</v>
      </c>
      <c r="O3" s="3">
        <f t="shared" si="0"/>
        <v>221927.8281139122</v>
      </c>
      <c r="P3" s="3">
        <f t="shared" si="0"/>
        <v>563578.82811391214</v>
      </c>
      <c r="Q3" s="3">
        <f t="shared" si="0"/>
        <v>485678.82811391214</v>
      </c>
      <c r="R3" s="3">
        <f t="shared" si="0"/>
        <v>356295.82811391214</v>
      </c>
      <c r="S3" s="3">
        <f t="shared" si="0"/>
        <v>356295.82811391214</v>
      </c>
      <c r="T3" s="3">
        <f t="shared" si="0"/>
        <v>356295.82811391214</v>
      </c>
      <c r="U3" s="3">
        <f t="shared" si="0"/>
        <v>278395.82811391214</v>
      </c>
      <c r="V3" s="3">
        <f t="shared" si="0"/>
        <v>369759.82811391214</v>
      </c>
      <c r="W3" s="3">
        <f t="shared" si="0"/>
        <v>369759.82811391214</v>
      </c>
      <c r="X3" s="3">
        <f t="shared" si="0"/>
        <v>369759.82811391214</v>
      </c>
      <c r="Y3" s="3">
        <f t="shared" si="0"/>
        <v>369759.82811391214</v>
      </c>
      <c r="Z3" s="3">
        <f t="shared" si="0"/>
        <v>369759.82811391214</v>
      </c>
      <c r="AA3" s="3">
        <f t="shared" si="0"/>
        <v>369759.82811391214</v>
      </c>
      <c r="AB3" s="3">
        <f t="shared" si="0"/>
        <v>369759.82811391214</v>
      </c>
      <c r="AC3" s="3">
        <f t="shared" si="0"/>
        <v>369759.82811391214</v>
      </c>
      <c r="AD3" s="3">
        <f t="shared" si="0"/>
        <v>520473.82811391214</v>
      </c>
      <c r="AE3" s="3">
        <f t="shared" si="0"/>
        <v>520473.82811391214</v>
      </c>
      <c r="AF3" s="3">
        <f t="shared" si="0"/>
        <v>520473.82811391214</v>
      </c>
      <c r="AG3" s="3">
        <f t="shared" si="0"/>
        <v>520473.82811391214</v>
      </c>
    </row>
    <row r="4" spans="1:34" x14ac:dyDescent="0.35">
      <c r="A4" s="2" t="s">
        <v>0</v>
      </c>
      <c r="B4" s="2"/>
      <c r="C4" s="2"/>
      <c r="D4" s="2"/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</row>
    <row r="5" spans="1:34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G5" s="3" t="s">
        <v>13</v>
      </c>
      <c r="AH5" s="3">
        <f>SUM(F5:AG5)</f>
        <v>0</v>
      </c>
    </row>
    <row r="6" spans="1:34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G6" s="3" t="s">
        <v>13</v>
      </c>
      <c r="AH6" s="3">
        <f t="shared" ref="AH6:AH27" si="1">SUM(F6:AG6)</f>
        <v>0</v>
      </c>
    </row>
    <row r="7" spans="1:34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G7" s="3" t="s">
        <v>13</v>
      </c>
      <c r="AH7" s="3">
        <f t="shared" si="1"/>
        <v>0</v>
      </c>
    </row>
    <row r="8" spans="1:34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G8" s="3" t="s">
        <v>13</v>
      </c>
      <c r="AH8" s="3">
        <f t="shared" si="1"/>
        <v>0</v>
      </c>
    </row>
    <row r="9" spans="1:34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G9" s="3" t="s">
        <v>13</v>
      </c>
      <c r="AH9" s="3">
        <f t="shared" si="1"/>
        <v>0</v>
      </c>
    </row>
    <row r="10" spans="1:34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G10" s="3" t="s">
        <v>13</v>
      </c>
      <c r="AH10" s="3">
        <f t="shared" si="1"/>
        <v>0</v>
      </c>
    </row>
    <row r="11" spans="1:34" x14ac:dyDescent="0.35">
      <c r="A11" t="s">
        <v>345</v>
      </c>
      <c r="B11" t="s">
        <v>344</v>
      </c>
      <c r="C11" s="5" t="s">
        <v>13</v>
      </c>
      <c r="D11" s="3">
        <f>4500*60</f>
        <v>270000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G11" s="3" t="s">
        <v>13</v>
      </c>
      <c r="AH11" s="3">
        <f t="shared" si="1"/>
        <v>0</v>
      </c>
    </row>
    <row r="12" spans="1:34" x14ac:dyDescent="0.35">
      <c r="A12" t="s">
        <v>555</v>
      </c>
      <c r="B12" t="s">
        <v>552</v>
      </c>
      <c r="C12" s="5">
        <v>44194</v>
      </c>
      <c r="D12" s="3">
        <v>31333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AE12" t="s">
        <v>13</v>
      </c>
      <c r="AG12" s="3"/>
      <c r="AH12" s="3">
        <f t="shared" si="1"/>
        <v>0</v>
      </c>
    </row>
    <row r="13" spans="1:34" x14ac:dyDescent="0.35">
      <c r="A13" t="s">
        <v>569</v>
      </c>
      <c r="B13" t="s">
        <v>570</v>
      </c>
      <c r="C13" s="5">
        <v>44209</v>
      </c>
      <c r="D13" s="3">
        <v>31333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G13" s="3"/>
      <c r="AH13" s="3">
        <f t="shared" si="1"/>
        <v>0</v>
      </c>
    </row>
    <row r="14" spans="1:34" x14ac:dyDescent="0.35">
      <c r="A14" s="173" t="s">
        <v>568</v>
      </c>
      <c r="B14" t="s">
        <v>567</v>
      </c>
      <c r="C14" s="5">
        <v>44209</v>
      </c>
      <c r="D14" s="3">
        <v>156664</v>
      </c>
      <c r="F14" s="3"/>
      <c r="G14" s="3"/>
      <c r="H14" s="3"/>
      <c r="I14" s="3"/>
      <c r="J14" s="3"/>
      <c r="L14" s="3"/>
      <c r="M14" s="3">
        <v>156664</v>
      </c>
      <c r="N14" s="3"/>
      <c r="O14" s="3"/>
      <c r="P14" s="3"/>
      <c r="Q14" s="3"/>
      <c r="R14" s="3"/>
      <c r="S14" s="3"/>
      <c r="T14" s="3"/>
      <c r="U14" s="3"/>
      <c r="V14" s="3"/>
      <c r="W14" s="3"/>
      <c r="AE14" s="3" t="s">
        <v>13</v>
      </c>
      <c r="AF14" t="s">
        <v>13</v>
      </c>
      <c r="AG14" s="3"/>
      <c r="AH14" s="3">
        <f t="shared" si="1"/>
        <v>156664</v>
      </c>
    </row>
    <row r="15" spans="1:34" x14ac:dyDescent="0.35">
      <c r="A15" t="s">
        <v>582</v>
      </c>
      <c r="B15" t="s">
        <v>583</v>
      </c>
      <c r="C15" s="5">
        <v>44229</v>
      </c>
      <c r="D15" s="3">
        <f>31333+3050*10/0.75</f>
        <v>71999.666666666657</v>
      </c>
      <c r="F15" s="3" t="s">
        <v>13</v>
      </c>
      <c r="G15" s="3"/>
      <c r="H15" s="3"/>
      <c r="I15" s="3"/>
      <c r="J15" s="3"/>
      <c r="L15" s="3"/>
      <c r="M15" s="3" t="s">
        <v>13</v>
      </c>
      <c r="N15" s="3"/>
      <c r="O15" s="3"/>
      <c r="P15" s="3"/>
      <c r="Q15" s="3"/>
      <c r="R15" s="3"/>
      <c r="S15" s="3"/>
      <c r="T15" s="3"/>
      <c r="U15" s="3"/>
      <c r="V15" s="3"/>
      <c r="W15" s="3"/>
      <c r="AD15" t="s">
        <v>13</v>
      </c>
      <c r="AE15" s="3"/>
      <c r="AG15" s="3"/>
      <c r="AH15" s="3">
        <f t="shared" si="1"/>
        <v>0</v>
      </c>
    </row>
    <row r="16" spans="1:34" x14ac:dyDescent="0.35">
      <c r="A16" s="173" t="s">
        <v>584</v>
      </c>
      <c r="B16" s="173" t="s">
        <v>585</v>
      </c>
      <c r="C16" s="174">
        <v>44229</v>
      </c>
      <c r="D16" s="175">
        <v>66902</v>
      </c>
      <c r="F16" s="3" t="s">
        <v>13</v>
      </c>
      <c r="G16" s="3"/>
      <c r="H16" s="3"/>
      <c r="I16" s="3"/>
      <c r="J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AD16" t="s">
        <v>13</v>
      </c>
      <c r="AE16" s="3"/>
      <c r="AG16" s="3"/>
      <c r="AH16" s="3">
        <f t="shared" si="1"/>
        <v>0</v>
      </c>
    </row>
    <row r="17" spans="1:34" x14ac:dyDescent="0.35">
      <c r="A17" s="173" t="s">
        <v>587</v>
      </c>
      <c r="B17" s="173" t="s">
        <v>543</v>
      </c>
      <c r="C17" s="174">
        <v>44229</v>
      </c>
      <c r="D17" s="175">
        <f>2350*5/0.75</f>
        <v>15666.666666666666</v>
      </c>
      <c r="F17" s="175" t="s">
        <v>13</v>
      </c>
      <c r="G17" s="3"/>
      <c r="H17" s="3"/>
      <c r="I17" s="3"/>
      <c r="J17" s="3"/>
      <c r="L17" s="3"/>
      <c r="M17" s="3">
        <v>15667</v>
      </c>
      <c r="N17" s="3"/>
      <c r="O17" s="3"/>
      <c r="P17" s="3"/>
      <c r="Q17" s="3"/>
      <c r="R17" s="3"/>
      <c r="S17" s="3"/>
      <c r="T17" s="3"/>
      <c r="U17" s="3"/>
      <c r="V17" s="3"/>
      <c r="W17" s="3"/>
      <c r="AD17" t="s">
        <v>13</v>
      </c>
      <c r="AE17" s="3"/>
      <c r="AG17" s="3"/>
      <c r="AH17" s="3">
        <f t="shared" si="1"/>
        <v>15667</v>
      </c>
    </row>
    <row r="18" spans="1:34" x14ac:dyDescent="0.35">
      <c r="A18" s="173" t="s">
        <v>588</v>
      </c>
      <c r="B18" s="173" t="s">
        <v>589</v>
      </c>
      <c r="C18" s="174">
        <v>44229</v>
      </c>
      <c r="D18" s="175">
        <v>50956</v>
      </c>
      <c r="F18" s="3"/>
      <c r="G18" s="3"/>
      <c r="H18" s="3"/>
      <c r="I18" s="3"/>
      <c r="J18" s="3"/>
      <c r="L18" s="3"/>
      <c r="M18" s="3">
        <f>200000-M17-M14</f>
        <v>27669</v>
      </c>
      <c r="N18" s="3"/>
      <c r="O18" s="3">
        <f>+D18-M18</f>
        <v>23287</v>
      </c>
      <c r="P18" s="3"/>
      <c r="Q18" s="3"/>
      <c r="R18" s="3"/>
      <c r="S18" s="3"/>
      <c r="T18" s="3"/>
      <c r="U18" s="3"/>
      <c r="V18" s="3"/>
      <c r="W18" s="3"/>
      <c r="AE18" s="3"/>
      <c r="AG18" s="3"/>
      <c r="AH18" s="3">
        <f t="shared" si="1"/>
        <v>50956</v>
      </c>
    </row>
    <row r="19" spans="1:34" x14ac:dyDescent="0.35">
      <c r="A19" s="173" t="s">
        <v>581</v>
      </c>
      <c r="C19" s="5"/>
      <c r="D19" s="3">
        <v>31333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H19" s="3">
        <f t="shared" si="1"/>
        <v>0</v>
      </c>
    </row>
    <row r="20" spans="1:34" x14ac:dyDescent="0.35">
      <c r="A20" s="173" t="s">
        <v>599</v>
      </c>
      <c r="B20" s="173" t="s">
        <v>600</v>
      </c>
      <c r="C20" s="174">
        <v>44231</v>
      </c>
      <c r="D20" s="175">
        <v>110265</v>
      </c>
      <c r="F20" s="3"/>
      <c r="G20" s="3"/>
      <c r="H20" s="3"/>
      <c r="I20" s="3"/>
      <c r="J20" s="3"/>
      <c r="K20" s="3"/>
      <c r="L20" s="3"/>
      <c r="M20" s="3"/>
      <c r="N20" s="3"/>
      <c r="O20" s="175">
        <v>110265</v>
      </c>
      <c r="P20" s="3"/>
      <c r="Q20" s="3"/>
      <c r="R20" s="3"/>
      <c r="S20" s="3"/>
      <c r="T20" s="3"/>
      <c r="U20" s="3"/>
      <c r="V20" s="3"/>
      <c r="W20" s="3"/>
      <c r="AH20" s="3">
        <f t="shared" si="1"/>
        <v>110265</v>
      </c>
    </row>
    <row r="21" spans="1:34" x14ac:dyDescent="0.35">
      <c r="A21" s="173" t="s">
        <v>602</v>
      </c>
      <c r="B21" s="173" t="s">
        <v>601</v>
      </c>
      <c r="C21" s="5">
        <v>44235</v>
      </c>
      <c r="D21" s="3">
        <v>78933</v>
      </c>
      <c r="F21" s="3"/>
      <c r="G21" s="3"/>
      <c r="H21" s="3"/>
      <c r="I21" s="3"/>
      <c r="J21" s="3"/>
      <c r="K21" s="3"/>
      <c r="L21" s="3"/>
      <c r="M21" s="3"/>
      <c r="N21" s="3"/>
      <c r="O21" s="3">
        <v>78933</v>
      </c>
      <c r="P21" s="3"/>
      <c r="Q21" s="3"/>
      <c r="R21" s="3"/>
      <c r="S21" s="3"/>
      <c r="T21" s="3"/>
      <c r="U21" s="3"/>
      <c r="V21" s="3"/>
      <c r="W21" s="3"/>
      <c r="AH21" s="3">
        <f t="shared" si="1"/>
        <v>78933</v>
      </c>
    </row>
    <row r="22" spans="1:34" x14ac:dyDescent="0.35">
      <c r="A22" s="173" t="s">
        <v>606</v>
      </c>
      <c r="B22" s="173" t="s">
        <v>607</v>
      </c>
      <c r="C22" s="5">
        <v>44238</v>
      </c>
      <c r="D22" s="3">
        <v>189198</v>
      </c>
      <c r="F22" s="3"/>
      <c r="G22" s="3"/>
      <c r="H22" s="3"/>
      <c r="I22" s="3"/>
      <c r="J22" s="3"/>
      <c r="K22" s="3"/>
      <c r="L22" s="3"/>
      <c r="M22" s="3"/>
      <c r="N22" s="3"/>
      <c r="O22" s="3">
        <f>341651-O21-O20-O18</f>
        <v>129166</v>
      </c>
      <c r="P22" s="3" t="s">
        <v>13</v>
      </c>
      <c r="Q22" s="3"/>
      <c r="R22" s="3"/>
      <c r="S22" s="3"/>
      <c r="T22" s="3"/>
      <c r="U22" s="3">
        <f>+D22-O22</f>
        <v>60032</v>
      </c>
      <c r="V22" s="3"/>
      <c r="W22" s="3"/>
      <c r="AH22" s="3">
        <f t="shared" si="1"/>
        <v>189198</v>
      </c>
    </row>
    <row r="23" spans="1:34" x14ac:dyDescent="0.35">
      <c r="A23" s="173" t="s">
        <v>610</v>
      </c>
      <c r="B23" s="173" t="s">
        <v>611</v>
      </c>
      <c r="C23" s="5">
        <v>44242</v>
      </c>
      <c r="D23" s="3">
        <v>31333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f>91364-U22</f>
        <v>31332</v>
      </c>
      <c r="V23" s="3"/>
      <c r="W23" s="3"/>
      <c r="AH23" s="3">
        <f t="shared" si="1"/>
        <v>31332</v>
      </c>
    </row>
    <row r="24" spans="1:34" x14ac:dyDescent="0.35">
      <c r="A24" s="173" t="s">
        <v>615</v>
      </c>
      <c r="B24" s="173" t="s">
        <v>616</v>
      </c>
      <c r="C24" s="5">
        <v>44243</v>
      </c>
      <c r="D24" s="3">
        <v>150714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AB24" t="s">
        <v>13</v>
      </c>
      <c r="AC24">
        <v>150714</v>
      </c>
      <c r="AH24" s="3">
        <f t="shared" si="1"/>
        <v>150714</v>
      </c>
    </row>
    <row r="25" spans="1:34" x14ac:dyDescent="0.35">
      <c r="A25" s="173" t="s">
        <v>620</v>
      </c>
      <c r="B25" s="173" t="s">
        <v>621</v>
      </c>
      <c r="C25" s="5">
        <v>44251</v>
      </c>
      <c r="D25" s="3">
        <v>141598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AH25" s="3">
        <f t="shared" si="1"/>
        <v>0</v>
      </c>
    </row>
    <row r="26" spans="1:34" x14ac:dyDescent="0.35">
      <c r="A26" t="s">
        <v>618</v>
      </c>
      <c r="B26" t="s">
        <v>619</v>
      </c>
      <c r="C26" s="5">
        <v>44251</v>
      </c>
      <c r="D26" s="3">
        <f>31333</f>
        <v>31333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AH26" s="3">
        <f t="shared" si="1"/>
        <v>0</v>
      </c>
    </row>
    <row r="27" spans="1:34" x14ac:dyDescent="0.35">
      <c r="A27" s="173"/>
      <c r="B27" s="173"/>
      <c r="C27" s="5"/>
      <c r="D27" s="3" t="s">
        <v>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AH27" s="3">
        <f t="shared" si="1"/>
        <v>0</v>
      </c>
    </row>
    <row r="28" spans="1:34" x14ac:dyDescent="0.35">
      <c r="A28" s="173"/>
      <c r="B28" s="173"/>
      <c r="C28" s="5"/>
      <c r="D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AH28" s="72">
        <f>SUM(AH5:AH24)</f>
        <v>783729</v>
      </c>
    </row>
    <row r="29" spans="1:34" x14ac:dyDescent="0.35">
      <c r="A29" s="173"/>
      <c r="C29" s="5"/>
      <c r="D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AB29" t="s">
        <v>13</v>
      </c>
    </row>
    <row r="30" spans="1:34" x14ac:dyDescent="0.35">
      <c r="A30" t="s">
        <v>385</v>
      </c>
      <c r="C30" s="5">
        <v>43980</v>
      </c>
      <c r="D30" s="3">
        <v>10465</v>
      </c>
      <c r="F30" s="3"/>
      <c r="G30" s="3"/>
      <c r="H30" s="3"/>
      <c r="I30" s="3"/>
      <c r="J30" s="3"/>
      <c r="K30" s="3"/>
      <c r="M30" s="3"/>
      <c r="N30" s="3"/>
      <c r="O30" s="3"/>
      <c r="Q30" s="3"/>
      <c r="R30" s="3"/>
      <c r="S30" s="3"/>
      <c r="T30" s="3"/>
      <c r="U30" s="3"/>
      <c r="W30" s="3"/>
      <c r="AG30" s="3" t="s">
        <v>13</v>
      </c>
    </row>
    <row r="31" spans="1:34" x14ac:dyDescent="0.35">
      <c r="A31" t="s">
        <v>60</v>
      </c>
      <c r="D31" s="3">
        <v>0</v>
      </c>
      <c r="F31" s="3">
        <v>0</v>
      </c>
      <c r="G31" s="3">
        <v>0</v>
      </c>
      <c r="H31" s="3"/>
      <c r="I31" s="3"/>
      <c r="J31" s="3"/>
      <c r="K31" s="3" t="s">
        <v>13</v>
      </c>
      <c r="M31" s="3"/>
      <c r="N31" s="3"/>
      <c r="O31" s="3" t="s">
        <v>13</v>
      </c>
      <c r="P31" s="3"/>
      <c r="Q31" s="3"/>
      <c r="R31" s="3" t="s">
        <v>13</v>
      </c>
      <c r="S31" s="3"/>
      <c r="T31" s="3"/>
      <c r="U31" s="3"/>
      <c r="V31" s="3"/>
      <c r="W31" s="3"/>
    </row>
    <row r="32" spans="1:34" x14ac:dyDescent="0.35">
      <c r="A32" t="s">
        <v>1</v>
      </c>
      <c r="F32" s="3"/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33" x14ac:dyDescent="0.35">
      <c r="A33" t="s">
        <v>478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">
        <v>13</v>
      </c>
      <c r="S33" s="3"/>
      <c r="T33" s="3"/>
      <c r="U33" s="3"/>
      <c r="V33" s="3"/>
      <c r="W33" s="3"/>
    </row>
    <row r="34" spans="1:33" x14ac:dyDescent="0.35">
      <c r="A34" t="s">
        <v>204</v>
      </c>
      <c r="D34" s="3">
        <v>2001574</v>
      </c>
      <c r="F34" s="3"/>
      <c r="G34" s="3"/>
      <c r="H34" s="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G34" s="3" t="s">
        <v>13</v>
      </c>
    </row>
    <row r="35" spans="1:33" x14ac:dyDescent="0.35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33" x14ac:dyDescent="0.35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33" x14ac:dyDescent="0.35">
      <c r="A37" s="2" t="s">
        <v>6</v>
      </c>
      <c r="F37" s="3">
        <f t="shared" ref="F37:AG37" si="2">SUM(F5:F36)</f>
        <v>0</v>
      </c>
      <c r="G37" s="3">
        <f t="shared" si="2"/>
        <v>0</v>
      </c>
      <c r="H37" s="3">
        <f t="shared" si="2"/>
        <v>0</v>
      </c>
      <c r="I37" s="3">
        <f t="shared" si="2"/>
        <v>0</v>
      </c>
      <c r="J37" s="3">
        <f t="shared" si="2"/>
        <v>0</v>
      </c>
      <c r="K37" s="3">
        <f t="shared" si="2"/>
        <v>0</v>
      </c>
      <c r="L37" s="3">
        <f t="shared" si="2"/>
        <v>0</v>
      </c>
      <c r="M37" s="3">
        <f t="shared" si="2"/>
        <v>200000</v>
      </c>
      <c r="N37" s="3">
        <f t="shared" si="2"/>
        <v>0</v>
      </c>
      <c r="O37" s="3">
        <f t="shared" si="2"/>
        <v>341651</v>
      </c>
      <c r="P37" s="3">
        <f t="shared" si="2"/>
        <v>0</v>
      </c>
      <c r="Q37" s="3">
        <f t="shared" si="2"/>
        <v>0</v>
      </c>
      <c r="R37" s="3">
        <f t="shared" si="2"/>
        <v>0</v>
      </c>
      <c r="S37" s="3">
        <f t="shared" si="2"/>
        <v>0</v>
      </c>
      <c r="T37" s="3">
        <f t="shared" si="2"/>
        <v>0</v>
      </c>
      <c r="U37" s="3">
        <f t="shared" si="2"/>
        <v>91364</v>
      </c>
      <c r="V37" s="3">
        <f t="shared" si="2"/>
        <v>0</v>
      </c>
      <c r="W37" s="3">
        <f t="shared" si="2"/>
        <v>0</v>
      </c>
      <c r="X37" s="3">
        <f t="shared" si="2"/>
        <v>0</v>
      </c>
      <c r="Y37" s="3">
        <f t="shared" si="2"/>
        <v>0</v>
      </c>
      <c r="Z37" s="3">
        <f t="shared" si="2"/>
        <v>0</v>
      </c>
      <c r="AA37" s="3">
        <f t="shared" si="2"/>
        <v>0</v>
      </c>
      <c r="AB37" s="3">
        <f t="shared" si="2"/>
        <v>0</v>
      </c>
      <c r="AC37" s="3">
        <f t="shared" si="2"/>
        <v>150714</v>
      </c>
      <c r="AD37" s="3">
        <f t="shared" si="2"/>
        <v>0</v>
      </c>
      <c r="AE37" s="3">
        <f t="shared" si="2"/>
        <v>0</v>
      </c>
      <c r="AF37" s="3">
        <f t="shared" si="2"/>
        <v>0</v>
      </c>
      <c r="AG37" s="3">
        <f t="shared" si="2"/>
        <v>0</v>
      </c>
    </row>
    <row r="38" spans="1:33" x14ac:dyDescent="0.35">
      <c r="A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33" x14ac:dyDescent="0.35">
      <c r="A39" s="2" t="s">
        <v>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33" x14ac:dyDescent="0.35">
      <c r="A40" s="4" t="s">
        <v>409</v>
      </c>
      <c r="B40" s="24" t="s">
        <v>337</v>
      </c>
      <c r="C40" s="67"/>
      <c r="D40" s="3">
        <f>500000/2</f>
        <v>250000</v>
      </c>
      <c r="F40" s="3"/>
      <c r="G40" s="3"/>
      <c r="H40" s="3"/>
      <c r="I40" s="3"/>
      <c r="K40" s="3"/>
      <c r="L40" s="3"/>
      <c r="M40" s="3"/>
      <c r="P40" s="3"/>
      <c r="Q40" s="3"/>
      <c r="R40" s="3"/>
      <c r="S40" s="3"/>
      <c r="T40" s="3"/>
      <c r="U40" s="3"/>
      <c r="V40" s="3"/>
      <c r="W40" s="3"/>
      <c r="AG40" s="3" t="s">
        <v>13</v>
      </c>
    </row>
    <row r="41" spans="1:33" x14ac:dyDescent="0.35">
      <c r="A41" s="4" t="s">
        <v>410</v>
      </c>
      <c r="B41" s="24" t="s">
        <v>337</v>
      </c>
      <c r="C41" s="67"/>
      <c r="D41" s="3">
        <f>500000/2</f>
        <v>250000</v>
      </c>
      <c r="F41" s="3"/>
      <c r="G41" s="3"/>
      <c r="H41" s="3"/>
      <c r="I41" s="3"/>
      <c r="J41" t="s">
        <v>13</v>
      </c>
      <c r="K41" s="3"/>
      <c r="L41" s="3"/>
      <c r="M41" s="3"/>
      <c r="P41" s="3"/>
      <c r="Q41" s="3"/>
      <c r="R41" s="3"/>
      <c r="S41" s="3"/>
      <c r="T41" s="3"/>
      <c r="U41" s="3"/>
      <c r="V41" s="3"/>
      <c r="W41" s="3"/>
      <c r="AG41" s="3" t="s">
        <v>13</v>
      </c>
    </row>
    <row r="42" spans="1:33" x14ac:dyDescent="0.35">
      <c r="A42" s="4" t="s">
        <v>411</v>
      </c>
      <c r="B42" s="24" t="s">
        <v>337</v>
      </c>
      <c r="C42" s="67"/>
      <c r="D42" s="3">
        <f>500000/2</f>
        <v>250000</v>
      </c>
      <c r="F42" s="3"/>
      <c r="G42" s="3"/>
      <c r="H42" s="3"/>
      <c r="I42" s="3"/>
      <c r="K42" s="3"/>
      <c r="L42" s="3"/>
      <c r="M42" s="3"/>
      <c r="P42" s="3"/>
      <c r="Q42" s="3"/>
      <c r="R42" s="3"/>
      <c r="S42" s="3"/>
      <c r="T42" s="3"/>
      <c r="U42" s="3"/>
      <c r="V42" s="3"/>
      <c r="W42" s="3"/>
      <c r="AG42" s="3" t="s">
        <v>13</v>
      </c>
    </row>
    <row r="43" spans="1:33" x14ac:dyDescent="0.35">
      <c r="A43" s="4" t="s">
        <v>492</v>
      </c>
      <c r="B43" s="24" t="s">
        <v>337</v>
      </c>
      <c r="C43" s="67"/>
      <c r="D43" s="3">
        <v>250000</v>
      </c>
      <c r="F43" s="3"/>
      <c r="G43" s="3"/>
      <c r="H43" s="3"/>
      <c r="I43" s="3"/>
      <c r="K43" s="3"/>
      <c r="L43" s="3"/>
      <c r="M43" s="3"/>
      <c r="P43" s="3"/>
      <c r="Q43" s="3"/>
      <c r="R43" s="3"/>
      <c r="S43" s="3"/>
      <c r="T43" s="3"/>
      <c r="U43" s="3"/>
      <c r="V43" s="3"/>
      <c r="W43" s="3"/>
      <c r="AG43" s="3" t="s">
        <v>13</v>
      </c>
    </row>
    <row r="44" spans="1:33" x14ac:dyDescent="0.35">
      <c r="A44" s="4" t="s">
        <v>494</v>
      </c>
      <c r="B44" s="24" t="s">
        <v>337</v>
      </c>
      <c r="C44" s="67"/>
      <c r="D44" s="3">
        <v>500000</v>
      </c>
      <c r="F44" s="3"/>
      <c r="G44" s="3"/>
      <c r="H44" s="3"/>
      <c r="I44" s="3"/>
      <c r="K44" s="3"/>
      <c r="L44" s="3"/>
      <c r="M44" s="3"/>
      <c r="P44" s="3"/>
      <c r="Q44" s="3"/>
      <c r="R44" s="3"/>
      <c r="S44" s="3"/>
      <c r="T44" s="3"/>
      <c r="U44" s="3"/>
      <c r="V44" s="3"/>
      <c r="W44" s="3"/>
      <c r="AG44" s="3" t="s">
        <v>13</v>
      </c>
    </row>
    <row r="45" spans="1:33" x14ac:dyDescent="0.35">
      <c r="A45" s="4" t="s">
        <v>495</v>
      </c>
      <c r="B45" s="24" t="s">
        <v>337</v>
      </c>
      <c r="C45" s="67"/>
      <c r="D45" s="3">
        <v>500000</v>
      </c>
      <c r="F45" s="3"/>
      <c r="G45" s="3"/>
      <c r="H45" s="3"/>
      <c r="I45" s="3"/>
      <c r="K45" s="3"/>
      <c r="L45" s="3"/>
      <c r="M45" s="3"/>
      <c r="P45" s="3"/>
      <c r="Q45" s="3"/>
      <c r="R45" s="3"/>
      <c r="S45" s="3"/>
      <c r="T45" s="3"/>
      <c r="U45" s="3"/>
      <c r="V45" s="3"/>
      <c r="W45" s="3"/>
      <c r="AG45" s="3" t="s">
        <v>13</v>
      </c>
    </row>
    <row r="46" spans="1:33" x14ac:dyDescent="0.35">
      <c r="A46" s="4" t="s">
        <v>541</v>
      </c>
      <c r="B46" s="24" t="s">
        <v>337</v>
      </c>
      <c r="C46" s="67"/>
      <c r="D46" s="3">
        <v>500000</v>
      </c>
      <c r="F46" s="3"/>
      <c r="G46" s="3"/>
      <c r="H46" s="3"/>
      <c r="I46" s="3"/>
      <c r="K46" s="3"/>
      <c r="L46" s="3"/>
      <c r="M46" s="3"/>
      <c r="P46" s="3"/>
      <c r="Q46" s="3"/>
      <c r="R46" s="3"/>
      <c r="S46" s="3"/>
      <c r="T46" s="3"/>
      <c r="U46" s="3"/>
      <c r="V46" s="3"/>
      <c r="W46" s="3"/>
      <c r="AG46" s="3" t="s">
        <v>13</v>
      </c>
    </row>
    <row r="47" spans="1:33" x14ac:dyDescent="0.35">
      <c r="A47" s="4" t="s">
        <v>576</v>
      </c>
      <c r="B47" s="24" t="s">
        <v>337</v>
      </c>
      <c r="C47" s="67"/>
      <c r="D47" s="3">
        <v>500000</v>
      </c>
      <c r="AG47" s="3" t="s">
        <v>13</v>
      </c>
    </row>
    <row r="48" spans="1:33" x14ac:dyDescent="0.35">
      <c r="A48" t="s">
        <v>604</v>
      </c>
      <c r="B48" t="s">
        <v>605</v>
      </c>
      <c r="C48" s="5" t="s">
        <v>13</v>
      </c>
      <c r="D48" s="3">
        <f>+('OCT-20'!AK17+'NOV-20'!AJ24+'DIC-20'!AK22+'ENE-21'!AK21)*0.17</f>
        <v>347424.24000000005</v>
      </c>
      <c r="F48" s="3"/>
      <c r="I48" s="3"/>
      <c r="K48" s="3"/>
      <c r="L48" s="3"/>
      <c r="M48" s="3">
        <v>347424.24000000005</v>
      </c>
      <c r="N48" s="3" t="s">
        <v>13</v>
      </c>
      <c r="O48" s="3" t="s">
        <v>13</v>
      </c>
      <c r="P48" s="3"/>
      <c r="Q48" s="3"/>
      <c r="R48" s="3"/>
      <c r="S48" s="3"/>
      <c r="T48" s="3"/>
      <c r="U48" s="3"/>
      <c r="V48" s="3"/>
      <c r="W48" s="3"/>
      <c r="AG48" s="3" t="s">
        <v>13</v>
      </c>
    </row>
    <row r="49" spans="1:33" x14ac:dyDescent="0.35">
      <c r="A49" s="4" t="s">
        <v>545</v>
      </c>
      <c r="B49" s="24" t="s">
        <v>544</v>
      </c>
      <c r="C49" s="67">
        <v>44182</v>
      </c>
      <c r="D49" s="3">
        <v>121856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G49" s="3" t="s">
        <v>13</v>
      </c>
    </row>
    <row r="50" spans="1:33" x14ac:dyDescent="0.35">
      <c r="A50" s="4" t="s">
        <v>549</v>
      </c>
      <c r="B50" s="24" t="s">
        <v>78</v>
      </c>
      <c r="C50" s="67">
        <v>44195</v>
      </c>
      <c r="D50" s="3">
        <v>240975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</row>
    <row r="51" spans="1:33" x14ac:dyDescent="0.35">
      <c r="A51" s="4" t="s">
        <v>548</v>
      </c>
      <c r="B51" s="24" t="s">
        <v>563</v>
      </c>
      <c r="C51" s="67">
        <v>44203</v>
      </c>
      <c r="D51" s="3">
        <v>28988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</row>
    <row r="52" spans="1:33" x14ac:dyDescent="0.35">
      <c r="A52" s="4" t="s">
        <v>571</v>
      </c>
      <c r="B52" s="24" t="s">
        <v>574</v>
      </c>
      <c r="C52" s="67">
        <v>44203</v>
      </c>
      <c r="D52" s="3">
        <v>15700</v>
      </c>
      <c r="E52" t="s">
        <v>517</v>
      </c>
      <c r="F52" s="3"/>
      <c r="G52" s="3">
        <v>15700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</row>
    <row r="53" spans="1:33" x14ac:dyDescent="0.35">
      <c r="A53" s="4" t="s">
        <v>572</v>
      </c>
      <c r="B53" s="24" t="s">
        <v>573</v>
      </c>
      <c r="C53" s="67">
        <v>44204</v>
      </c>
      <c r="D53" s="3">
        <v>5990</v>
      </c>
      <c r="E53" t="s">
        <v>517</v>
      </c>
      <c r="F53" s="3"/>
      <c r="G53" s="3">
        <v>5990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</row>
    <row r="54" spans="1:33" x14ac:dyDescent="0.35">
      <c r="A54" s="4" t="s">
        <v>506</v>
      </c>
      <c r="B54" s="24"/>
      <c r="C54" s="67">
        <v>44207</v>
      </c>
      <c r="D54" s="3">
        <f>+(25.6*2)*790/9</f>
        <v>4494.2222222222226</v>
      </c>
      <c r="F54" s="3"/>
      <c r="G54" s="3">
        <f>+(25.6*2)*790/9</f>
        <v>4494.2222222222226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</row>
    <row r="55" spans="1:33" x14ac:dyDescent="0.35">
      <c r="A55" s="4" t="s">
        <v>506</v>
      </c>
      <c r="B55" s="24"/>
      <c r="C55" s="67">
        <v>44208</v>
      </c>
      <c r="D55" s="3">
        <f>+(25.6*2)*790/9</f>
        <v>4494.2222222222226</v>
      </c>
      <c r="F55" s="3"/>
      <c r="G55" s="3">
        <f>+(25.6*2)*790/9</f>
        <v>4494.2222222222226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</row>
    <row r="56" spans="1:33" x14ac:dyDescent="0.35">
      <c r="A56" s="4" t="s">
        <v>562</v>
      </c>
      <c r="B56" s="24"/>
      <c r="C56" s="67">
        <v>44209</v>
      </c>
      <c r="D56" s="3">
        <f>+(25.6*2)*790/9</f>
        <v>4494.2222222222226</v>
      </c>
      <c r="F56" s="3"/>
      <c r="G56" s="3">
        <f>+(25.6*2)*790/9</f>
        <v>4494.2222222222226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</row>
    <row r="57" spans="1:33" x14ac:dyDescent="0.35">
      <c r="A57" s="4" t="s">
        <v>571</v>
      </c>
      <c r="B57" s="24" t="s">
        <v>575</v>
      </c>
      <c r="C57" s="67">
        <v>44210</v>
      </c>
      <c r="D57" s="3">
        <v>12730</v>
      </c>
      <c r="E57" t="s">
        <v>517</v>
      </c>
      <c r="F57" s="3"/>
      <c r="G57" s="3">
        <v>12730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</row>
    <row r="58" spans="1:33" x14ac:dyDescent="0.35">
      <c r="A58" s="4" t="s">
        <v>586</v>
      </c>
      <c r="B58" s="24"/>
      <c r="C58" s="67">
        <v>44224</v>
      </c>
      <c r="D58" s="3">
        <v>6088</v>
      </c>
      <c r="F58" s="3"/>
      <c r="G58" s="3"/>
      <c r="I58" s="3"/>
      <c r="K58" s="3"/>
      <c r="L58" s="3"/>
      <c r="M58" s="3">
        <v>6088</v>
      </c>
      <c r="O58" s="3"/>
      <c r="P58" s="3"/>
      <c r="Q58" s="3"/>
      <c r="R58" s="3"/>
      <c r="S58" s="3"/>
      <c r="T58" s="3"/>
      <c r="U58" s="3"/>
      <c r="V58" s="3"/>
      <c r="W58" s="3"/>
      <c r="Y58" s="3"/>
    </row>
    <row r="59" spans="1:33" x14ac:dyDescent="0.35">
      <c r="A59" s="4" t="s">
        <v>506</v>
      </c>
      <c r="B59" s="24"/>
      <c r="C59" s="67">
        <v>44228</v>
      </c>
      <c r="D59" s="3">
        <f>+(25.6*2)*828/9</f>
        <v>4710.4000000000005</v>
      </c>
      <c r="F59" s="3"/>
      <c r="G59" s="3"/>
      <c r="I59" s="3"/>
      <c r="K59" s="3"/>
      <c r="L59" s="3"/>
      <c r="M59" s="3">
        <v>4710.4000000000005</v>
      </c>
      <c r="O59" s="3"/>
      <c r="P59" s="3"/>
      <c r="Q59" s="3"/>
      <c r="R59" s="3"/>
      <c r="S59" s="3"/>
      <c r="T59" s="3"/>
      <c r="U59" s="3"/>
      <c r="V59" s="3"/>
      <c r="W59" s="3"/>
      <c r="Y59" s="3"/>
    </row>
    <row r="60" spans="1:33" x14ac:dyDescent="0.35">
      <c r="A60" s="4" t="s">
        <v>506</v>
      </c>
      <c r="B60" s="24"/>
      <c r="C60" s="67">
        <v>44229</v>
      </c>
      <c r="D60" s="3">
        <f>+(25.6*2)*828/9</f>
        <v>4710.4000000000005</v>
      </c>
      <c r="F60" s="3"/>
      <c r="G60" s="3"/>
      <c r="I60" s="3"/>
      <c r="K60" s="3"/>
      <c r="L60" s="3"/>
      <c r="M60" s="3">
        <v>4710.4000000000005</v>
      </c>
      <c r="O60" s="3"/>
      <c r="P60" s="3"/>
      <c r="Q60" s="3"/>
      <c r="R60" s="3"/>
      <c r="S60" s="3"/>
      <c r="T60" s="3"/>
      <c r="U60" s="3"/>
      <c r="V60" s="3"/>
      <c r="W60" s="3"/>
      <c r="Y60" s="3"/>
    </row>
    <row r="61" spans="1:33" x14ac:dyDescent="0.35">
      <c r="A61" s="4" t="s">
        <v>590</v>
      </c>
      <c r="B61" s="24" t="s">
        <v>591</v>
      </c>
      <c r="C61" s="67">
        <v>44229</v>
      </c>
      <c r="D61" s="3">
        <v>4990</v>
      </c>
      <c r="F61" s="3"/>
      <c r="G61" s="3"/>
      <c r="I61" s="3"/>
      <c r="K61" s="3"/>
      <c r="L61" s="3"/>
      <c r="M61" s="3">
        <v>4990</v>
      </c>
      <c r="O61" s="3"/>
      <c r="P61" s="3"/>
      <c r="Q61" s="3"/>
      <c r="R61" s="3"/>
      <c r="S61" s="3"/>
      <c r="T61" s="3"/>
      <c r="U61" s="3"/>
      <c r="V61" s="3"/>
      <c r="W61" s="3"/>
      <c r="Y61" s="3"/>
    </row>
    <row r="62" spans="1:33" x14ac:dyDescent="0.35">
      <c r="A62" s="4" t="s">
        <v>593</v>
      </c>
      <c r="B62" s="24" t="s">
        <v>592</v>
      </c>
      <c r="C62" s="67">
        <v>44229</v>
      </c>
      <c r="D62" s="3">
        <f>60000*1.19</f>
        <v>71400</v>
      </c>
      <c r="F62" s="3"/>
      <c r="G62" s="3"/>
      <c r="H62" s="3"/>
      <c r="I62" s="3"/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W62" s="3"/>
      <c r="Y62" s="3"/>
    </row>
    <row r="63" spans="1:33" x14ac:dyDescent="0.35">
      <c r="A63" s="4" t="s">
        <v>594</v>
      </c>
      <c r="B63" s="24" t="s">
        <v>595</v>
      </c>
      <c r="C63" s="67">
        <v>44229</v>
      </c>
      <c r="D63" s="3">
        <f>60000*1.19</f>
        <v>71400</v>
      </c>
      <c r="F63" s="3"/>
      <c r="G63" s="3"/>
      <c r="H63" s="3"/>
      <c r="I63" s="3"/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W63" s="3"/>
      <c r="Y63" s="3"/>
    </row>
    <row r="64" spans="1:33" x14ac:dyDescent="0.35">
      <c r="A64" s="4" t="s">
        <v>506</v>
      </c>
      <c r="B64" s="24"/>
      <c r="C64" s="67">
        <v>44230</v>
      </c>
      <c r="D64" s="3">
        <f>+(25.6*2)*828/9</f>
        <v>4710.4000000000005</v>
      </c>
      <c r="F64" s="3"/>
      <c r="G64" s="3"/>
      <c r="H64" s="3"/>
      <c r="I64" s="3"/>
      <c r="K64" s="3"/>
      <c r="L64" s="3"/>
      <c r="M64" s="3">
        <f>+(25.6*2)*828/9</f>
        <v>4710.4000000000005</v>
      </c>
      <c r="O64" s="3"/>
      <c r="P64" s="3"/>
      <c r="Q64" s="3"/>
      <c r="R64" s="3"/>
      <c r="S64" s="3"/>
      <c r="T64" s="3"/>
      <c r="U64" s="3"/>
      <c r="V64" s="3"/>
      <c r="W64" s="3"/>
      <c r="Y64" s="3"/>
    </row>
    <row r="65" spans="1:33" x14ac:dyDescent="0.35">
      <c r="A65" s="4" t="s">
        <v>596</v>
      </c>
      <c r="C65" s="5">
        <v>44231</v>
      </c>
      <c r="D65" s="3">
        <f>+(14.4+7.6+12.8)*828/9+673.5+911</f>
        <v>4786.1000000000004</v>
      </c>
      <c r="F65" s="3"/>
      <c r="G65" s="3"/>
      <c r="H65" s="3"/>
      <c r="I65" s="3"/>
      <c r="K65" s="3"/>
      <c r="L65" s="3"/>
      <c r="M65" s="3">
        <f>+(14.4+7.6+12.8)*828/9+673.5+911</f>
        <v>4786.1000000000004</v>
      </c>
      <c r="O65" s="3"/>
      <c r="P65" s="3"/>
      <c r="Q65" s="3"/>
      <c r="R65" s="3"/>
      <c r="S65" s="3"/>
      <c r="T65" s="3"/>
      <c r="U65" s="3"/>
      <c r="V65" s="3"/>
      <c r="W65" s="3"/>
      <c r="Y65" s="3"/>
    </row>
    <row r="66" spans="1:33" x14ac:dyDescent="0.35">
      <c r="A66" s="4" t="s">
        <v>597</v>
      </c>
      <c r="B66" s="24" t="s">
        <v>598</v>
      </c>
      <c r="C66" s="67">
        <v>44231</v>
      </c>
      <c r="D66" s="3">
        <v>23205</v>
      </c>
      <c r="E66" t="s">
        <v>503</v>
      </c>
      <c r="F66" s="3"/>
      <c r="G66" s="3"/>
      <c r="H66" s="3"/>
      <c r="I66" s="3">
        <v>23205</v>
      </c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W66" s="3"/>
      <c r="Y66" s="3"/>
    </row>
    <row r="67" spans="1:33" x14ac:dyDescent="0.35">
      <c r="A67" s="4" t="s">
        <v>506</v>
      </c>
      <c r="B67" s="24"/>
      <c r="C67" s="67">
        <v>44232</v>
      </c>
      <c r="D67" s="3">
        <f>+(25.6*2)*800/9</f>
        <v>4551.1111111111113</v>
      </c>
      <c r="F67" s="3"/>
      <c r="G67" s="3"/>
      <c r="H67" s="3"/>
      <c r="I67" s="3"/>
      <c r="K67" s="3"/>
      <c r="L67" s="3"/>
      <c r="M67" s="3">
        <f>+(25.6*2)*828/9</f>
        <v>4710.4000000000005</v>
      </c>
      <c r="O67" s="3"/>
      <c r="P67" s="3"/>
      <c r="Q67" s="3"/>
      <c r="R67" s="3"/>
      <c r="S67" s="3"/>
      <c r="T67" s="3"/>
      <c r="U67" s="3"/>
      <c r="V67" s="3"/>
      <c r="W67" s="3"/>
      <c r="Y67" s="3"/>
    </row>
    <row r="68" spans="1:33" x14ac:dyDescent="0.35">
      <c r="A68" s="4" t="s">
        <v>603</v>
      </c>
      <c r="B68" s="24" t="s">
        <v>245</v>
      </c>
      <c r="C68" s="67">
        <v>44235</v>
      </c>
      <c r="D68" s="3">
        <v>2216970</v>
      </c>
      <c r="E68" t="s">
        <v>13</v>
      </c>
      <c r="F68" s="3" t="s">
        <v>13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AG68" s="3" t="s">
        <v>13</v>
      </c>
    </row>
    <row r="69" spans="1:33" x14ac:dyDescent="0.35">
      <c r="A69" s="4" t="s">
        <v>608</v>
      </c>
      <c r="B69" s="24"/>
      <c r="C69" s="67">
        <v>44238</v>
      </c>
      <c r="D69" s="3">
        <f>+(19.3+31.7+15.2)*790/9+2432+363+934</f>
        <v>9539.8888888888887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 t="s">
        <v>13</v>
      </c>
      <c r="R69" s="3"/>
      <c r="S69" s="3"/>
      <c r="T69" s="3"/>
      <c r="U69" s="3"/>
      <c r="V69" s="3"/>
      <c r="W69" s="3"/>
      <c r="Y69" s="3"/>
    </row>
    <row r="70" spans="1:33" x14ac:dyDescent="0.35">
      <c r="A70" s="4" t="s">
        <v>542</v>
      </c>
      <c r="B70" s="24" t="s">
        <v>613</v>
      </c>
      <c r="C70" s="67">
        <v>44238</v>
      </c>
      <c r="D70" s="3">
        <v>77900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>
        <v>77900</v>
      </c>
      <c r="Q70" s="3"/>
      <c r="R70" s="3"/>
      <c r="S70" s="3"/>
      <c r="T70" s="3"/>
      <c r="U70" s="3"/>
      <c r="V70" s="3"/>
      <c r="W70" s="3"/>
      <c r="Y70" s="3"/>
    </row>
    <row r="71" spans="1:33" x14ac:dyDescent="0.35">
      <c r="A71" s="4" t="s">
        <v>614</v>
      </c>
      <c r="B71" s="24"/>
      <c r="C71" s="67">
        <v>44239</v>
      </c>
      <c r="D71" s="3">
        <v>129000</v>
      </c>
      <c r="E71" t="s">
        <v>401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>
        <v>129000</v>
      </c>
      <c r="R71" s="3"/>
      <c r="S71" s="3"/>
      <c r="T71" s="3"/>
      <c r="U71" s="3"/>
      <c r="V71" s="3"/>
      <c r="W71" s="3"/>
      <c r="Y71" s="3"/>
    </row>
    <row r="72" spans="1:33" x14ac:dyDescent="0.35">
      <c r="A72" s="4" t="s">
        <v>609</v>
      </c>
      <c r="B72" s="24"/>
      <c r="C72" s="67"/>
      <c r="D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>
        <v>383</v>
      </c>
      <c r="R72" s="3"/>
      <c r="S72" s="3"/>
      <c r="T72" s="3"/>
      <c r="U72" s="3"/>
      <c r="V72" s="3"/>
      <c r="W72" s="3"/>
      <c r="Y72" s="3"/>
    </row>
    <row r="73" spans="1:33" x14ac:dyDescent="0.35">
      <c r="A73" s="4" t="s">
        <v>542</v>
      </c>
      <c r="B73" s="24" t="s">
        <v>612</v>
      </c>
      <c r="C73" s="67">
        <v>44242</v>
      </c>
      <c r="D73" s="3">
        <v>77900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77900</v>
      </c>
      <c r="U73" s="3"/>
      <c r="V73" s="3"/>
      <c r="W73" s="3"/>
      <c r="Y73" s="3"/>
    </row>
    <row r="74" spans="1:33" x14ac:dyDescent="0.35">
      <c r="A74" s="4" t="s">
        <v>506</v>
      </c>
      <c r="B74" s="24"/>
      <c r="C74" s="67">
        <v>44242</v>
      </c>
      <c r="D74" s="3">
        <f>+(25.6*2)*800/9</f>
        <v>4551.1111111111113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</row>
    <row r="75" spans="1:33" x14ac:dyDescent="0.35">
      <c r="A75" s="4" t="s">
        <v>617</v>
      </c>
      <c r="B75" s="24"/>
      <c r="C75" s="67">
        <v>44243</v>
      </c>
      <c r="D75" s="3">
        <f>+(14.4*2)*800/9+674+935</f>
        <v>4169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Y75" s="3"/>
    </row>
    <row r="76" spans="1:33" x14ac:dyDescent="0.35">
      <c r="A76" s="4" t="s">
        <v>622</v>
      </c>
      <c r="B76" s="24"/>
      <c r="C76" s="67">
        <v>44251</v>
      </c>
      <c r="D76" s="3">
        <f>+(14.4+28.6+25.7)*800/9+1977+2432+1220</f>
        <v>11735.666666666668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</row>
    <row r="77" spans="1:33" x14ac:dyDescent="0.35">
      <c r="A77" s="4"/>
      <c r="B77" s="24"/>
      <c r="C77" s="67"/>
      <c r="D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</row>
    <row r="78" spans="1:33" x14ac:dyDescent="0.35">
      <c r="A78" s="4"/>
      <c r="B78" s="24"/>
      <c r="C78" s="67"/>
      <c r="D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Y78" s="3"/>
    </row>
    <row r="79" spans="1:33" x14ac:dyDescent="0.35">
      <c r="A79" s="2" t="s">
        <v>9</v>
      </c>
      <c r="F79" s="3">
        <f t="shared" ref="F79:AG79" si="3">SUM(F40:F78)</f>
        <v>0</v>
      </c>
      <c r="G79" s="3">
        <f t="shared" si="3"/>
        <v>47902.666666666672</v>
      </c>
      <c r="H79" s="3">
        <f t="shared" si="3"/>
        <v>0</v>
      </c>
      <c r="I79" s="3">
        <f t="shared" si="3"/>
        <v>23205</v>
      </c>
      <c r="J79" s="3">
        <f t="shared" si="3"/>
        <v>0</v>
      </c>
      <c r="K79" s="3">
        <f t="shared" si="3"/>
        <v>0</v>
      </c>
      <c r="L79" s="3">
        <f t="shared" si="3"/>
        <v>0</v>
      </c>
      <c r="M79" s="3">
        <f t="shared" si="3"/>
        <v>382129.94000000012</v>
      </c>
      <c r="N79" s="3">
        <f t="shared" si="3"/>
        <v>0</v>
      </c>
      <c r="O79" s="3">
        <f t="shared" si="3"/>
        <v>0</v>
      </c>
      <c r="P79" s="3">
        <f t="shared" si="3"/>
        <v>77900</v>
      </c>
      <c r="Q79" s="3">
        <f t="shared" si="3"/>
        <v>129383</v>
      </c>
      <c r="R79" s="3">
        <f t="shared" si="3"/>
        <v>0</v>
      </c>
      <c r="S79" s="3">
        <f t="shared" si="3"/>
        <v>0</v>
      </c>
      <c r="T79" s="3">
        <f t="shared" si="3"/>
        <v>77900</v>
      </c>
      <c r="U79" s="3">
        <f t="shared" si="3"/>
        <v>0</v>
      </c>
      <c r="V79" s="3">
        <f t="shared" si="3"/>
        <v>0</v>
      </c>
      <c r="W79" s="3">
        <f t="shared" si="3"/>
        <v>0</v>
      </c>
      <c r="X79" s="3">
        <f t="shared" si="3"/>
        <v>0</v>
      </c>
      <c r="Y79" s="3">
        <f t="shared" si="3"/>
        <v>0</v>
      </c>
      <c r="Z79" s="3">
        <f t="shared" si="3"/>
        <v>0</v>
      </c>
      <c r="AA79" s="3">
        <f t="shared" si="3"/>
        <v>0</v>
      </c>
      <c r="AB79" s="3">
        <f t="shared" si="3"/>
        <v>0</v>
      </c>
      <c r="AC79" s="3">
        <f t="shared" si="3"/>
        <v>0</v>
      </c>
      <c r="AD79" s="3">
        <f t="shared" si="3"/>
        <v>0</v>
      </c>
      <c r="AE79" s="3">
        <f t="shared" si="3"/>
        <v>0</v>
      </c>
      <c r="AF79" s="3">
        <f t="shared" si="3"/>
        <v>0</v>
      </c>
      <c r="AG79" s="3">
        <f t="shared" si="3"/>
        <v>0</v>
      </c>
    </row>
    <row r="80" spans="1:33" x14ac:dyDescent="0.35">
      <c r="A80" t="s">
        <v>8</v>
      </c>
      <c r="F80" s="3">
        <f>+F37+F3-F79</f>
        <v>475165.43478057894</v>
      </c>
      <c r="G80" s="3">
        <f t="shared" ref="G80:AG80" si="4">+G3+G37-G79</f>
        <v>427262.76811391226</v>
      </c>
      <c r="H80" s="3">
        <f t="shared" si="4"/>
        <v>427262.76811391226</v>
      </c>
      <c r="I80" s="3">
        <f t="shared" si="4"/>
        <v>404057.76811391226</v>
      </c>
      <c r="J80" s="3">
        <f t="shared" si="4"/>
        <v>404057.76811391226</v>
      </c>
      <c r="K80" s="3">
        <f t="shared" si="4"/>
        <v>404057.76811391226</v>
      </c>
      <c r="L80" s="3">
        <f t="shared" si="4"/>
        <v>404057.76811391226</v>
      </c>
      <c r="M80" s="3">
        <f t="shared" si="4"/>
        <v>221927.8281139122</v>
      </c>
      <c r="N80" s="3">
        <f t="shared" si="4"/>
        <v>221927.8281139122</v>
      </c>
      <c r="O80" s="3">
        <f t="shared" si="4"/>
        <v>563578.82811391214</v>
      </c>
      <c r="P80" s="3">
        <f t="shared" si="4"/>
        <v>485678.82811391214</v>
      </c>
      <c r="Q80" s="3">
        <f t="shared" si="4"/>
        <v>356295.82811391214</v>
      </c>
      <c r="R80" s="3">
        <f t="shared" si="4"/>
        <v>356295.82811391214</v>
      </c>
      <c r="S80" s="3">
        <f t="shared" si="4"/>
        <v>356295.82811391214</v>
      </c>
      <c r="T80" s="3">
        <f t="shared" si="4"/>
        <v>278395.82811391214</v>
      </c>
      <c r="U80" s="3">
        <f t="shared" si="4"/>
        <v>369759.82811391214</v>
      </c>
      <c r="V80" s="3">
        <f t="shared" si="4"/>
        <v>369759.82811391214</v>
      </c>
      <c r="W80" s="3">
        <f t="shared" si="4"/>
        <v>369759.82811391214</v>
      </c>
      <c r="X80" s="3">
        <f t="shared" si="4"/>
        <v>369759.82811391214</v>
      </c>
      <c r="Y80" s="3">
        <f t="shared" si="4"/>
        <v>369759.82811391214</v>
      </c>
      <c r="Z80" s="3">
        <f t="shared" si="4"/>
        <v>369759.82811391214</v>
      </c>
      <c r="AA80" s="3">
        <f t="shared" si="4"/>
        <v>369759.82811391214</v>
      </c>
      <c r="AB80" s="3">
        <f t="shared" si="4"/>
        <v>369759.82811391214</v>
      </c>
      <c r="AC80" s="3">
        <f t="shared" si="4"/>
        <v>520473.82811391214</v>
      </c>
      <c r="AD80" s="3">
        <f t="shared" si="4"/>
        <v>520473.82811391214</v>
      </c>
      <c r="AE80" s="3">
        <f t="shared" si="4"/>
        <v>520473.82811391214</v>
      </c>
      <c r="AF80" s="3">
        <f t="shared" si="4"/>
        <v>520473.82811391214</v>
      </c>
      <c r="AG80" s="3">
        <f t="shared" si="4"/>
        <v>520473.82811391214</v>
      </c>
    </row>
    <row r="81" spans="1:28" x14ac:dyDescent="0.35">
      <c r="F81" s="3"/>
      <c r="G81" s="3"/>
      <c r="H81" s="3"/>
      <c r="I81" s="3" t="s">
        <v>13</v>
      </c>
      <c r="J81" s="3"/>
      <c r="K81" s="3"/>
      <c r="L81" s="3"/>
      <c r="M81" s="3"/>
      <c r="N81" s="3"/>
      <c r="O81" s="3"/>
      <c r="P81" s="3" t="s">
        <v>13</v>
      </c>
      <c r="Q81" s="3"/>
      <c r="R81" s="3"/>
      <c r="S81" s="3"/>
      <c r="T81" s="3" t="s">
        <v>13</v>
      </c>
      <c r="U81" s="3"/>
      <c r="V81" s="3"/>
      <c r="W81" s="3"/>
      <c r="Y81" s="3" t="s">
        <v>13</v>
      </c>
      <c r="AA81" s="3" t="s">
        <v>13</v>
      </c>
      <c r="AB81" s="3" t="s">
        <v>13</v>
      </c>
    </row>
    <row r="82" spans="1:28" x14ac:dyDescent="0.35">
      <c r="F82" s="3"/>
      <c r="G82" s="3"/>
      <c r="H82" s="3"/>
      <c r="I82" s="3"/>
      <c r="J82" s="3"/>
      <c r="K82" s="3"/>
      <c r="L82" s="3"/>
      <c r="M82" s="3"/>
      <c r="N82" s="3"/>
      <c r="O82" s="3"/>
      <c r="P82" s="3" t="s">
        <v>13</v>
      </c>
      <c r="Q82" s="3" t="s">
        <v>13</v>
      </c>
      <c r="R82" s="3"/>
      <c r="S82" s="3"/>
      <c r="T82" s="3"/>
      <c r="U82" s="3" t="s">
        <v>13</v>
      </c>
      <c r="V82" s="3"/>
      <c r="W82" s="3"/>
      <c r="AB82" s="3" t="s">
        <v>13</v>
      </c>
    </row>
    <row r="83" spans="1:28" x14ac:dyDescent="0.35">
      <c r="A83" s="3" t="s">
        <v>13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 t="s">
        <v>13</v>
      </c>
      <c r="U83" s="3"/>
      <c r="V83" s="3"/>
      <c r="W83" s="3"/>
      <c r="AB83" s="3" t="s">
        <v>13</v>
      </c>
    </row>
    <row r="84" spans="1:28" x14ac:dyDescent="0.35">
      <c r="A84" s="3" t="s">
        <v>13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 t="s">
        <v>13</v>
      </c>
      <c r="AB84" s="3" t="s">
        <v>13</v>
      </c>
    </row>
    <row r="85" spans="1:28" x14ac:dyDescent="0.35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AB85" s="3" t="s">
        <v>13</v>
      </c>
    </row>
    <row r="86" spans="1:28" x14ac:dyDescent="0.35"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AB86" s="3" t="s">
        <v>13</v>
      </c>
    </row>
    <row r="87" spans="1:28" x14ac:dyDescent="0.35"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AB87" s="3" t="s">
        <v>13</v>
      </c>
    </row>
    <row r="88" spans="1:28" x14ac:dyDescent="0.35"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AB88" s="3" t="s">
        <v>98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K74"/>
  <sheetViews>
    <sheetView workbookViewId="0"/>
  </sheetViews>
  <sheetFormatPr baseColWidth="10" defaultColWidth="11.08984375" defaultRowHeight="14.5" x14ac:dyDescent="0.35"/>
  <cols>
    <col min="1" max="1" width="42.7265625" customWidth="1"/>
    <col min="2" max="4" width="13.26953125" customWidth="1"/>
    <col min="5" max="5" width="7.3632812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44256</v>
      </c>
      <c r="G2" s="1">
        <v>44257</v>
      </c>
      <c r="H2" s="1">
        <v>44258</v>
      </c>
      <c r="I2" s="1">
        <v>44259</v>
      </c>
      <c r="J2" s="1">
        <v>44260</v>
      </c>
      <c r="K2" s="1">
        <v>44261</v>
      </c>
      <c r="L2" s="1">
        <v>44262</v>
      </c>
      <c r="M2" s="1">
        <v>44263</v>
      </c>
      <c r="N2" s="1">
        <v>44264</v>
      </c>
      <c r="O2" s="1">
        <v>44265</v>
      </c>
      <c r="P2" s="1">
        <v>44266</v>
      </c>
      <c r="Q2" s="1">
        <v>44267</v>
      </c>
      <c r="R2" s="1">
        <v>44268</v>
      </c>
      <c r="S2" s="1">
        <v>44269</v>
      </c>
      <c r="T2" s="1">
        <v>44270</v>
      </c>
      <c r="U2" s="1">
        <v>44271</v>
      </c>
      <c r="V2" s="1">
        <v>44272</v>
      </c>
      <c r="W2" s="1">
        <v>44273</v>
      </c>
      <c r="X2" s="1">
        <v>44274</v>
      </c>
      <c r="Y2" s="1">
        <v>44275</v>
      </c>
      <c r="Z2" s="1">
        <v>44276</v>
      </c>
      <c r="AA2" s="1">
        <v>44277</v>
      </c>
      <c r="AB2" s="1">
        <v>44278</v>
      </c>
      <c r="AC2" s="1">
        <v>44279</v>
      </c>
      <c r="AD2" s="1">
        <v>44280</v>
      </c>
      <c r="AE2" s="1">
        <v>44281</v>
      </c>
      <c r="AF2" s="1">
        <v>44282</v>
      </c>
      <c r="AG2" s="1">
        <v>44283</v>
      </c>
      <c r="AH2" s="1">
        <v>44284</v>
      </c>
      <c r="AI2" s="1">
        <v>44285</v>
      </c>
      <c r="AJ2" s="1">
        <v>44286</v>
      </c>
      <c r="AK2" s="176" t="s">
        <v>579</v>
      </c>
    </row>
    <row r="3" spans="1:37" x14ac:dyDescent="0.35">
      <c r="A3" t="s">
        <v>7</v>
      </c>
      <c r="F3" s="3">
        <f>+'FEB-21'!AG80</f>
        <v>520473.82811391214</v>
      </c>
      <c r="G3" s="3">
        <f t="shared" ref="G3:AG3" si="0">+F66</f>
        <v>520473.82811391214</v>
      </c>
      <c r="H3" s="3">
        <f t="shared" si="0"/>
        <v>442573.82811391214</v>
      </c>
      <c r="I3" s="3">
        <f t="shared" si="0"/>
        <v>184171.82811391214</v>
      </c>
      <c r="J3" s="3">
        <f t="shared" si="0"/>
        <v>145525.60589168992</v>
      </c>
      <c r="K3" s="3">
        <f t="shared" si="0"/>
        <v>145525.60589168992</v>
      </c>
      <c r="L3" s="3">
        <f t="shared" si="0"/>
        <v>145525.60589168992</v>
      </c>
      <c r="M3" s="3">
        <f t="shared" si="0"/>
        <v>145525.60589168992</v>
      </c>
      <c r="N3" s="3">
        <f t="shared" si="0"/>
        <v>107445.60589168992</v>
      </c>
      <c r="O3" s="3">
        <f t="shared" si="0"/>
        <v>107445.60589168992</v>
      </c>
      <c r="P3" s="3">
        <f t="shared" si="0"/>
        <v>471050.27255835652</v>
      </c>
      <c r="Q3" s="3">
        <f t="shared" si="0"/>
        <v>471050.27255835652</v>
      </c>
      <c r="R3" s="3">
        <f t="shared" si="0"/>
        <v>337816.34255835647</v>
      </c>
      <c r="S3" s="3">
        <f t="shared" si="0"/>
        <v>337816.34255835647</v>
      </c>
      <c r="T3" s="3">
        <f t="shared" si="0"/>
        <v>337816.34255835647</v>
      </c>
      <c r="U3" s="3">
        <f t="shared" si="0"/>
        <v>227122.34255835647</v>
      </c>
      <c r="V3" s="3">
        <f t="shared" si="0"/>
        <v>227122.34255835647</v>
      </c>
      <c r="W3" s="3">
        <f t="shared" si="0"/>
        <v>227122.34255835647</v>
      </c>
      <c r="X3" s="3">
        <f t="shared" si="0"/>
        <v>227122.34255835647</v>
      </c>
      <c r="Y3" s="3">
        <f t="shared" si="0"/>
        <v>227122.34255835647</v>
      </c>
      <c r="Z3" s="3">
        <f t="shared" si="0"/>
        <v>227122.34255835647</v>
      </c>
      <c r="AA3" s="3">
        <f t="shared" si="0"/>
        <v>227122.34255835647</v>
      </c>
      <c r="AB3" s="3">
        <f t="shared" si="0"/>
        <v>227122.34255835647</v>
      </c>
      <c r="AC3" s="3">
        <f t="shared" si="0"/>
        <v>227122.34255835647</v>
      </c>
      <c r="AD3" s="3">
        <f t="shared" si="0"/>
        <v>227122.34255835647</v>
      </c>
      <c r="AE3" s="3">
        <f t="shared" si="0"/>
        <v>227122.34255835647</v>
      </c>
      <c r="AF3" s="3">
        <f t="shared" si="0"/>
        <v>127122.34255835647</v>
      </c>
      <c r="AG3" s="3">
        <f t="shared" si="0"/>
        <v>127122.34255835647</v>
      </c>
      <c r="AH3" s="3">
        <f>+AG66</f>
        <v>127122.34255835647</v>
      </c>
      <c r="AI3" s="3">
        <f>+AH66</f>
        <v>113413.45366946758</v>
      </c>
      <c r="AJ3" s="3">
        <f>+AI66</f>
        <v>113413.45366946758</v>
      </c>
    </row>
    <row r="4" spans="1:37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</row>
    <row r="5" spans="1:37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J5" s="3">
        <v>0</v>
      </c>
      <c r="AK5" s="3">
        <f t="shared" ref="AK5:AK14" si="1">SUM(F5:AJ5)</f>
        <v>0</v>
      </c>
    </row>
    <row r="6" spans="1:37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J6" s="3">
        <v>0</v>
      </c>
      <c r="AK6" s="3">
        <f t="shared" si="1"/>
        <v>0</v>
      </c>
    </row>
    <row r="7" spans="1:37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J7" s="3">
        <v>0</v>
      </c>
      <c r="AK7" s="3">
        <f t="shared" si="1"/>
        <v>0</v>
      </c>
    </row>
    <row r="8" spans="1:37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J8" s="3">
        <v>0</v>
      </c>
      <c r="AK8" s="3">
        <f t="shared" si="1"/>
        <v>0</v>
      </c>
    </row>
    <row r="9" spans="1:37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J9" s="3">
        <v>0</v>
      </c>
      <c r="AK9" s="3">
        <f t="shared" si="1"/>
        <v>0</v>
      </c>
    </row>
    <row r="10" spans="1:37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J10" s="3">
        <v>0</v>
      </c>
      <c r="AK10" s="3">
        <f t="shared" si="1"/>
        <v>0</v>
      </c>
    </row>
    <row r="11" spans="1:37" x14ac:dyDescent="0.35">
      <c r="A11" t="s">
        <v>345</v>
      </c>
      <c r="B11" t="s">
        <v>344</v>
      </c>
      <c r="C11" s="5" t="s">
        <v>13</v>
      </c>
      <c r="D11" s="3">
        <f>4500*60</f>
        <v>270000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J11" s="3">
        <v>0</v>
      </c>
      <c r="AK11" s="3">
        <f t="shared" si="1"/>
        <v>0</v>
      </c>
    </row>
    <row r="12" spans="1:37" x14ac:dyDescent="0.35">
      <c r="A12" t="s">
        <v>569</v>
      </c>
      <c r="B12" t="s">
        <v>570</v>
      </c>
      <c r="C12" s="5">
        <v>44209</v>
      </c>
      <c r="D12" s="3">
        <v>31333</v>
      </c>
      <c r="F12" s="3"/>
      <c r="G12" s="3"/>
      <c r="H12" s="3"/>
      <c r="I12" s="3"/>
      <c r="J12" s="3"/>
      <c r="K12" s="3"/>
      <c r="L12" s="3"/>
      <c r="M12" s="3"/>
      <c r="N12" s="3"/>
      <c r="O12" s="3">
        <v>31333</v>
      </c>
      <c r="P12" s="3"/>
      <c r="Q12" s="3"/>
      <c r="R12" s="3"/>
      <c r="S12" s="3"/>
      <c r="T12" s="3"/>
      <c r="U12" s="3"/>
      <c r="V12" s="3"/>
      <c r="W12" s="3"/>
      <c r="AJ12" s="3"/>
      <c r="AK12" s="3">
        <f t="shared" si="1"/>
        <v>31333</v>
      </c>
    </row>
    <row r="13" spans="1:37" x14ac:dyDescent="0.35">
      <c r="A13" t="s">
        <v>582</v>
      </c>
      <c r="B13" t="s">
        <v>583</v>
      </c>
      <c r="C13" s="5">
        <v>44229</v>
      </c>
      <c r="D13" s="3">
        <f>31333+3050*10/0.75</f>
        <v>71999.666666666657</v>
      </c>
      <c r="F13" s="3" t="s">
        <v>13</v>
      </c>
      <c r="G13" s="3"/>
      <c r="H13" s="3"/>
      <c r="I13" s="3"/>
      <c r="J13" s="3"/>
      <c r="L13" s="3"/>
      <c r="M13" s="3" t="s">
        <v>13</v>
      </c>
      <c r="N13" s="3"/>
      <c r="O13" s="3">
        <f>31333+3050*10/0.75</f>
        <v>71999.666666666657</v>
      </c>
      <c r="P13" s="3"/>
      <c r="Q13" s="3"/>
      <c r="R13" s="3"/>
      <c r="S13" s="3"/>
      <c r="T13" s="3"/>
      <c r="U13" s="3"/>
      <c r="V13" s="3"/>
      <c r="W13" s="3"/>
      <c r="AD13" t="s">
        <v>13</v>
      </c>
      <c r="AE13" s="3"/>
      <c r="AJ13" s="3"/>
      <c r="AK13" s="3">
        <f t="shared" si="1"/>
        <v>71999.666666666657</v>
      </c>
    </row>
    <row r="14" spans="1:37" x14ac:dyDescent="0.35">
      <c r="A14" s="173" t="s">
        <v>581</v>
      </c>
      <c r="C14" s="5"/>
      <c r="D14" s="3">
        <v>31333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K14" s="3">
        <f t="shared" si="1"/>
        <v>0</v>
      </c>
    </row>
    <row r="15" spans="1:37" x14ac:dyDescent="0.35">
      <c r="A15" s="173" t="s">
        <v>620</v>
      </c>
      <c r="B15" s="173" t="s">
        <v>621</v>
      </c>
      <c r="C15" s="5">
        <v>44251</v>
      </c>
      <c r="D15" s="3">
        <v>141598</v>
      </c>
      <c r="F15" s="3"/>
      <c r="G15" s="3"/>
      <c r="H15" s="3">
        <v>141598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K15" s="3">
        <f>SUM(F15:AJ15)</f>
        <v>141598</v>
      </c>
    </row>
    <row r="16" spans="1:37" x14ac:dyDescent="0.35">
      <c r="A16" t="s">
        <v>618</v>
      </c>
      <c r="B16" t="s">
        <v>619</v>
      </c>
      <c r="C16" s="5">
        <v>44251</v>
      </c>
      <c r="D16" s="3">
        <f>31333</f>
        <v>31333</v>
      </c>
      <c r="F16" s="3"/>
      <c r="G16" s="3"/>
      <c r="H16" s="3"/>
      <c r="I16" s="3"/>
      <c r="J16" s="3"/>
      <c r="K16" s="3"/>
      <c r="L16" s="3"/>
      <c r="M16" s="3"/>
      <c r="N16" s="3"/>
      <c r="O16" s="3">
        <f>31333</f>
        <v>31333</v>
      </c>
      <c r="P16" s="3"/>
      <c r="Q16" s="3"/>
      <c r="R16" s="3"/>
      <c r="S16" s="3"/>
      <c r="T16" s="3"/>
      <c r="U16" s="3"/>
      <c r="V16" s="3"/>
      <c r="W16" s="3"/>
      <c r="AK16" s="3">
        <f>SUM(F16:AJ16)</f>
        <v>31333</v>
      </c>
    </row>
    <row r="17" spans="1:37" x14ac:dyDescent="0.35">
      <c r="A17" s="173" t="s">
        <v>624</v>
      </c>
      <c r="B17" s="173" t="s">
        <v>625</v>
      </c>
      <c r="C17" s="5">
        <v>44257</v>
      </c>
      <c r="D17" s="3">
        <v>251864</v>
      </c>
      <c r="F17" s="3"/>
      <c r="G17" s="3"/>
      <c r="H17" s="3"/>
      <c r="I17" s="3"/>
      <c r="J17" s="3"/>
      <c r="K17" s="3"/>
      <c r="L17" s="3"/>
      <c r="M17" s="3"/>
      <c r="N17" s="3"/>
      <c r="O17" s="3">
        <v>251864</v>
      </c>
      <c r="P17" s="3"/>
      <c r="Q17" s="3"/>
      <c r="R17" s="3"/>
      <c r="S17" s="3"/>
      <c r="T17" s="3"/>
      <c r="U17" s="3"/>
      <c r="V17" s="3"/>
      <c r="W17" s="3"/>
      <c r="AK17" s="3">
        <f>SUM(F17:AJ17)</f>
        <v>251864</v>
      </c>
    </row>
    <row r="18" spans="1:37" x14ac:dyDescent="0.35">
      <c r="A18" s="173" t="s">
        <v>626</v>
      </c>
      <c r="B18" s="173" t="s">
        <v>627</v>
      </c>
      <c r="C18" s="5">
        <v>44257</v>
      </c>
      <c r="D18" s="3">
        <v>23247</v>
      </c>
      <c r="F18" s="3"/>
      <c r="G18" s="3"/>
      <c r="H18" s="3"/>
      <c r="I18" s="3"/>
      <c r="J18" s="3"/>
      <c r="K18" s="3"/>
      <c r="L18" s="3"/>
      <c r="M18" s="3"/>
      <c r="N18" s="3"/>
      <c r="O18" s="3">
        <v>23247</v>
      </c>
      <c r="P18" s="3"/>
      <c r="Q18" s="3"/>
      <c r="R18" s="3"/>
      <c r="S18" s="3"/>
      <c r="T18" s="3"/>
      <c r="U18" s="3"/>
      <c r="V18" s="3"/>
      <c r="W18" s="3"/>
      <c r="AK18" s="3">
        <f>SUM(F18:AJ18)</f>
        <v>23247</v>
      </c>
    </row>
    <row r="19" spans="1:37" x14ac:dyDescent="0.35">
      <c r="A19" s="173"/>
      <c r="B19" s="173"/>
      <c r="C19" s="5"/>
      <c r="D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K19" s="72">
        <f>SUM(AK5:AK18)</f>
        <v>551374.66666666663</v>
      </c>
    </row>
    <row r="20" spans="1:37" x14ac:dyDescent="0.35">
      <c r="A20" s="173"/>
      <c r="C20" s="5"/>
      <c r="D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B20" t="s">
        <v>13</v>
      </c>
    </row>
    <row r="21" spans="1:37" x14ac:dyDescent="0.35">
      <c r="A21" t="s">
        <v>385</v>
      </c>
      <c r="C21" s="5">
        <v>43980</v>
      </c>
      <c r="D21" s="3">
        <v>10465</v>
      </c>
      <c r="F21" s="3"/>
      <c r="G21" s="3"/>
      <c r="H21" s="3"/>
      <c r="I21" s="3"/>
      <c r="J21" s="3"/>
      <c r="K21" s="3"/>
      <c r="M21" s="3"/>
      <c r="N21" s="3"/>
      <c r="O21" s="3"/>
      <c r="Q21" s="3"/>
      <c r="R21" s="3"/>
      <c r="S21" s="3"/>
      <c r="T21" s="3"/>
      <c r="U21" s="3"/>
      <c r="W21" s="3"/>
      <c r="AG21" s="3" t="s">
        <v>13</v>
      </c>
    </row>
    <row r="22" spans="1:37" x14ac:dyDescent="0.35">
      <c r="A22" t="s">
        <v>60</v>
      </c>
      <c r="D22" s="3">
        <v>0</v>
      </c>
      <c r="F22" s="3">
        <v>0</v>
      </c>
      <c r="G22" s="3">
        <v>0</v>
      </c>
      <c r="H22" s="3"/>
      <c r="I22" s="3"/>
      <c r="J22" s="3"/>
      <c r="K22" s="3" t="s">
        <v>13</v>
      </c>
      <c r="M22" s="3"/>
      <c r="N22" s="3"/>
      <c r="O22" s="3" t="s">
        <v>13</v>
      </c>
      <c r="P22" s="3"/>
      <c r="Q22" s="3"/>
      <c r="R22" s="3" t="s">
        <v>13</v>
      </c>
      <c r="S22" s="3"/>
      <c r="T22" s="3"/>
      <c r="U22" s="3"/>
      <c r="V22" s="3"/>
      <c r="W22" s="3"/>
    </row>
    <row r="23" spans="1:37" x14ac:dyDescent="0.35">
      <c r="A23" t="s">
        <v>1</v>
      </c>
      <c r="F23" s="3"/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7" x14ac:dyDescent="0.35">
      <c r="A24" t="s">
        <v>478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 t="s">
        <v>13</v>
      </c>
      <c r="S24" s="3"/>
      <c r="T24" s="3"/>
      <c r="U24" s="3"/>
      <c r="V24" s="3"/>
      <c r="W24" s="3"/>
    </row>
    <row r="25" spans="1:37" x14ac:dyDescent="0.35"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7" x14ac:dyDescent="0.35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37" x14ac:dyDescent="0.35">
      <c r="A27" s="2" t="s">
        <v>6</v>
      </c>
      <c r="F27" s="3">
        <f t="shared" ref="F27:AJ27" si="2">SUM(F5:F26)</f>
        <v>0</v>
      </c>
      <c r="G27" s="3">
        <f t="shared" si="2"/>
        <v>0</v>
      </c>
      <c r="H27" s="3">
        <f t="shared" si="2"/>
        <v>141598</v>
      </c>
      <c r="I27" s="3">
        <f t="shared" si="2"/>
        <v>0</v>
      </c>
      <c r="J27" s="3">
        <f t="shared" si="2"/>
        <v>0</v>
      </c>
      <c r="K27" s="3">
        <f t="shared" si="2"/>
        <v>0</v>
      </c>
      <c r="L27" s="3">
        <f t="shared" si="2"/>
        <v>0</v>
      </c>
      <c r="M27" s="3">
        <f t="shared" si="2"/>
        <v>0</v>
      </c>
      <c r="N27" s="3">
        <f t="shared" si="2"/>
        <v>0</v>
      </c>
      <c r="O27" s="3">
        <f t="shared" si="2"/>
        <v>409776.66666666663</v>
      </c>
      <c r="P27" s="3">
        <f t="shared" si="2"/>
        <v>0</v>
      </c>
      <c r="Q27" s="3">
        <f t="shared" si="2"/>
        <v>0</v>
      </c>
      <c r="R27" s="3">
        <f t="shared" si="2"/>
        <v>0</v>
      </c>
      <c r="S27" s="3">
        <f t="shared" si="2"/>
        <v>0</v>
      </c>
      <c r="T27" s="3">
        <f t="shared" si="2"/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3">
        <f t="shared" si="2"/>
        <v>0</v>
      </c>
      <c r="Y27" s="3">
        <f t="shared" si="2"/>
        <v>0</v>
      </c>
      <c r="Z27" s="3">
        <f t="shared" si="2"/>
        <v>0</v>
      </c>
      <c r="AA27" s="3">
        <f t="shared" si="2"/>
        <v>0</v>
      </c>
      <c r="AB27" s="3">
        <f t="shared" si="2"/>
        <v>0</v>
      </c>
      <c r="AC27" s="3">
        <f t="shared" si="2"/>
        <v>0</v>
      </c>
      <c r="AD27" s="3">
        <f t="shared" si="2"/>
        <v>0</v>
      </c>
      <c r="AE27" s="3">
        <f t="shared" si="2"/>
        <v>0</v>
      </c>
      <c r="AF27" s="3">
        <f t="shared" si="2"/>
        <v>0</v>
      </c>
      <c r="AG27" s="3">
        <f t="shared" si="2"/>
        <v>0</v>
      </c>
      <c r="AH27" s="3">
        <f t="shared" si="2"/>
        <v>0</v>
      </c>
      <c r="AI27" s="3">
        <f t="shared" si="2"/>
        <v>0</v>
      </c>
      <c r="AJ27" s="3">
        <f t="shared" si="2"/>
        <v>0</v>
      </c>
    </row>
    <row r="28" spans="1:37" x14ac:dyDescent="0.35">
      <c r="A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7" x14ac:dyDescent="0.35">
      <c r="A29" s="2" t="s">
        <v>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37" x14ac:dyDescent="0.35">
      <c r="A30" s="4" t="s">
        <v>409</v>
      </c>
      <c r="B30" s="24" t="s">
        <v>337</v>
      </c>
      <c r="C30" s="67"/>
      <c r="D30" s="3">
        <f>500000/2</f>
        <v>250000</v>
      </c>
      <c r="F30" s="3"/>
      <c r="G30" s="3"/>
      <c r="H30" s="3"/>
      <c r="I30" s="3"/>
      <c r="J30" t="s">
        <v>13</v>
      </c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  <c r="AJ30" s="3" t="s">
        <v>13</v>
      </c>
    </row>
    <row r="31" spans="1:37" x14ac:dyDescent="0.35">
      <c r="A31" s="4" t="s">
        <v>410</v>
      </c>
      <c r="B31" s="24" t="s">
        <v>337</v>
      </c>
      <c r="C31" s="67"/>
      <c r="D31" s="3">
        <f>500000/2</f>
        <v>250000</v>
      </c>
      <c r="F31" s="3"/>
      <c r="G31" s="3"/>
      <c r="H31" s="3"/>
      <c r="I31" s="3"/>
      <c r="J31" t="s">
        <v>13</v>
      </c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  <c r="AJ31" s="3" t="s">
        <v>13</v>
      </c>
    </row>
    <row r="32" spans="1:37" x14ac:dyDescent="0.35">
      <c r="A32" s="4" t="s">
        <v>411</v>
      </c>
      <c r="B32" s="24" t="s">
        <v>337</v>
      </c>
      <c r="C32" s="67"/>
      <c r="D32" s="3">
        <f>500000/2</f>
        <v>250000</v>
      </c>
      <c r="F32" s="3"/>
      <c r="G32" s="3"/>
      <c r="H32" s="3"/>
      <c r="I32" s="3"/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  <c r="AJ32" s="3" t="s">
        <v>13</v>
      </c>
    </row>
    <row r="33" spans="1:36" x14ac:dyDescent="0.35">
      <c r="A33" s="4" t="s">
        <v>492</v>
      </c>
      <c r="B33" s="24" t="s">
        <v>337</v>
      </c>
      <c r="C33" s="67"/>
      <c r="D33" s="3">
        <v>250000</v>
      </c>
      <c r="F33" s="3"/>
      <c r="G33" s="3"/>
      <c r="H33" s="3"/>
      <c r="I33" s="3"/>
      <c r="K33" s="3"/>
      <c r="L33" s="3"/>
      <c r="M33" s="3"/>
      <c r="P33" s="3"/>
      <c r="Q33" s="3"/>
      <c r="R33" s="3"/>
      <c r="S33" s="3"/>
      <c r="T33" s="3"/>
      <c r="U33" s="3"/>
      <c r="V33" s="3"/>
      <c r="W33" s="3"/>
      <c r="AJ33" s="3" t="s">
        <v>13</v>
      </c>
    </row>
    <row r="34" spans="1:36" x14ac:dyDescent="0.35">
      <c r="A34" s="4" t="s">
        <v>494</v>
      </c>
      <c r="B34" s="24" t="s">
        <v>337</v>
      </c>
      <c r="C34" s="67"/>
      <c r="D34" s="3">
        <v>500000</v>
      </c>
      <c r="F34" s="3"/>
      <c r="G34" s="3"/>
      <c r="H34" s="3"/>
      <c r="I34" s="3"/>
      <c r="K34" s="3"/>
      <c r="L34" s="3"/>
      <c r="M34" s="3"/>
      <c r="P34" s="3"/>
      <c r="Q34" s="3"/>
      <c r="R34" s="3"/>
      <c r="S34" s="3"/>
      <c r="T34" s="3"/>
      <c r="U34" s="3"/>
      <c r="V34" s="3"/>
      <c r="W34" s="3"/>
      <c r="AJ34" s="3" t="s">
        <v>13</v>
      </c>
    </row>
    <row r="35" spans="1:36" x14ac:dyDescent="0.35">
      <c r="A35" s="4" t="s">
        <v>495</v>
      </c>
      <c r="B35" s="24" t="s">
        <v>337</v>
      </c>
      <c r="C35" s="67"/>
      <c r="D35" s="3">
        <v>500000</v>
      </c>
      <c r="F35" s="3"/>
      <c r="G35" s="3"/>
      <c r="H35" s="3"/>
      <c r="I35" s="3"/>
      <c r="K35" s="3"/>
      <c r="L35" s="3"/>
      <c r="M35" s="104" t="s">
        <v>13</v>
      </c>
      <c r="P35" s="3"/>
      <c r="Q35" s="3"/>
      <c r="R35" s="3"/>
      <c r="S35" s="3"/>
      <c r="T35" s="3"/>
      <c r="U35" s="3"/>
      <c r="V35" s="3"/>
      <c r="W35" s="3"/>
      <c r="AJ35" s="3" t="s">
        <v>13</v>
      </c>
    </row>
    <row r="36" spans="1:36" x14ac:dyDescent="0.35">
      <c r="A36" s="4" t="s">
        <v>541</v>
      </c>
      <c r="B36" s="24" t="s">
        <v>337</v>
      </c>
      <c r="C36" s="67"/>
      <c r="D36" s="3">
        <v>500000</v>
      </c>
      <c r="F36" s="3"/>
      <c r="G36" s="3"/>
      <c r="H36" s="3"/>
      <c r="I36" s="3"/>
      <c r="K36" s="3"/>
      <c r="L36" s="3"/>
      <c r="M36" s="3"/>
      <c r="P36" s="3"/>
      <c r="Q36" s="3"/>
      <c r="R36" s="3"/>
      <c r="S36" s="3"/>
      <c r="T36" s="3"/>
      <c r="U36" s="3"/>
      <c r="V36" s="3"/>
      <c r="W36" s="3"/>
      <c r="AJ36" s="3" t="s">
        <v>13</v>
      </c>
    </row>
    <row r="37" spans="1:36" x14ac:dyDescent="0.35">
      <c r="A37" s="4" t="s">
        <v>576</v>
      </c>
      <c r="B37" s="24" t="s">
        <v>337</v>
      </c>
      <c r="C37" s="67"/>
      <c r="D37" s="3">
        <v>500000</v>
      </c>
      <c r="AJ37" s="3" t="s">
        <v>13</v>
      </c>
    </row>
    <row r="38" spans="1:36" x14ac:dyDescent="0.35">
      <c r="A38" s="4" t="s">
        <v>629</v>
      </c>
      <c r="B38" s="24" t="s">
        <v>337</v>
      </c>
      <c r="C38" s="67"/>
      <c r="D38" s="3">
        <v>500000</v>
      </c>
      <c r="H38" t="s">
        <v>13</v>
      </c>
      <c r="AG38" s="3"/>
      <c r="AJ38" s="3" t="s">
        <v>13</v>
      </c>
    </row>
    <row r="39" spans="1:36" x14ac:dyDescent="0.35">
      <c r="A39" t="s">
        <v>947</v>
      </c>
      <c r="B39" t="s">
        <v>643</v>
      </c>
      <c r="C39" s="5" t="s">
        <v>13</v>
      </c>
      <c r="D39" s="3">
        <f>+('FEB-21'!AH28)*0.17</f>
        <v>133233.93000000002</v>
      </c>
      <c r="Q39" s="3">
        <v>133233.93000000002</v>
      </c>
      <c r="AG39" s="3"/>
    </row>
    <row r="40" spans="1:36" x14ac:dyDescent="0.35">
      <c r="A40" s="4" t="s">
        <v>545</v>
      </c>
      <c r="B40" s="24" t="s">
        <v>544</v>
      </c>
      <c r="C40" s="67">
        <v>44182</v>
      </c>
      <c r="D40" s="7">
        <v>121856</v>
      </c>
      <c r="E40" s="153" t="s">
        <v>13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 t="s">
        <v>13</v>
      </c>
      <c r="R40" s="3"/>
      <c r="S40" s="3"/>
      <c r="T40" s="3"/>
      <c r="U40" s="3"/>
      <c r="V40" s="3"/>
      <c r="W40" s="3"/>
      <c r="Y40" s="3"/>
    </row>
    <row r="41" spans="1:36" x14ac:dyDescent="0.35">
      <c r="A41" s="4" t="s">
        <v>549</v>
      </c>
      <c r="B41" s="24" t="s">
        <v>78</v>
      </c>
      <c r="C41" s="67">
        <v>44195</v>
      </c>
      <c r="D41" s="3">
        <v>240975</v>
      </c>
      <c r="E41" s="153"/>
      <c r="F41" s="3"/>
      <c r="G41" s="3" t="s">
        <v>13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</row>
    <row r="42" spans="1:36" x14ac:dyDescent="0.35">
      <c r="A42" s="4" t="s">
        <v>548</v>
      </c>
      <c r="B42" s="24" t="s">
        <v>563</v>
      </c>
      <c r="C42" s="67">
        <v>44203</v>
      </c>
      <c r="D42" s="71">
        <v>28988</v>
      </c>
      <c r="E42" s="153" t="s">
        <v>139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</row>
    <row r="43" spans="1:36" x14ac:dyDescent="0.35">
      <c r="A43" s="4" t="s">
        <v>593</v>
      </c>
      <c r="B43" s="24" t="s">
        <v>592</v>
      </c>
      <c r="C43" s="67">
        <v>44229</v>
      </c>
      <c r="D43" s="71">
        <f>60000*1.19</f>
        <v>71400</v>
      </c>
      <c r="E43" s="153" t="s">
        <v>139</v>
      </c>
      <c r="F43" s="3"/>
      <c r="G43" s="3"/>
      <c r="H43" s="3"/>
      <c r="I43" s="3"/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W43" s="3"/>
      <c r="Y43" s="3"/>
    </row>
    <row r="44" spans="1:36" x14ac:dyDescent="0.35">
      <c r="A44" s="4" t="s">
        <v>594</v>
      </c>
      <c r="B44" s="24" t="s">
        <v>595</v>
      </c>
      <c r="C44" s="67">
        <v>44229</v>
      </c>
      <c r="D44" s="71">
        <f>60000*1.19</f>
        <v>71400</v>
      </c>
      <c r="E44" s="153" t="s">
        <v>139</v>
      </c>
      <c r="F44" s="3"/>
      <c r="G44" s="3"/>
      <c r="H44" s="3"/>
      <c r="I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W44" s="3"/>
      <c r="Y44" s="3"/>
    </row>
    <row r="45" spans="1:36" x14ac:dyDescent="0.35">
      <c r="A45" s="4" t="s">
        <v>603</v>
      </c>
      <c r="B45" s="24" t="s">
        <v>245</v>
      </c>
      <c r="C45" s="67">
        <v>44235</v>
      </c>
      <c r="D45" s="3">
        <v>2216970</v>
      </c>
      <c r="E45" s="153" t="s">
        <v>13</v>
      </c>
      <c r="F45" s="3"/>
      <c r="H45" s="3">
        <v>400000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J45" s="3" t="s">
        <v>13</v>
      </c>
    </row>
    <row r="46" spans="1:36" x14ac:dyDescent="0.35">
      <c r="A46" s="4" t="s">
        <v>608</v>
      </c>
      <c r="B46" s="24"/>
      <c r="C46" s="67">
        <v>44238</v>
      </c>
      <c r="D46" s="3">
        <f>+(19.3+31.7+15.2)*790/9+2432+363+934</f>
        <v>9539.8888888888887</v>
      </c>
      <c r="E46" s="153"/>
      <c r="F46" s="3"/>
      <c r="G46" s="3"/>
      <c r="H46" s="3"/>
      <c r="I46" s="3">
        <f>+(19.3+31.7+15.2)*790/9+2432+363+934</f>
        <v>9539.8888888888887</v>
      </c>
      <c r="J46" s="3"/>
      <c r="K46" s="3"/>
      <c r="L46" s="3"/>
      <c r="M46" s="3"/>
      <c r="N46" s="3"/>
      <c r="O46" s="3"/>
      <c r="P46" s="3"/>
      <c r="Q46" s="3" t="s">
        <v>13</v>
      </c>
      <c r="R46" s="3"/>
      <c r="S46" s="3"/>
      <c r="T46" s="3"/>
      <c r="U46" s="3"/>
      <c r="V46" s="3"/>
      <c r="W46" s="3"/>
      <c r="Y46" s="3"/>
    </row>
    <row r="47" spans="1:36" x14ac:dyDescent="0.35">
      <c r="A47" s="4" t="s">
        <v>506</v>
      </c>
      <c r="B47" s="24"/>
      <c r="C47" s="67">
        <v>44242</v>
      </c>
      <c r="D47" s="3">
        <f>+(25.6*2)*800/9</f>
        <v>4551.1111111111113</v>
      </c>
      <c r="E47" s="153"/>
      <c r="F47" s="3"/>
      <c r="G47" s="3"/>
      <c r="H47" s="3"/>
      <c r="I47" s="3">
        <f>+(25.6*2)*800/9</f>
        <v>4551.1111111111113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</row>
    <row r="48" spans="1:36" x14ac:dyDescent="0.35">
      <c r="A48" s="4" t="s">
        <v>542</v>
      </c>
      <c r="B48" s="24" t="s">
        <v>628</v>
      </c>
      <c r="C48" s="67">
        <v>44242</v>
      </c>
      <c r="D48" s="3">
        <v>77900</v>
      </c>
      <c r="E48" s="153"/>
      <c r="F48" s="3"/>
      <c r="G48" s="3">
        <v>77900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</row>
    <row r="49" spans="1:36" x14ac:dyDescent="0.35">
      <c r="A49" s="4" t="s">
        <v>617</v>
      </c>
      <c r="B49" s="24"/>
      <c r="C49" s="67">
        <v>44243</v>
      </c>
      <c r="D49" s="3">
        <f>+(14.4*2)*800/9+674+935</f>
        <v>4169</v>
      </c>
      <c r="E49" s="153"/>
      <c r="F49" s="3"/>
      <c r="G49" s="3"/>
      <c r="H49" s="3"/>
      <c r="I49" s="3">
        <f>+(14.4*2)*800/9+674+935</f>
        <v>4169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</row>
    <row r="50" spans="1:36" x14ac:dyDescent="0.35">
      <c r="A50" s="4" t="s">
        <v>622</v>
      </c>
      <c r="B50" s="24"/>
      <c r="C50" s="67">
        <v>44251</v>
      </c>
      <c r="D50" s="3">
        <f>+(14.4+28.6+25.7)*800/9+1977+2432+1220</f>
        <v>11735.666666666668</v>
      </c>
      <c r="E50" s="153"/>
      <c r="F50" s="3"/>
      <c r="G50" s="3"/>
      <c r="H50" s="3"/>
      <c r="I50" s="3">
        <f>+(14.4+28.6+25.7)*800/9+1977+2432+1220</f>
        <v>11735.666666666668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</row>
    <row r="51" spans="1:36" x14ac:dyDescent="0.35">
      <c r="A51" s="4" t="s">
        <v>623</v>
      </c>
      <c r="B51" s="24"/>
      <c r="C51" s="67">
        <v>44257</v>
      </c>
      <c r="D51" s="3">
        <f>+(14.4*2)*800/9+674+935</f>
        <v>4169</v>
      </c>
      <c r="E51" s="153"/>
      <c r="F51" s="3"/>
      <c r="G51" s="3"/>
      <c r="H51" s="3"/>
      <c r="I51" s="3">
        <f>+(14.4*2)*800/9+674+935</f>
        <v>4169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</row>
    <row r="52" spans="1:36" x14ac:dyDescent="0.35">
      <c r="A52" s="4" t="s">
        <v>542</v>
      </c>
      <c r="B52" s="24" t="s">
        <v>642</v>
      </c>
      <c r="C52" s="67">
        <v>44257</v>
      </c>
      <c r="D52" s="3">
        <v>110694</v>
      </c>
      <c r="E52" s="15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110694</v>
      </c>
      <c r="U52" s="3"/>
      <c r="V52" s="3"/>
      <c r="W52" s="3"/>
      <c r="Y52" s="3"/>
      <c r="AH52" s="3"/>
      <c r="AJ52" t="s">
        <v>13</v>
      </c>
    </row>
    <row r="53" spans="1:36" x14ac:dyDescent="0.35">
      <c r="A53" s="4" t="s">
        <v>632</v>
      </c>
      <c r="B53" s="24"/>
      <c r="C53" s="67">
        <v>44259</v>
      </c>
      <c r="D53" s="3">
        <f>+(15.2+5.6+15.4)*790/9+1304</f>
        <v>4481.5555555555547</v>
      </c>
      <c r="E53" s="153"/>
      <c r="F53" s="3"/>
      <c r="G53" s="3"/>
      <c r="H53" s="3"/>
      <c r="I53" s="3">
        <f>+(15.2+5.6+15.4)*790/9+1304</f>
        <v>4481.5555555555547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</row>
    <row r="54" spans="1:36" x14ac:dyDescent="0.35">
      <c r="A54" s="4" t="s">
        <v>631</v>
      </c>
      <c r="B54" s="24" t="s">
        <v>630</v>
      </c>
      <c r="C54" s="67">
        <v>44259</v>
      </c>
      <c r="D54" s="7">
        <v>38080</v>
      </c>
      <c r="E54" s="153" t="s">
        <v>13</v>
      </c>
      <c r="F54" s="3"/>
      <c r="G54" s="3"/>
      <c r="H54" s="3"/>
      <c r="I54" s="3"/>
      <c r="J54" s="3"/>
      <c r="K54" s="3"/>
      <c r="L54" s="3"/>
      <c r="M54" s="7">
        <v>38080</v>
      </c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</row>
    <row r="55" spans="1:36" x14ac:dyDescent="0.35">
      <c r="A55" s="4" t="s">
        <v>633</v>
      </c>
      <c r="B55" s="24" t="s">
        <v>634</v>
      </c>
      <c r="C55" s="67">
        <v>44259</v>
      </c>
      <c r="D55" s="71">
        <v>475030</v>
      </c>
      <c r="E55" s="153" t="s">
        <v>139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</row>
    <row r="56" spans="1:36" x14ac:dyDescent="0.35">
      <c r="A56" s="4" t="s">
        <v>635</v>
      </c>
      <c r="B56" s="24" t="s">
        <v>636</v>
      </c>
      <c r="C56" s="67">
        <v>44259</v>
      </c>
      <c r="D56" s="71">
        <f>60000*1.19</f>
        <v>71400</v>
      </c>
      <c r="E56" s="153" t="s">
        <v>139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</row>
    <row r="57" spans="1:36" x14ac:dyDescent="0.35">
      <c r="A57" s="4" t="s">
        <v>639</v>
      </c>
      <c r="B57" s="24"/>
      <c r="C57" s="67">
        <v>44264</v>
      </c>
      <c r="D57" s="3">
        <f>+(19.3+31.7+15.2)*790/9+2432+363+934</f>
        <v>9539.8888888888887</v>
      </c>
      <c r="E57" s="15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H57" s="3">
        <f>+(19.3+31.7+15.2)*790/9+2432+363+934</f>
        <v>9539.8888888888887</v>
      </c>
    </row>
    <row r="58" spans="1:36" x14ac:dyDescent="0.35">
      <c r="A58" s="4" t="s">
        <v>640</v>
      </c>
      <c r="B58" s="24" t="s">
        <v>13</v>
      </c>
      <c r="C58" s="67">
        <v>44279</v>
      </c>
      <c r="D58" s="3">
        <f>+(14.4*2)*800/9+674+935</f>
        <v>4169</v>
      </c>
      <c r="E58" s="15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H58" s="3">
        <f>+(14.4*2)*800/9+674+935</f>
        <v>4169</v>
      </c>
    </row>
    <row r="59" spans="1:36" x14ac:dyDescent="0.35">
      <c r="A59" s="4" t="s">
        <v>641</v>
      </c>
      <c r="B59" s="24"/>
      <c r="C59" s="67">
        <v>44281</v>
      </c>
      <c r="D59" s="3">
        <v>100000</v>
      </c>
      <c r="E59" s="15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E59">
        <v>100000</v>
      </c>
      <c r="AH59" s="3"/>
    </row>
    <row r="60" spans="1:36" x14ac:dyDescent="0.35">
      <c r="A60" s="4" t="s">
        <v>638</v>
      </c>
      <c r="B60" s="24"/>
      <c r="C60" s="67"/>
      <c r="D60" s="3">
        <v>46172</v>
      </c>
      <c r="E60" s="153"/>
      <c r="F60" s="3"/>
      <c r="G60" s="3"/>
      <c r="H60" s="3"/>
      <c r="I60" s="3"/>
      <c r="J60" s="3"/>
      <c r="K60" s="3"/>
      <c r="L60" s="3"/>
      <c r="M60" s="3"/>
      <c r="N60" s="3"/>
      <c r="O60" s="3">
        <v>46172</v>
      </c>
      <c r="P60" s="3"/>
      <c r="Q60" s="3"/>
      <c r="R60" s="3"/>
      <c r="S60" s="3"/>
      <c r="T60" s="3"/>
      <c r="U60" s="3"/>
      <c r="V60" s="3"/>
      <c r="W60" s="3"/>
      <c r="Y60" s="3"/>
    </row>
    <row r="61" spans="1:36" x14ac:dyDescent="0.35">
      <c r="A61" s="4"/>
      <c r="B61" s="24" t="s">
        <v>13</v>
      </c>
      <c r="C61" s="67"/>
      <c r="D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</row>
    <row r="62" spans="1:36" x14ac:dyDescent="0.35">
      <c r="A62" s="4"/>
      <c r="B62" s="24"/>
      <c r="C62" s="177" t="s">
        <v>637</v>
      </c>
      <c r="D62" s="106">
        <f>+SUMIF(E40:E55,"x",D40:D55)</f>
        <v>646818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</row>
    <row r="63" spans="1:36" x14ac:dyDescent="0.35">
      <c r="A63" s="4"/>
      <c r="B63" s="24"/>
      <c r="C63" s="67"/>
      <c r="D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</row>
    <row r="64" spans="1:36" x14ac:dyDescent="0.35">
      <c r="A64" s="4"/>
      <c r="B64" s="24"/>
      <c r="C64" s="67"/>
      <c r="D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</row>
    <row r="65" spans="1:37" x14ac:dyDescent="0.35">
      <c r="A65" s="2" t="s">
        <v>9</v>
      </c>
      <c r="F65" s="3">
        <f t="shared" ref="F65:AJ65" si="3">SUM(F30:F64)</f>
        <v>0</v>
      </c>
      <c r="G65" s="3">
        <f t="shared" si="3"/>
        <v>77900</v>
      </c>
      <c r="H65" s="3">
        <f t="shared" si="3"/>
        <v>400000</v>
      </c>
      <c r="I65" s="3">
        <f t="shared" si="3"/>
        <v>38646.222222222226</v>
      </c>
      <c r="J65" s="3">
        <f t="shared" si="3"/>
        <v>0</v>
      </c>
      <c r="K65" s="3">
        <f t="shared" si="3"/>
        <v>0</v>
      </c>
      <c r="L65" s="3">
        <f t="shared" si="3"/>
        <v>0</v>
      </c>
      <c r="M65" s="3">
        <f t="shared" si="3"/>
        <v>38080</v>
      </c>
      <c r="N65" s="3">
        <f t="shared" si="3"/>
        <v>0</v>
      </c>
      <c r="O65" s="3">
        <f t="shared" si="3"/>
        <v>46172</v>
      </c>
      <c r="P65" s="3">
        <f t="shared" si="3"/>
        <v>0</v>
      </c>
      <c r="Q65" s="3">
        <f t="shared" si="3"/>
        <v>133233.93000000002</v>
      </c>
      <c r="R65" s="3">
        <f t="shared" si="3"/>
        <v>0</v>
      </c>
      <c r="S65" s="3">
        <f t="shared" si="3"/>
        <v>0</v>
      </c>
      <c r="T65" s="3">
        <f t="shared" si="3"/>
        <v>110694</v>
      </c>
      <c r="U65" s="3">
        <f t="shared" si="3"/>
        <v>0</v>
      </c>
      <c r="V65" s="3">
        <f t="shared" si="3"/>
        <v>0</v>
      </c>
      <c r="W65" s="3">
        <f t="shared" si="3"/>
        <v>0</v>
      </c>
      <c r="X65" s="3">
        <f t="shared" si="3"/>
        <v>0</v>
      </c>
      <c r="Y65" s="3">
        <f t="shared" si="3"/>
        <v>0</v>
      </c>
      <c r="Z65" s="3">
        <f t="shared" si="3"/>
        <v>0</v>
      </c>
      <c r="AA65" s="3">
        <f t="shared" si="3"/>
        <v>0</v>
      </c>
      <c r="AB65" s="3">
        <f t="shared" si="3"/>
        <v>0</v>
      </c>
      <c r="AC65" s="3">
        <f t="shared" si="3"/>
        <v>0</v>
      </c>
      <c r="AD65" s="3">
        <f t="shared" si="3"/>
        <v>0</v>
      </c>
      <c r="AE65" s="3">
        <f t="shared" si="3"/>
        <v>100000</v>
      </c>
      <c r="AF65" s="3">
        <f t="shared" si="3"/>
        <v>0</v>
      </c>
      <c r="AG65" s="3">
        <f t="shared" si="3"/>
        <v>0</v>
      </c>
      <c r="AH65" s="3">
        <f t="shared" si="3"/>
        <v>13708.888888888889</v>
      </c>
      <c r="AI65" s="3">
        <f t="shared" si="3"/>
        <v>0</v>
      </c>
      <c r="AJ65" s="3">
        <f t="shared" si="3"/>
        <v>0</v>
      </c>
      <c r="AK65" s="3" t="s">
        <v>13</v>
      </c>
    </row>
    <row r="66" spans="1:37" x14ac:dyDescent="0.35">
      <c r="A66" t="s">
        <v>8</v>
      </c>
      <c r="F66" s="3">
        <f>+F27+F3-F65</f>
        <v>520473.82811391214</v>
      </c>
      <c r="G66" s="3">
        <f t="shared" ref="G66:AJ66" si="4">+G3+G27-G65</f>
        <v>442573.82811391214</v>
      </c>
      <c r="H66" s="3">
        <f t="shared" si="4"/>
        <v>184171.82811391214</v>
      </c>
      <c r="I66" s="3">
        <f t="shared" si="4"/>
        <v>145525.60589168992</v>
      </c>
      <c r="J66" s="3">
        <f t="shared" si="4"/>
        <v>145525.60589168992</v>
      </c>
      <c r="K66" s="3">
        <f t="shared" si="4"/>
        <v>145525.60589168992</v>
      </c>
      <c r="L66" s="3">
        <f t="shared" si="4"/>
        <v>145525.60589168992</v>
      </c>
      <c r="M66" s="3">
        <f t="shared" si="4"/>
        <v>107445.60589168992</v>
      </c>
      <c r="N66" s="3">
        <f t="shared" si="4"/>
        <v>107445.60589168992</v>
      </c>
      <c r="O66" s="3">
        <f t="shared" si="4"/>
        <v>471050.27255835652</v>
      </c>
      <c r="P66" s="3">
        <f t="shared" si="4"/>
        <v>471050.27255835652</v>
      </c>
      <c r="Q66" s="3">
        <f t="shared" si="4"/>
        <v>337816.34255835647</v>
      </c>
      <c r="R66" s="3">
        <f t="shared" si="4"/>
        <v>337816.34255835647</v>
      </c>
      <c r="S66" s="3">
        <f t="shared" si="4"/>
        <v>337816.34255835647</v>
      </c>
      <c r="T66" s="3">
        <f t="shared" si="4"/>
        <v>227122.34255835647</v>
      </c>
      <c r="U66" s="3">
        <f t="shared" si="4"/>
        <v>227122.34255835647</v>
      </c>
      <c r="V66" s="3">
        <f t="shared" si="4"/>
        <v>227122.34255835647</v>
      </c>
      <c r="W66" s="3">
        <f t="shared" si="4"/>
        <v>227122.34255835647</v>
      </c>
      <c r="X66" s="3">
        <f t="shared" si="4"/>
        <v>227122.34255835647</v>
      </c>
      <c r="Y66" s="3">
        <f t="shared" si="4"/>
        <v>227122.34255835647</v>
      </c>
      <c r="Z66" s="3">
        <f t="shared" si="4"/>
        <v>227122.34255835647</v>
      </c>
      <c r="AA66" s="3">
        <f t="shared" si="4"/>
        <v>227122.34255835647</v>
      </c>
      <c r="AB66" s="3">
        <f t="shared" si="4"/>
        <v>227122.34255835647</v>
      </c>
      <c r="AC66" s="3">
        <f t="shared" si="4"/>
        <v>227122.34255835647</v>
      </c>
      <c r="AD66" s="3">
        <f t="shared" si="4"/>
        <v>227122.34255835647</v>
      </c>
      <c r="AE66" s="3">
        <f t="shared" si="4"/>
        <v>127122.34255835647</v>
      </c>
      <c r="AF66" s="3">
        <f t="shared" si="4"/>
        <v>127122.34255835647</v>
      </c>
      <c r="AG66" s="3">
        <f t="shared" si="4"/>
        <v>127122.34255835647</v>
      </c>
      <c r="AH66" s="3">
        <f t="shared" si="4"/>
        <v>113413.45366946758</v>
      </c>
      <c r="AI66" s="3">
        <f t="shared" si="4"/>
        <v>113413.45366946758</v>
      </c>
      <c r="AJ66" s="3">
        <f t="shared" si="4"/>
        <v>113413.45366946758</v>
      </c>
      <c r="AK66" s="3" t="s">
        <v>13</v>
      </c>
    </row>
    <row r="67" spans="1:37" x14ac:dyDescent="0.35">
      <c r="F67" s="3"/>
      <c r="G67" s="3"/>
      <c r="H67" s="3"/>
      <c r="I67" s="3" t="s">
        <v>13</v>
      </c>
      <c r="J67" s="3"/>
      <c r="K67" s="3"/>
      <c r="L67" s="3"/>
      <c r="M67" s="3"/>
      <c r="N67" s="3"/>
      <c r="O67" s="3"/>
      <c r="P67" s="3" t="s">
        <v>13</v>
      </c>
      <c r="Q67" s="3"/>
      <c r="R67" s="3"/>
      <c r="S67" s="3"/>
      <c r="T67" s="3" t="s">
        <v>13</v>
      </c>
      <c r="U67" s="3"/>
      <c r="V67" s="3"/>
      <c r="W67" s="3"/>
      <c r="Y67" s="3" t="s">
        <v>13</v>
      </c>
      <c r="AA67" s="3" t="s">
        <v>13</v>
      </c>
      <c r="AB67" s="3" t="s">
        <v>13</v>
      </c>
    </row>
    <row r="68" spans="1:37" x14ac:dyDescent="0.35">
      <c r="F68" s="3"/>
      <c r="G68" s="3"/>
      <c r="H68" s="3"/>
      <c r="I68" s="3"/>
      <c r="J68" s="3"/>
      <c r="K68" s="3"/>
      <c r="L68" s="3"/>
      <c r="M68" s="3"/>
      <c r="N68" s="3"/>
      <c r="O68" s="3"/>
      <c r="P68" s="3" t="s">
        <v>13</v>
      </c>
      <c r="Q68" s="3" t="s">
        <v>13</v>
      </c>
      <c r="R68" s="3"/>
      <c r="S68" s="3"/>
      <c r="T68" s="3"/>
      <c r="U68" s="3" t="s">
        <v>13</v>
      </c>
      <c r="V68" s="3"/>
      <c r="W68" s="3"/>
      <c r="AB68" s="3" t="s">
        <v>13</v>
      </c>
    </row>
    <row r="69" spans="1:37" x14ac:dyDescent="0.35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 t="s">
        <v>13</v>
      </c>
      <c r="U69" s="3"/>
      <c r="V69" s="3"/>
      <c r="W69" s="3"/>
      <c r="AB69" s="3" t="s">
        <v>13</v>
      </c>
    </row>
    <row r="70" spans="1:37" x14ac:dyDescent="0.35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 t="s">
        <v>13</v>
      </c>
      <c r="AB70" s="3" t="s">
        <v>13</v>
      </c>
    </row>
    <row r="71" spans="1:37" x14ac:dyDescent="0.35"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AB71" s="3" t="s">
        <v>13</v>
      </c>
    </row>
    <row r="72" spans="1:37" x14ac:dyDescent="0.35"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AB72" s="3" t="s">
        <v>13</v>
      </c>
    </row>
    <row r="73" spans="1:37" x14ac:dyDescent="0.35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AB73" s="3" t="s">
        <v>13</v>
      </c>
    </row>
    <row r="74" spans="1:37" x14ac:dyDescent="0.35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AB74" s="3" t="s">
        <v>98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K70"/>
  <sheetViews>
    <sheetView workbookViewId="0"/>
  </sheetViews>
  <sheetFormatPr baseColWidth="10" defaultColWidth="11.08984375" defaultRowHeight="14.5" x14ac:dyDescent="0.35"/>
  <cols>
    <col min="1" max="1" width="42.7265625" customWidth="1"/>
    <col min="2" max="2" width="21.26953125" customWidth="1"/>
    <col min="3" max="4" width="13.26953125" customWidth="1"/>
    <col min="5" max="5" width="9.542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</cols>
  <sheetData>
    <row r="2" spans="1:37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44287</v>
      </c>
      <c r="G2" s="1">
        <v>44288</v>
      </c>
      <c r="H2" s="1">
        <v>44289</v>
      </c>
      <c r="I2" s="1">
        <v>44290</v>
      </c>
      <c r="J2" s="1">
        <v>44291</v>
      </c>
      <c r="K2" s="1">
        <v>44292</v>
      </c>
      <c r="L2" s="1">
        <v>44293</v>
      </c>
      <c r="M2" s="1">
        <v>44294</v>
      </c>
      <c r="N2" s="1">
        <v>44295</v>
      </c>
      <c r="O2" s="1">
        <v>44296</v>
      </c>
      <c r="P2" s="1">
        <v>44297</v>
      </c>
      <c r="Q2" s="1">
        <v>44298</v>
      </c>
      <c r="R2" s="1">
        <v>44299</v>
      </c>
      <c r="S2" s="1">
        <v>44300</v>
      </c>
      <c r="T2" s="1">
        <v>44301</v>
      </c>
      <c r="U2" s="1">
        <v>44302</v>
      </c>
      <c r="V2" s="1">
        <v>44303</v>
      </c>
      <c r="W2" s="1">
        <v>44304</v>
      </c>
      <c r="X2" s="1">
        <v>44305</v>
      </c>
      <c r="Y2" s="1">
        <v>44306</v>
      </c>
      <c r="Z2" s="1">
        <v>44307</v>
      </c>
      <c r="AA2" s="1">
        <v>44308</v>
      </c>
      <c r="AB2" s="1">
        <v>44309</v>
      </c>
      <c r="AC2" s="1">
        <v>44310</v>
      </c>
      <c r="AD2" s="1">
        <v>44311</v>
      </c>
      <c r="AE2" s="1">
        <v>44312</v>
      </c>
      <c r="AF2" s="1">
        <v>44313</v>
      </c>
      <c r="AG2" s="1">
        <v>44314</v>
      </c>
      <c r="AH2" s="1">
        <v>44315</v>
      </c>
      <c r="AI2" s="1">
        <v>44316</v>
      </c>
      <c r="AJ2" s="176" t="s">
        <v>579</v>
      </c>
      <c r="AK2" s="176" t="s">
        <v>13</v>
      </c>
    </row>
    <row r="3" spans="1:37" x14ac:dyDescent="0.35">
      <c r="A3" t="s">
        <v>7</v>
      </c>
      <c r="F3" s="3">
        <f>+'MAR-21'!AJ66</f>
        <v>113413.45366946758</v>
      </c>
      <c r="G3" s="3">
        <f t="shared" ref="G3:AG3" si="0">+F55</f>
        <v>113413.45366946758</v>
      </c>
      <c r="H3" s="3">
        <f t="shared" si="0"/>
        <v>113413.45366946758</v>
      </c>
      <c r="I3" s="3">
        <f t="shared" si="0"/>
        <v>113413.45366946758</v>
      </c>
      <c r="J3" s="3">
        <f t="shared" si="0"/>
        <v>113413.45366946758</v>
      </c>
      <c r="K3" s="3">
        <f t="shared" si="0"/>
        <v>13025.453669467577</v>
      </c>
      <c r="L3" s="3">
        <f t="shared" si="0"/>
        <v>13025.453669467577</v>
      </c>
      <c r="M3" s="3">
        <f t="shared" si="0"/>
        <v>13025.453669467577</v>
      </c>
      <c r="N3" s="3">
        <f t="shared" si="0"/>
        <v>13025.453669467577</v>
      </c>
      <c r="O3" s="3">
        <f t="shared" si="0"/>
        <v>13025.453669467577</v>
      </c>
      <c r="P3" s="3">
        <f t="shared" si="0"/>
        <v>13025.453669467577</v>
      </c>
      <c r="Q3" s="3">
        <f t="shared" si="0"/>
        <v>13025.453669467577</v>
      </c>
      <c r="R3" s="3">
        <f t="shared" si="0"/>
        <v>13025.453669467577</v>
      </c>
      <c r="S3" s="3">
        <f t="shared" si="0"/>
        <v>13025.453669467577</v>
      </c>
      <c r="T3" s="3">
        <f t="shared" si="0"/>
        <v>13025.453669467577</v>
      </c>
      <c r="U3" s="3">
        <f t="shared" si="0"/>
        <v>13025.453669467577</v>
      </c>
      <c r="V3" s="3">
        <f t="shared" si="0"/>
        <v>13025.453669467577</v>
      </c>
      <c r="W3" s="3">
        <f t="shared" si="0"/>
        <v>13025.453669467577</v>
      </c>
      <c r="X3" s="3">
        <f t="shared" si="0"/>
        <v>13025.453669467577</v>
      </c>
      <c r="Y3" s="3">
        <f t="shared" si="0"/>
        <v>13025.453669467577</v>
      </c>
      <c r="Z3" s="3">
        <f t="shared" si="0"/>
        <v>295485.45366946759</v>
      </c>
      <c r="AA3" s="3">
        <f t="shared" si="0"/>
        <v>274129.45366946759</v>
      </c>
      <c r="AB3" s="3">
        <f t="shared" si="0"/>
        <v>274129.45366946759</v>
      </c>
      <c r="AC3" s="3">
        <f t="shared" si="0"/>
        <v>274129.45366946759</v>
      </c>
      <c r="AD3" s="3">
        <f t="shared" si="0"/>
        <v>274129.45366946759</v>
      </c>
      <c r="AE3" s="3">
        <f t="shared" si="0"/>
        <v>274129.45366946759</v>
      </c>
      <c r="AF3" s="3">
        <f t="shared" si="0"/>
        <v>274129.45366946759</v>
      </c>
      <c r="AG3" s="3">
        <f t="shared" si="0"/>
        <v>274129.45366946759</v>
      </c>
      <c r="AH3" s="3">
        <f>+AG55</f>
        <v>274129.45366946759</v>
      </c>
      <c r="AI3" s="3">
        <f>+AH55</f>
        <v>274129.45366946759</v>
      </c>
      <c r="AJ3" s="3" t="s">
        <v>13</v>
      </c>
      <c r="AK3" t="s">
        <v>13</v>
      </c>
    </row>
    <row r="4" spans="1:37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K4" t="s">
        <v>13</v>
      </c>
    </row>
    <row r="5" spans="1:37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I5" s="3">
        <v>0</v>
      </c>
      <c r="AJ5" s="3">
        <f t="shared" ref="AJ5:AJ11" si="1">SUM(E5:AI5)</f>
        <v>0</v>
      </c>
      <c r="AK5" s="3" t="s">
        <v>13</v>
      </c>
    </row>
    <row r="6" spans="1:37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I6" s="3">
        <v>0</v>
      </c>
      <c r="AJ6" s="3">
        <f t="shared" si="1"/>
        <v>0</v>
      </c>
      <c r="AK6" s="3" t="s">
        <v>13</v>
      </c>
    </row>
    <row r="7" spans="1:37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I7" s="3">
        <v>0</v>
      </c>
      <c r="AJ7" s="3">
        <f t="shared" si="1"/>
        <v>0</v>
      </c>
      <c r="AK7" s="3" t="s">
        <v>13</v>
      </c>
    </row>
    <row r="8" spans="1:37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I8" s="3">
        <v>0</v>
      </c>
      <c r="AJ8" s="3">
        <f t="shared" si="1"/>
        <v>0</v>
      </c>
      <c r="AK8" s="3" t="s">
        <v>13</v>
      </c>
    </row>
    <row r="9" spans="1:37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I9" s="3">
        <v>0</v>
      </c>
      <c r="AJ9" s="3">
        <f t="shared" si="1"/>
        <v>0</v>
      </c>
      <c r="AK9" s="3" t="s">
        <v>13</v>
      </c>
    </row>
    <row r="10" spans="1:37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I10" s="3">
        <v>0</v>
      </c>
      <c r="AJ10" s="3">
        <f t="shared" si="1"/>
        <v>0</v>
      </c>
      <c r="AK10" s="3" t="s">
        <v>13</v>
      </c>
    </row>
    <row r="11" spans="1:37" x14ac:dyDescent="0.35">
      <c r="A11" t="s">
        <v>345</v>
      </c>
      <c r="B11" t="s">
        <v>344</v>
      </c>
      <c r="C11" s="5" t="s">
        <v>13</v>
      </c>
      <c r="D11" s="3">
        <f>4500*60</f>
        <v>270000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I11" s="3">
        <v>0</v>
      </c>
      <c r="AJ11" s="3">
        <f t="shared" si="1"/>
        <v>0</v>
      </c>
      <c r="AK11" s="3" t="s">
        <v>13</v>
      </c>
    </row>
    <row r="12" spans="1:37" x14ac:dyDescent="0.35">
      <c r="C12" s="5"/>
      <c r="D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AJ12" s="3"/>
      <c r="AK12" s="3" t="s">
        <v>13</v>
      </c>
    </row>
    <row r="13" spans="1:37" x14ac:dyDescent="0.35">
      <c r="C13" s="5"/>
      <c r="D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J13" s="3"/>
      <c r="AK13" s="3" t="s">
        <v>13</v>
      </c>
    </row>
    <row r="14" spans="1:37" x14ac:dyDescent="0.35">
      <c r="C14" s="5"/>
      <c r="D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J14" s="3"/>
      <c r="AK14" s="3" t="s">
        <v>13</v>
      </c>
    </row>
    <row r="15" spans="1:37" x14ac:dyDescent="0.35">
      <c r="C15" s="5"/>
      <c r="D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J15" s="3"/>
      <c r="AK15" s="3" t="s">
        <v>13</v>
      </c>
    </row>
    <row r="16" spans="1:37" x14ac:dyDescent="0.35">
      <c r="C16" s="5"/>
      <c r="D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AJ16" s="3"/>
      <c r="AK16" s="3"/>
    </row>
    <row r="17" spans="1:37" x14ac:dyDescent="0.35">
      <c r="C17" s="5"/>
      <c r="D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J17" s="3"/>
      <c r="AK17" s="3" t="s">
        <v>13</v>
      </c>
    </row>
    <row r="18" spans="1:37" x14ac:dyDescent="0.35">
      <c r="A18" s="173"/>
      <c r="B18" s="173"/>
      <c r="C18" s="5"/>
      <c r="D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J18" s="72">
        <f>SUM(AJ5:AJ11)</f>
        <v>0</v>
      </c>
      <c r="AK18" s="72" t="s">
        <v>13</v>
      </c>
    </row>
    <row r="19" spans="1:37" x14ac:dyDescent="0.35">
      <c r="A19" s="173"/>
      <c r="C19" s="5"/>
      <c r="D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B19" t="s">
        <v>13</v>
      </c>
    </row>
    <row r="20" spans="1:37" x14ac:dyDescent="0.35">
      <c r="A20" t="s">
        <v>385</v>
      </c>
      <c r="C20" s="5">
        <v>43980</v>
      </c>
      <c r="D20" s="3">
        <v>10465</v>
      </c>
      <c r="F20" s="3"/>
      <c r="G20" s="3"/>
      <c r="H20" s="3"/>
      <c r="I20" s="3"/>
      <c r="J20" s="3"/>
      <c r="K20" s="3"/>
      <c r="M20" s="3"/>
      <c r="N20" s="3"/>
      <c r="O20" s="3"/>
      <c r="Q20" s="3"/>
      <c r="R20" s="3"/>
      <c r="S20" s="3"/>
      <c r="T20" s="3"/>
      <c r="U20" s="3"/>
      <c r="W20" s="3"/>
      <c r="AG20" s="3" t="s">
        <v>13</v>
      </c>
    </row>
    <row r="21" spans="1:37" x14ac:dyDescent="0.35">
      <c r="A21" t="s">
        <v>60</v>
      </c>
      <c r="D21" s="3">
        <v>300000</v>
      </c>
      <c r="F21" s="3" t="s">
        <v>13</v>
      </c>
      <c r="G21" s="3" t="s">
        <v>13</v>
      </c>
      <c r="H21" s="3"/>
      <c r="I21" s="3"/>
      <c r="J21" s="3"/>
      <c r="K21" s="3" t="s">
        <v>13</v>
      </c>
      <c r="M21" s="3"/>
      <c r="N21" s="3"/>
      <c r="O21" s="3" t="s">
        <v>13</v>
      </c>
      <c r="P21" s="3"/>
      <c r="Q21" s="3"/>
      <c r="R21" s="3" t="s">
        <v>13</v>
      </c>
      <c r="S21" s="3"/>
      <c r="T21" s="3"/>
      <c r="U21" s="3"/>
      <c r="V21" s="3"/>
      <c r="W21" s="3"/>
      <c r="Y21">
        <v>300000</v>
      </c>
    </row>
    <row r="22" spans="1:37" x14ac:dyDescent="0.35">
      <c r="A22" t="s">
        <v>1</v>
      </c>
      <c r="F22" s="3"/>
      <c r="G22" s="3" t="s">
        <v>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7" x14ac:dyDescent="0.35">
      <c r="A23" t="s">
        <v>478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 t="s">
        <v>13</v>
      </c>
      <c r="S23" s="3"/>
      <c r="T23" s="3"/>
      <c r="U23" s="3"/>
      <c r="V23" s="3"/>
      <c r="W23" s="3"/>
    </row>
    <row r="24" spans="1:37" x14ac:dyDescent="0.35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7" x14ac:dyDescent="0.35"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7" x14ac:dyDescent="0.35">
      <c r="A26" s="2" t="s">
        <v>6</v>
      </c>
      <c r="F26" s="3">
        <f t="shared" ref="F26:AJ26" si="2">SUM(F5:F25)</f>
        <v>0</v>
      </c>
      <c r="G26" s="3">
        <f t="shared" si="2"/>
        <v>0</v>
      </c>
      <c r="H26" s="3">
        <f t="shared" si="2"/>
        <v>0</v>
      </c>
      <c r="I26" s="3">
        <f t="shared" si="2"/>
        <v>0</v>
      </c>
      <c r="J26" s="3">
        <f t="shared" si="2"/>
        <v>0</v>
      </c>
      <c r="K26" s="3">
        <f t="shared" si="2"/>
        <v>0</v>
      </c>
      <c r="L26" s="3">
        <f t="shared" si="2"/>
        <v>0</v>
      </c>
      <c r="M26" s="3">
        <f t="shared" si="2"/>
        <v>0</v>
      </c>
      <c r="N26" s="3">
        <f t="shared" si="2"/>
        <v>0</v>
      </c>
      <c r="O26" s="3">
        <f t="shared" si="2"/>
        <v>0</v>
      </c>
      <c r="P26" s="3">
        <f t="shared" si="2"/>
        <v>0</v>
      </c>
      <c r="Q26" s="3">
        <f t="shared" si="2"/>
        <v>0</v>
      </c>
      <c r="R26" s="3">
        <f t="shared" si="2"/>
        <v>0</v>
      </c>
      <c r="S26" s="3">
        <f t="shared" si="2"/>
        <v>0</v>
      </c>
      <c r="T26" s="3">
        <f t="shared" si="2"/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3">
        <f t="shared" si="2"/>
        <v>0</v>
      </c>
      <c r="Y26" s="3">
        <f t="shared" si="2"/>
        <v>300000</v>
      </c>
      <c r="Z26" s="3">
        <f t="shared" si="2"/>
        <v>0</v>
      </c>
      <c r="AA26" s="3">
        <f t="shared" si="2"/>
        <v>0</v>
      </c>
      <c r="AB26" s="3">
        <f t="shared" si="2"/>
        <v>0</v>
      </c>
      <c r="AC26" s="3">
        <f t="shared" si="2"/>
        <v>0</v>
      </c>
      <c r="AD26" s="3">
        <f t="shared" si="2"/>
        <v>0</v>
      </c>
      <c r="AE26" s="3">
        <f t="shared" si="2"/>
        <v>0</v>
      </c>
      <c r="AF26" s="3">
        <f t="shared" si="2"/>
        <v>0</v>
      </c>
      <c r="AG26" s="3">
        <f t="shared" si="2"/>
        <v>0</v>
      </c>
      <c r="AH26" s="3">
        <f t="shared" si="2"/>
        <v>0</v>
      </c>
      <c r="AI26" s="3">
        <f t="shared" si="2"/>
        <v>0</v>
      </c>
      <c r="AJ26" s="3">
        <f t="shared" si="2"/>
        <v>0</v>
      </c>
    </row>
    <row r="27" spans="1:37" x14ac:dyDescent="0.35">
      <c r="A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7" x14ac:dyDescent="0.35">
      <c r="A28" s="2" t="s">
        <v>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7" x14ac:dyDescent="0.35">
      <c r="A29" s="4" t="s">
        <v>409</v>
      </c>
      <c r="B29" s="24" t="s">
        <v>337</v>
      </c>
      <c r="C29" s="67"/>
      <c r="D29" s="3">
        <f>500000/2</f>
        <v>250000</v>
      </c>
      <c r="F29" s="3"/>
      <c r="G29" s="3"/>
      <c r="H29" s="3"/>
      <c r="I29" s="3"/>
      <c r="K29" s="3"/>
      <c r="L29" s="3"/>
      <c r="M29" s="3"/>
      <c r="P29" s="3"/>
      <c r="Q29" s="3"/>
      <c r="R29" s="3"/>
      <c r="S29" s="3"/>
      <c r="T29" s="3"/>
      <c r="U29" s="3"/>
      <c r="V29" s="3"/>
      <c r="W29" s="3"/>
      <c r="AJ29" s="3">
        <v>0</v>
      </c>
    </row>
    <row r="30" spans="1:37" x14ac:dyDescent="0.35">
      <c r="A30" s="4" t="s">
        <v>410</v>
      </c>
      <c r="B30" s="24" t="s">
        <v>337</v>
      </c>
      <c r="C30" s="67"/>
      <c r="D30" s="3">
        <f>500000/2</f>
        <v>250000</v>
      </c>
      <c r="F30" s="3"/>
      <c r="G30" s="3"/>
      <c r="H30" s="3"/>
      <c r="I30" s="3"/>
      <c r="J30" t="s">
        <v>13</v>
      </c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  <c r="AJ30" s="3">
        <v>0</v>
      </c>
    </row>
    <row r="31" spans="1:37" x14ac:dyDescent="0.35">
      <c r="A31" s="4" t="s">
        <v>411</v>
      </c>
      <c r="B31" s="24" t="s">
        <v>337</v>
      </c>
      <c r="C31" s="67"/>
      <c r="D31" s="3">
        <f>500000/2</f>
        <v>250000</v>
      </c>
      <c r="F31" s="3"/>
      <c r="G31" s="3"/>
      <c r="H31" s="3"/>
      <c r="I31" s="3"/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  <c r="AJ31" s="3">
        <v>0</v>
      </c>
    </row>
    <row r="32" spans="1:37" x14ac:dyDescent="0.35">
      <c r="A32" s="4" t="s">
        <v>492</v>
      </c>
      <c r="B32" s="24" t="s">
        <v>337</v>
      </c>
      <c r="C32" s="67"/>
      <c r="D32" s="3">
        <v>250000</v>
      </c>
      <c r="F32" s="3"/>
      <c r="G32" s="3"/>
      <c r="H32" s="3"/>
      <c r="I32" s="3"/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  <c r="AJ32" s="3">
        <v>0</v>
      </c>
    </row>
    <row r="33" spans="1:36" x14ac:dyDescent="0.35">
      <c r="A33" s="4" t="s">
        <v>494</v>
      </c>
      <c r="B33" s="24" t="s">
        <v>337</v>
      </c>
      <c r="C33" s="67"/>
      <c r="D33" s="3">
        <v>500000</v>
      </c>
      <c r="F33" s="3"/>
      <c r="G33" s="3"/>
      <c r="H33" s="3"/>
      <c r="I33" s="3"/>
      <c r="K33" s="3"/>
      <c r="L33" s="3"/>
      <c r="M33" s="3"/>
      <c r="P33" s="3"/>
      <c r="Q33" s="3"/>
      <c r="R33" s="3"/>
      <c r="S33" s="3"/>
      <c r="T33" s="3"/>
      <c r="U33" s="3"/>
      <c r="V33" s="3"/>
      <c r="W33" s="3"/>
      <c r="AJ33" s="3">
        <v>0</v>
      </c>
    </row>
    <row r="34" spans="1:36" x14ac:dyDescent="0.35">
      <c r="A34" s="4" t="s">
        <v>495</v>
      </c>
      <c r="B34" s="24" t="s">
        <v>337</v>
      </c>
      <c r="C34" s="67"/>
      <c r="D34" s="3">
        <v>500000</v>
      </c>
      <c r="F34" s="3"/>
      <c r="G34" s="3"/>
      <c r="H34" s="3"/>
      <c r="I34" s="3"/>
      <c r="K34" s="3"/>
      <c r="L34" s="3"/>
      <c r="M34" s="104" t="s">
        <v>13</v>
      </c>
      <c r="P34" s="3"/>
      <c r="Q34" s="3"/>
      <c r="R34" s="3"/>
      <c r="S34" s="3"/>
      <c r="T34" s="3"/>
      <c r="U34" s="3"/>
      <c r="V34" s="3"/>
      <c r="W34" s="3"/>
      <c r="AJ34" s="3">
        <v>0</v>
      </c>
    </row>
    <row r="35" spans="1:36" x14ac:dyDescent="0.35">
      <c r="A35" s="4" t="s">
        <v>541</v>
      </c>
      <c r="B35" s="24" t="s">
        <v>337</v>
      </c>
      <c r="C35" s="67"/>
      <c r="D35" s="3">
        <v>500000</v>
      </c>
      <c r="F35" s="3"/>
      <c r="G35" s="3"/>
      <c r="H35" s="3"/>
      <c r="I35" s="3"/>
      <c r="K35" s="3"/>
      <c r="L35" s="3"/>
      <c r="M35" s="3"/>
      <c r="P35" s="3"/>
      <c r="Q35" s="3"/>
      <c r="R35" s="3"/>
      <c r="S35" s="3"/>
      <c r="T35" s="3"/>
      <c r="U35" s="3"/>
      <c r="V35" s="3"/>
      <c r="W35" s="3"/>
      <c r="AJ35" s="3">
        <v>0</v>
      </c>
    </row>
    <row r="36" spans="1:36" x14ac:dyDescent="0.35">
      <c r="A36" s="4" t="s">
        <v>576</v>
      </c>
      <c r="B36" s="24" t="s">
        <v>337</v>
      </c>
      <c r="C36" s="67"/>
      <c r="D36" s="3">
        <v>500000</v>
      </c>
      <c r="H36" t="s">
        <v>13</v>
      </c>
      <c r="I36" t="s">
        <v>13</v>
      </c>
      <c r="AJ36" s="3">
        <v>0</v>
      </c>
    </row>
    <row r="37" spans="1:36" x14ac:dyDescent="0.35">
      <c r="A37" s="4" t="s">
        <v>629</v>
      </c>
      <c r="B37" s="24" t="s">
        <v>337</v>
      </c>
      <c r="C37" s="67"/>
      <c r="D37" s="3">
        <v>500000</v>
      </c>
      <c r="AG37" s="3"/>
      <c r="AJ37" s="3">
        <v>0</v>
      </c>
    </row>
    <row r="38" spans="1:36" x14ac:dyDescent="0.35">
      <c r="A38" s="4" t="s">
        <v>646</v>
      </c>
      <c r="B38" s="24" t="s">
        <v>337</v>
      </c>
      <c r="C38" s="67"/>
      <c r="D38" s="3">
        <v>250000</v>
      </c>
      <c r="H38" t="s">
        <v>13</v>
      </c>
      <c r="AG38" s="3"/>
      <c r="AJ38" s="3"/>
    </row>
    <row r="39" spans="1:36" x14ac:dyDescent="0.35">
      <c r="A39" t="s">
        <v>644</v>
      </c>
      <c r="B39" t="s">
        <v>337</v>
      </c>
      <c r="C39" s="5" t="s">
        <v>13</v>
      </c>
      <c r="D39" s="3">
        <f>+'MAR-21'!AK19*0.17</f>
        <v>93733.693333333329</v>
      </c>
      <c r="G39" s="3" t="s">
        <v>13</v>
      </c>
      <c r="H39" t="s">
        <v>13</v>
      </c>
      <c r="Q39" s="3" t="s">
        <v>13</v>
      </c>
      <c r="AG39" s="3"/>
    </row>
    <row r="40" spans="1:36" x14ac:dyDescent="0.35">
      <c r="A40" s="4" t="s">
        <v>545</v>
      </c>
      <c r="B40" s="24" t="s">
        <v>544</v>
      </c>
      <c r="C40" s="67">
        <v>44182</v>
      </c>
      <c r="D40" s="3">
        <v>121856</v>
      </c>
      <c r="E40" s="153" t="s">
        <v>13</v>
      </c>
      <c r="F40" s="3"/>
      <c r="G40" s="3" t="s">
        <v>13</v>
      </c>
      <c r="H40" s="3" t="s">
        <v>13</v>
      </c>
      <c r="I40" s="3"/>
      <c r="J40" s="3"/>
      <c r="K40" s="3"/>
      <c r="L40" s="3"/>
      <c r="M40" s="3"/>
      <c r="N40" s="3"/>
      <c r="O40" s="3"/>
      <c r="P40" s="3"/>
      <c r="Q40" s="3" t="s">
        <v>13</v>
      </c>
      <c r="R40" s="3"/>
      <c r="S40" s="3"/>
      <c r="T40" s="3"/>
      <c r="U40" s="3"/>
      <c r="V40" s="3"/>
      <c r="W40" s="3"/>
      <c r="Y40" s="3"/>
    </row>
    <row r="41" spans="1:36" x14ac:dyDescent="0.35">
      <c r="A41" s="4" t="s">
        <v>549</v>
      </c>
      <c r="B41" s="24" t="s">
        <v>78</v>
      </c>
      <c r="C41" s="67">
        <v>44195</v>
      </c>
      <c r="D41" s="3">
        <v>240975</v>
      </c>
      <c r="E41" s="15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</row>
    <row r="42" spans="1:36" x14ac:dyDescent="0.35">
      <c r="A42" s="4" t="s">
        <v>548</v>
      </c>
      <c r="B42" s="24" t="s">
        <v>563</v>
      </c>
      <c r="C42" s="67">
        <v>44203</v>
      </c>
      <c r="D42" s="71">
        <v>28988</v>
      </c>
      <c r="E42" s="153" t="s">
        <v>139</v>
      </c>
      <c r="F42" s="3"/>
      <c r="G42" s="3"/>
      <c r="H42" s="3"/>
      <c r="I42" s="3"/>
      <c r="J42" s="3">
        <v>28988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</row>
    <row r="43" spans="1:36" x14ac:dyDescent="0.35">
      <c r="A43" s="4" t="s">
        <v>593</v>
      </c>
      <c r="B43" s="24" t="s">
        <v>592</v>
      </c>
      <c r="C43" s="67">
        <v>44229</v>
      </c>
      <c r="D43" s="71">
        <f>60000*1.19</f>
        <v>71400</v>
      </c>
      <c r="E43" s="153" t="s">
        <v>139</v>
      </c>
      <c r="F43" s="3"/>
      <c r="G43" s="3"/>
      <c r="H43" s="3"/>
      <c r="I43" s="3"/>
      <c r="J43" s="3">
        <v>71400</v>
      </c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W43" s="3"/>
      <c r="Y43" s="3"/>
    </row>
    <row r="44" spans="1:36" x14ac:dyDescent="0.35">
      <c r="A44" s="4" t="s">
        <v>594</v>
      </c>
      <c r="B44" s="24" t="s">
        <v>595</v>
      </c>
      <c r="C44" s="67">
        <v>44229</v>
      </c>
      <c r="D44" s="71">
        <f>60000*1.19</f>
        <v>71400</v>
      </c>
      <c r="E44" s="153" t="s">
        <v>139</v>
      </c>
      <c r="F44" s="3"/>
      <c r="G44" s="3"/>
      <c r="H44" s="3"/>
      <c r="I44" s="3"/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W44" s="3"/>
      <c r="Y44" s="3"/>
    </row>
    <row r="45" spans="1:36" x14ac:dyDescent="0.35">
      <c r="A45" s="4" t="s">
        <v>603</v>
      </c>
      <c r="B45" s="24" t="s">
        <v>245</v>
      </c>
      <c r="C45" s="67">
        <v>44235</v>
      </c>
      <c r="D45" s="3">
        <f>2216970-'MAR-21'!$H$45</f>
        <v>1816970</v>
      </c>
      <c r="E45" s="153" t="s">
        <v>13</v>
      </c>
      <c r="F45" s="3"/>
      <c r="G45" s="3" t="s">
        <v>13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J45" s="3">
        <v>0</v>
      </c>
    </row>
    <row r="46" spans="1:36" x14ac:dyDescent="0.35">
      <c r="A46" s="4" t="s">
        <v>633</v>
      </c>
      <c r="B46" s="24" t="s">
        <v>634</v>
      </c>
      <c r="C46" s="67">
        <v>44259</v>
      </c>
      <c r="D46" s="71">
        <v>475030</v>
      </c>
      <c r="E46" s="153" t="s">
        <v>139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</row>
    <row r="47" spans="1:36" x14ac:dyDescent="0.35">
      <c r="A47" s="4" t="s">
        <v>635</v>
      </c>
      <c r="B47" s="24" t="s">
        <v>636</v>
      </c>
      <c r="C47" s="67">
        <v>44259</v>
      </c>
      <c r="D47" s="71">
        <f>60000*1.19</f>
        <v>71400</v>
      </c>
      <c r="E47" s="153" t="s">
        <v>139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</row>
    <row r="48" spans="1:36" x14ac:dyDescent="0.35">
      <c r="A48" s="4" t="s">
        <v>645</v>
      </c>
      <c r="B48" s="24" t="s">
        <v>13</v>
      </c>
      <c r="C48" s="67">
        <v>44269</v>
      </c>
      <c r="D48" s="3">
        <v>109000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</row>
    <row r="49" spans="1:37" x14ac:dyDescent="0.35">
      <c r="A49" s="4" t="s">
        <v>339</v>
      </c>
      <c r="B49" s="24"/>
      <c r="C49" s="5">
        <v>44296</v>
      </c>
      <c r="D49" s="3">
        <v>17540</v>
      </c>
      <c r="F49" s="3"/>
      <c r="G49" s="3"/>
      <c r="H49" s="3"/>
      <c r="I49" s="3"/>
      <c r="J49" s="3"/>
      <c r="K49" s="3"/>
      <c r="L49" s="3"/>
      <c r="M49" s="3"/>
      <c r="N49" s="3"/>
      <c r="P49" s="3"/>
      <c r="Q49" s="3"/>
      <c r="R49" s="3" t="s">
        <v>13</v>
      </c>
      <c r="S49" s="3"/>
      <c r="T49" s="3"/>
      <c r="U49" s="3"/>
      <c r="V49" s="3"/>
      <c r="W49" s="3"/>
      <c r="Y49" s="3">
        <v>17540</v>
      </c>
    </row>
    <row r="50" spans="1:37" x14ac:dyDescent="0.35">
      <c r="A50" s="4" t="s">
        <v>726</v>
      </c>
      <c r="B50" s="24" t="s">
        <v>652</v>
      </c>
      <c r="C50" s="5">
        <v>44298</v>
      </c>
      <c r="D50" s="71">
        <f>262085*1.19</f>
        <v>311881.14999999997</v>
      </c>
      <c r="E50" s="153" t="s">
        <v>139</v>
      </c>
      <c r="F50" s="3"/>
      <c r="G50" s="3" t="s">
        <v>13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</row>
    <row r="51" spans="1:37" x14ac:dyDescent="0.35">
      <c r="A51" s="4" t="s">
        <v>653</v>
      </c>
      <c r="B51" s="24" t="s">
        <v>654</v>
      </c>
      <c r="C51" s="5">
        <v>44291</v>
      </c>
      <c r="D51" s="3">
        <v>21356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Z51">
        <v>21356</v>
      </c>
    </row>
    <row r="52" spans="1:37" x14ac:dyDescent="0.35">
      <c r="A52" s="4"/>
      <c r="B52" s="24"/>
      <c r="C52" s="177" t="s">
        <v>637</v>
      </c>
      <c r="D52" s="106">
        <f>+SUMIF(E40:E50,"x",D40:D50)</f>
        <v>1030099.1499999999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</row>
    <row r="53" spans="1:37" x14ac:dyDescent="0.35">
      <c r="A53" s="4"/>
      <c r="B53" s="24"/>
      <c r="C53" s="67"/>
      <c r="D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</row>
    <row r="54" spans="1:37" x14ac:dyDescent="0.35">
      <c r="A54" s="2" t="s">
        <v>9</v>
      </c>
      <c r="F54" s="3">
        <f t="shared" ref="F54:AI54" si="3">SUM(F29:F53)</f>
        <v>0</v>
      </c>
      <c r="G54" s="3">
        <f t="shared" si="3"/>
        <v>0</v>
      </c>
      <c r="H54" s="3">
        <f t="shared" si="3"/>
        <v>0</v>
      </c>
      <c r="I54" s="3">
        <f t="shared" si="3"/>
        <v>0</v>
      </c>
      <c r="J54" s="3">
        <f t="shared" si="3"/>
        <v>100388</v>
      </c>
      <c r="K54" s="3">
        <f t="shared" si="3"/>
        <v>0</v>
      </c>
      <c r="L54" s="3">
        <f t="shared" si="3"/>
        <v>0</v>
      </c>
      <c r="M54" s="3">
        <f t="shared" si="3"/>
        <v>0</v>
      </c>
      <c r="N54" s="3">
        <f t="shared" si="3"/>
        <v>0</v>
      </c>
      <c r="O54" s="3">
        <f t="shared" si="3"/>
        <v>0</v>
      </c>
      <c r="P54" s="3">
        <f t="shared" si="3"/>
        <v>0</v>
      </c>
      <c r="Q54" s="3">
        <f t="shared" si="3"/>
        <v>0</v>
      </c>
      <c r="R54" s="3">
        <f t="shared" si="3"/>
        <v>0</v>
      </c>
      <c r="S54" s="3">
        <f t="shared" si="3"/>
        <v>0</v>
      </c>
      <c r="T54" s="3">
        <f t="shared" si="3"/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3">
        <f t="shared" si="3"/>
        <v>0</v>
      </c>
      <c r="Y54" s="3">
        <f t="shared" si="3"/>
        <v>17540</v>
      </c>
      <c r="Z54" s="3">
        <f t="shared" si="3"/>
        <v>21356</v>
      </c>
      <c r="AA54" s="3">
        <f t="shared" si="3"/>
        <v>0</v>
      </c>
      <c r="AB54" s="3">
        <f t="shared" si="3"/>
        <v>0</v>
      </c>
      <c r="AC54" s="3">
        <f t="shared" si="3"/>
        <v>0</v>
      </c>
      <c r="AD54" s="3">
        <f t="shared" si="3"/>
        <v>0</v>
      </c>
      <c r="AE54" s="3">
        <f t="shared" si="3"/>
        <v>0</v>
      </c>
      <c r="AF54" s="3">
        <f t="shared" si="3"/>
        <v>0</v>
      </c>
      <c r="AG54" s="3">
        <f t="shared" si="3"/>
        <v>0</v>
      </c>
      <c r="AH54" s="3">
        <f t="shared" si="3"/>
        <v>0</v>
      </c>
      <c r="AI54" s="3">
        <f t="shared" si="3"/>
        <v>0</v>
      </c>
      <c r="AJ54" s="3" t="s">
        <v>13</v>
      </c>
      <c r="AK54" s="3" t="s">
        <v>13</v>
      </c>
    </row>
    <row r="55" spans="1:37" x14ac:dyDescent="0.35">
      <c r="A55" t="s">
        <v>8</v>
      </c>
      <c r="F55" s="3">
        <f>+F26+F3-F54</f>
        <v>113413.45366946758</v>
      </c>
      <c r="G55" s="3">
        <f t="shared" ref="G55:AI55" si="4">+G3+G26-G54</f>
        <v>113413.45366946758</v>
      </c>
      <c r="H55" s="3">
        <f t="shared" si="4"/>
        <v>113413.45366946758</v>
      </c>
      <c r="I55" s="3">
        <f t="shared" si="4"/>
        <v>113413.45366946758</v>
      </c>
      <c r="J55" s="3">
        <f t="shared" si="4"/>
        <v>13025.453669467577</v>
      </c>
      <c r="K55" s="3">
        <f t="shared" si="4"/>
        <v>13025.453669467577</v>
      </c>
      <c r="L55" s="3">
        <f t="shared" si="4"/>
        <v>13025.453669467577</v>
      </c>
      <c r="M55" s="3">
        <f t="shared" si="4"/>
        <v>13025.453669467577</v>
      </c>
      <c r="N55" s="3">
        <f t="shared" si="4"/>
        <v>13025.453669467577</v>
      </c>
      <c r="O55" s="3">
        <f t="shared" si="4"/>
        <v>13025.453669467577</v>
      </c>
      <c r="P55" s="3">
        <f t="shared" si="4"/>
        <v>13025.453669467577</v>
      </c>
      <c r="Q55" s="3">
        <f t="shared" si="4"/>
        <v>13025.453669467577</v>
      </c>
      <c r="R55" s="3">
        <f t="shared" si="4"/>
        <v>13025.453669467577</v>
      </c>
      <c r="S55" s="3">
        <f t="shared" si="4"/>
        <v>13025.453669467577</v>
      </c>
      <c r="T55" s="3">
        <f t="shared" si="4"/>
        <v>13025.453669467577</v>
      </c>
      <c r="U55" s="3">
        <f t="shared" si="4"/>
        <v>13025.453669467577</v>
      </c>
      <c r="V55" s="3">
        <f t="shared" si="4"/>
        <v>13025.453669467577</v>
      </c>
      <c r="W55" s="3">
        <f t="shared" si="4"/>
        <v>13025.453669467577</v>
      </c>
      <c r="X55" s="3">
        <f t="shared" si="4"/>
        <v>13025.453669467577</v>
      </c>
      <c r="Y55" s="3">
        <f t="shared" si="4"/>
        <v>295485.45366946759</v>
      </c>
      <c r="Z55" s="3">
        <f t="shared" si="4"/>
        <v>274129.45366946759</v>
      </c>
      <c r="AA55" s="3">
        <f t="shared" si="4"/>
        <v>274129.45366946759</v>
      </c>
      <c r="AB55" s="3">
        <f t="shared" si="4"/>
        <v>274129.45366946759</v>
      </c>
      <c r="AC55" s="3">
        <f t="shared" si="4"/>
        <v>274129.45366946759</v>
      </c>
      <c r="AD55" s="3">
        <f t="shared" si="4"/>
        <v>274129.45366946759</v>
      </c>
      <c r="AE55" s="3">
        <f t="shared" si="4"/>
        <v>274129.45366946759</v>
      </c>
      <c r="AF55" s="3">
        <f t="shared" si="4"/>
        <v>274129.45366946759</v>
      </c>
      <c r="AG55" s="3">
        <f t="shared" si="4"/>
        <v>274129.45366946759</v>
      </c>
      <c r="AH55" s="3">
        <f t="shared" si="4"/>
        <v>274129.45366946759</v>
      </c>
      <c r="AI55" s="3">
        <f t="shared" si="4"/>
        <v>274129.45366946759</v>
      </c>
      <c r="AJ55" s="3" t="s">
        <v>13</v>
      </c>
      <c r="AK55" s="3" t="s">
        <v>13</v>
      </c>
    </row>
    <row r="56" spans="1:37" x14ac:dyDescent="0.35">
      <c r="F56" s="3"/>
      <c r="G56" s="3"/>
      <c r="H56" s="3"/>
      <c r="I56" s="3" t="s">
        <v>13</v>
      </c>
      <c r="J56" s="3"/>
      <c r="K56" s="3"/>
      <c r="L56" s="3"/>
      <c r="M56" s="3"/>
      <c r="N56" s="3"/>
      <c r="O56" s="3"/>
      <c r="P56" s="3" t="s">
        <v>13</v>
      </c>
      <c r="Q56" s="3"/>
      <c r="R56" s="3"/>
      <c r="S56" s="3"/>
      <c r="T56" s="3" t="s">
        <v>13</v>
      </c>
      <c r="U56" s="3"/>
      <c r="V56" s="3"/>
      <c r="W56" s="3"/>
      <c r="Y56" s="3" t="s">
        <v>13</v>
      </c>
      <c r="AA56" s="3" t="s">
        <v>13</v>
      </c>
      <c r="AB56" s="3" t="s">
        <v>13</v>
      </c>
      <c r="AJ56" t="s">
        <v>13</v>
      </c>
    </row>
    <row r="57" spans="1:37" x14ac:dyDescent="0.35">
      <c r="F57" s="3"/>
      <c r="G57" s="3"/>
      <c r="H57" s="3"/>
      <c r="I57" s="3"/>
      <c r="J57" s="3"/>
      <c r="K57" s="3"/>
      <c r="L57" s="3"/>
      <c r="M57" s="3"/>
      <c r="N57" s="3"/>
      <c r="O57" s="3"/>
      <c r="P57" s="3" t="s">
        <v>13</v>
      </c>
      <c r="Q57" s="3" t="s">
        <v>13</v>
      </c>
      <c r="R57" s="3"/>
      <c r="S57" s="3"/>
      <c r="T57" s="3"/>
      <c r="U57" s="3" t="s">
        <v>13</v>
      </c>
      <c r="V57" s="3"/>
      <c r="W57" s="3"/>
      <c r="AB57" s="3" t="s">
        <v>13</v>
      </c>
    </row>
    <row r="58" spans="1:37" x14ac:dyDescent="0.35"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 t="s">
        <v>13</v>
      </c>
      <c r="U58" s="3"/>
      <c r="V58" s="3"/>
      <c r="W58" s="3"/>
      <c r="AB58" s="3" t="s">
        <v>13</v>
      </c>
    </row>
    <row r="59" spans="1:37" ht="15" thickBot="1" x14ac:dyDescent="0.4">
      <c r="E59" s="205" t="s">
        <v>655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 t="s">
        <v>13</v>
      </c>
      <c r="AB59" s="3" t="s">
        <v>13</v>
      </c>
    </row>
    <row r="60" spans="1:37" x14ac:dyDescent="0.35">
      <c r="A60" s="197" t="s">
        <v>339</v>
      </c>
      <c r="B60" s="30"/>
      <c r="C60" s="124">
        <v>44296</v>
      </c>
      <c r="D60" s="198">
        <v>17549</v>
      </c>
      <c r="E60" s="57">
        <v>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AB60" s="3" t="s">
        <v>13</v>
      </c>
    </row>
    <row r="61" spans="1:37" x14ac:dyDescent="0.35">
      <c r="A61" s="199" t="s">
        <v>653</v>
      </c>
      <c r="B61" s="28" t="s">
        <v>654</v>
      </c>
      <c r="C61" s="9">
        <v>44291</v>
      </c>
      <c r="D61" s="10">
        <v>21178</v>
      </c>
      <c r="E61" s="202">
        <v>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AB61" s="3" t="s">
        <v>13</v>
      </c>
    </row>
    <row r="62" spans="1:37" ht="15" thickBot="1" x14ac:dyDescent="0.4">
      <c r="A62" s="200" t="s">
        <v>545</v>
      </c>
      <c r="B62" s="34" t="s">
        <v>544</v>
      </c>
      <c r="C62" s="201">
        <v>44182</v>
      </c>
      <c r="D62" s="18">
        <v>121856</v>
      </c>
      <c r="E62" s="203">
        <v>3</v>
      </c>
    </row>
    <row r="63" spans="1:37" x14ac:dyDescent="0.35">
      <c r="A63" s="193" t="s">
        <v>645</v>
      </c>
      <c r="B63" s="194" t="s">
        <v>13</v>
      </c>
      <c r="C63" s="195">
        <v>44269</v>
      </c>
      <c r="D63" s="196">
        <v>109000</v>
      </c>
      <c r="E63" s="204">
        <v>4</v>
      </c>
    </row>
    <row r="64" spans="1:37" x14ac:dyDescent="0.35">
      <c r="A64" s="50" t="s">
        <v>594</v>
      </c>
      <c r="B64" s="28" t="s">
        <v>595</v>
      </c>
      <c r="C64" s="191">
        <v>44229</v>
      </c>
      <c r="D64" s="192">
        <f>60000*1.19</f>
        <v>71400</v>
      </c>
      <c r="E64" s="51">
        <v>5</v>
      </c>
    </row>
    <row r="65" spans="1:5" x14ac:dyDescent="0.35">
      <c r="A65" s="50" t="s">
        <v>656</v>
      </c>
      <c r="B65" s="28"/>
      <c r="C65" s="9">
        <v>44316</v>
      </c>
      <c r="D65" s="10">
        <v>100000</v>
      </c>
      <c r="E65" s="51">
        <v>6</v>
      </c>
    </row>
    <row r="66" spans="1:5" x14ac:dyDescent="0.35">
      <c r="A66" s="50" t="s">
        <v>633</v>
      </c>
      <c r="B66" s="28" t="s">
        <v>634</v>
      </c>
      <c r="C66" s="191">
        <v>44259</v>
      </c>
      <c r="D66" s="192">
        <v>475030</v>
      </c>
      <c r="E66" s="51">
        <v>7</v>
      </c>
    </row>
    <row r="67" spans="1:5" x14ac:dyDescent="0.35">
      <c r="A67" s="50" t="s">
        <v>635</v>
      </c>
      <c r="B67" s="28" t="s">
        <v>636</v>
      </c>
      <c r="C67" s="191">
        <v>44259</v>
      </c>
      <c r="D67" s="192">
        <f>60000*1.19</f>
        <v>71400</v>
      </c>
      <c r="E67" s="51">
        <v>8</v>
      </c>
    </row>
    <row r="68" spans="1:5" x14ac:dyDescent="0.35">
      <c r="A68" s="50" t="s">
        <v>633</v>
      </c>
      <c r="B68" s="28" t="s">
        <v>652</v>
      </c>
      <c r="C68" s="9">
        <v>44298</v>
      </c>
      <c r="D68" s="192">
        <f>262085*1.19</f>
        <v>311881.14999999997</v>
      </c>
      <c r="E68" s="51">
        <v>9</v>
      </c>
    </row>
    <row r="69" spans="1:5" x14ac:dyDescent="0.35">
      <c r="A69" s="50" t="s">
        <v>603</v>
      </c>
      <c r="B69" s="28" t="s">
        <v>245</v>
      </c>
      <c r="C69" s="191">
        <v>44235</v>
      </c>
      <c r="D69" s="10">
        <f>2216970-400000</f>
        <v>1816970</v>
      </c>
      <c r="E69" s="51">
        <v>10</v>
      </c>
    </row>
    <row r="70" spans="1:5" x14ac:dyDescent="0.35">
      <c r="A70" s="50" t="s">
        <v>549</v>
      </c>
      <c r="B70" s="28" t="s">
        <v>78</v>
      </c>
      <c r="C70" s="191">
        <v>44195</v>
      </c>
      <c r="D70" s="10">
        <v>240975</v>
      </c>
      <c r="E70" s="51">
        <v>11</v>
      </c>
    </row>
  </sheetData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AL66"/>
  <sheetViews>
    <sheetView workbookViewId="0"/>
  </sheetViews>
  <sheetFormatPr baseColWidth="10" defaultColWidth="11.08984375" defaultRowHeight="14.5" x14ac:dyDescent="0.35"/>
  <cols>
    <col min="1" max="1" width="39" customWidth="1"/>
    <col min="2" max="2" width="11.1796875" customWidth="1"/>
    <col min="3" max="4" width="13.26953125" customWidth="1"/>
    <col min="5" max="5" width="9.542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44317</v>
      </c>
      <c r="G2" s="1">
        <v>44318</v>
      </c>
      <c r="H2" s="1">
        <v>44319</v>
      </c>
      <c r="I2" s="1">
        <v>44320</v>
      </c>
      <c r="J2" s="1">
        <v>44321</v>
      </c>
      <c r="K2" s="1">
        <v>44322</v>
      </c>
      <c r="L2" s="1">
        <v>44323</v>
      </c>
      <c r="M2" s="1">
        <v>44324</v>
      </c>
      <c r="N2" s="1">
        <v>44325</v>
      </c>
      <c r="O2" s="1">
        <v>44326</v>
      </c>
      <c r="P2" s="1">
        <v>44327</v>
      </c>
      <c r="Q2" s="1">
        <v>44328</v>
      </c>
      <c r="R2" s="1">
        <v>44329</v>
      </c>
      <c r="S2" s="1">
        <v>44330</v>
      </c>
      <c r="T2" s="1">
        <v>44331</v>
      </c>
      <c r="U2" s="1">
        <v>44332</v>
      </c>
      <c r="V2" s="1">
        <v>44333</v>
      </c>
      <c r="W2" s="1">
        <v>44334</v>
      </c>
      <c r="X2" s="1">
        <v>44335</v>
      </c>
      <c r="Y2" s="1">
        <v>44336</v>
      </c>
      <c r="Z2" s="1">
        <v>44337</v>
      </c>
      <c r="AA2" s="1">
        <v>44338</v>
      </c>
      <c r="AB2" s="1">
        <v>44339</v>
      </c>
      <c r="AC2" s="1">
        <v>44340</v>
      </c>
      <c r="AD2" s="1">
        <v>44341</v>
      </c>
      <c r="AE2" s="1">
        <v>44342</v>
      </c>
      <c r="AF2" s="1">
        <v>44343</v>
      </c>
      <c r="AG2" s="1">
        <v>44344</v>
      </c>
      <c r="AH2" s="1">
        <v>44345</v>
      </c>
      <c r="AI2" s="1">
        <v>44346</v>
      </c>
      <c r="AJ2" s="1">
        <v>44347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+'ABR-21'!AI55</f>
        <v>274129.45366946759</v>
      </c>
      <c r="G3" s="3">
        <f t="shared" ref="G3:AG3" si="0">+F51</f>
        <v>274129.45366946759</v>
      </c>
      <c r="H3" s="3">
        <f t="shared" si="0"/>
        <v>274129.45366946759</v>
      </c>
      <c r="I3" s="3">
        <f t="shared" si="0"/>
        <v>274129.45366946759</v>
      </c>
      <c r="J3" s="3">
        <f t="shared" si="0"/>
        <v>274129.45366946759</v>
      </c>
      <c r="K3" s="3">
        <f t="shared" si="0"/>
        <v>252944.45366946759</v>
      </c>
      <c r="L3" s="3">
        <f t="shared" si="0"/>
        <v>252944.45366946759</v>
      </c>
      <c r="M3" s="3">
        <f t="shared" si="0"/>
        <v>202944.45366946759</v>
      </c>
      <c r="N3" s="3">
        <f t="shared" si="0"/>
        <v>202944.45366946759</v>
      </c>
      <c r="O3" s="3">
        <f t="shared" si="0"/>
        <v>202944.45366946759</v>
      </c>
      <c r="P3" s="3">
        <f t="shared" si="0"/>
        <v>202944.45366946759</v>
      </c>
      <c r="Q3" s="3">
        <f t="shared" si="0"/>
        <v>202944.45366946759</v>
      </c>
      <c r="R3" s="3">
        <f t="shared" si="0"/>
        <v>202944.45366946759</v>
      </c>
      <c r="S3" s="3">
        <f t="shared" si="0"/>
        <v>202944.45366946759</v>
      </c>
      <c r="T3" s="3">
        <f t="shared" si="0"/>
        <v>202944.45366946759</v>
      </c>
      <c r="U3" s="3">
        <f t="shared" si="0"/>
        <v>202944.45366946759</v>
      </c>
      <c r="V3" s="3">
        <f t="shared" si="0"/>
        <v>202944.45366946759</v>
      </c>
      <c r="W3" s="3">
        <f t="shared" si="0"/>
        <v>202944.45366946759</v>
      </c>
      <c r="X3" s="3">
        <f t="shared" si="0"/>
        <v>202944.45366946759</v>
      </c>
      <c r="Y3" s="3">
        <f t="shared" si="0"/>
        <v>202944.45366946759</v>
      </c>
      <c r="Z3" s="3">
        <f t="shared" si="0"/>
        <v>202944.45366946759</v>
      </c>
      <c r="AA3" s="3">
        <f t="shared" si="0"/>
        <v>202944.45366946759</v>
      </c>
      <c r="AB3" s="3">
        <f t="shared" si="0"/>
        <v>202944.45366946759</v>
      </c>
      <c r="AC3" s="3">
        <f t="shared" si="0"/>
        <v>202944.45366946759</v>
      </c>
      <c r="AD3" s="3">
        <f t="shared" si="0"/>
        <v>202944.45366946759</v>
      </c>
      <c r="AE3" s="3">
        <f t="shared" si="0"/>
        <v>202944.45366946759</v>
      </c>
      <c r="AF3" s="3">
        <f t="shared" si="0"/>
        <v>202944.45366946759</v>
      </c>
      <c r="AG3" s="3">
        <f t="shared" si="0"/>
        <v>189620.45366946759</v>
      </c>
      <c r="AH3" s="3">
        <f>+AG51</f>
        <v>189620.45366946759</v>
      </c>
      <c r="AI3" s="3">
        <f>+AH51</f>
        <v>189620.45366946759</v>
      </c>
      <c r="AJ3" s="3">
        <f>+AI51</f>
        <v>189620.45366946759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J5" s="3">
        <v>0</v>
      </c>
      <c r="AK5" s="3">
        <f t="shared" ref="AK5:AK11" si="1">SUM(E5:AJ5)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J6" s="3">
        <v>0</v>
      </c>
      <c r="AK6" s="3">
        <f t="shared" si="1"/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J7" s="3">
        <v>0</v>
      </c>
      <c r="AK7" s="3">
        <f t="shared" si="1"/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J8" s="3">
        <v>0</v>
      </c>
      <c r="AK8" s="3">
        <f t="shared" si="1"/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J9" s="3">
        <v>0</v>
      </c>
      <c r="AK9" s="3">
        <f t="shared" si="1"/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J10" s="3">
        <v>0</v>
      </c>
      <c r="AK10" s="3">
        <f t="shared" si="1"/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f>4500*60</f>
        <v>270000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J11" s="3">
        <v>0</v>
      </c>
      <c r="AK11" s="3">
        <f t="shared" si="1"/>
        <v>0</v>
      </c>
      <c r="AL11" s="3" t="s">
        <v>13</v>
      </c>
    </row>
    <row r="12" spans="1:38" x14ac:dyDescent="0.35">
      <c r="A12" t="s">
        <v>662</v>
      </c>
      <c r="B12" t="s">
        <v>661</v>
      </c>
      <c r="C12" s="5">
        <v>44328</v>
      </c>
      <c r="D12" s="3">
        <v>138825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AJ12" s="3">
        <v>0</v>
      </c>
      <c r="AK12" s="3">
        <f>SUM(E12:AJ12)</f>
        <v>0</v>
      </c>
      <c r="AL12" s="3" t="s">
        <v>13</v>
      </c>
    </row>
    <row r="13" spans="1:38" x14ac:dyDescent="0.35">
      <c r="A13" t="s">
        <v>663</v>
      </c>
      <c r="B13" t="s">
        <v>664</v>
      </c>
      <c r="C13" s="5">
        <v>44335</v>
      </c>
      <c r="D13" s="3">
        <v>76160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J13" s="3">
        <v>0</v>
      </c>
      <c r="AK13" s="3">
        <f>SUM(E13:AJ13)</f>
        <v>0</v>
      </c>
      <c r="AL13" s="3" t="s">
        <v>13</v>
      </c>
    </row>
    <row r="14" spans="1:38" x14ac:dyDescent="0.35">
      <c r="C14" s="5"/>
      <c r="D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J14" s="3" t="s">
        <v>13</v>
      </c>
      <c r="AK14" s="72">
        <f>SUM(AK5:AK13)</f>
        <v>0</v>
      </c>
    </row>
    <row r="15" spans="1:38" x14ac:dyDescent="0.35">
      <c r="A15" t="s">
        <v>385</v>
      </c>
      <c r="C15" s="5">
        <v>43980</v>
      </c>
      <c r="D15" s="3">
        <v>10465</v>
      </c>
      <c r="F15" s="3"/>
      <c r="G15" s="3"/>
      <c r="H15" s="3"/>
      <c r="I15" s="3"/>
      <c r="J15" s="3"/>
      <c r="K15" s="3"/>
      <c r="M15" s="3"/>
      <c r="N15" s="3"/>
      <c r="O15" s="3"/>
      <c r="Q15" s="3"/>
      <c r="R15" s="3"/>
      <c r="S15" s="3"/>
      <c r="T15" s="3"/>
      <c r="U15" s="3"/>
      <c r="W15" s="3"/>
      <c r="AG15" s="3" t="s">
        <v>13</v>
      </c>
      <c r="AJ15" s="3" t="s">
        <v>13</v>
      </c>
      <c r="AK15" s="3" t="s">
        <v>13</v>
      </c>
    </row>
    <row r="16" spans="1:38" x14ac:dyDescent="0.35">
      <c r="A16" t="s">
        <v>60</v>
      </c>
      <c r="D16" s="3">
        <v>0</v>
      </c>
      <c r="F16" s="3" t="s">
        <v>13</v>
      </c>
      <c r="G16" s="3" t="s">
        <v>13</v>
      </c>
      <c r="H16" s="3"/>
      <c r="I16" s="3"/>
      <c r="J16" s="3"/>
      <c r="K16" s="3" t="s">
        <v>13</v>
      </c>
      <c r="M16" s="3"/>
      <c r="N16" s="3"/>
      <c r="O16" s="3" t="s">
        <v>13</v>
      </c>
      <c r="P16" s="3"/>
      <c r="Q16" s="3"/>
      <c r="R16" s="3" t="s">
        <v>13</v>
      </c>
      <c r="S16" s="3"/>
      <c r="T16" s="3"/>
      <c r="U16" s="3"/>
      <c r="V16" s="3"/>
      <c r="W16" s="3"/>
      <c r="Y16" t="s">
        <v>13</v>
      </c>
      <c r="AJ16" s="3" t="s">
        <v>13</v>
      </c>
    </row>
    <row r="17" spans="1:36" x14ac:dyDescent="0.35">
      <c r="A17" t="s">
        <v>1</v>
      </c>
      <c r="F17" s="3"/>
      <c r="G17" s="3" t="s">
        <v>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6" x14ac:dyDescent="0.35">
      <c r="A18" t="s">
        <v>478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 t="s">
        <v>13</v>
      </c>
      <c r="S18" s="3"/>
      <c r="T18" s="3"/>
      <c r="U18" s="3"/>
      <c r="V18" s="3"/>
      <c r="W18" s="3"/>
    </row>
    <row r="19" spans="1:36" x14ac:dyDescent="0.35"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6" x14ac:dyDescent="0.35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6" x14ac:dyDescent="0.35">
      <c r="A21" s="2" t="s">
        <v>6</v>
      </c>
      <c r="F21" s="3">
        <f t="shared" ref="F21:AJ21" si="2">SUM(F5:F20)</f>
        <v>0</v>
      </c>
      <c r="G21" s="3">
        <f t="shared" si="2"/>
        <v>0</v>
      </c>
      <c r="H21" s="3">
        <f t="shared" si="2"/>
        <v>0</v>
      </c>
      <c r="I21" s="3">
        <f t="shared" si="2"/>
        <v>0</v>
      </c>
      <c r="J21" s="3">
        <f t="shared" si="2"/>
        <v>0</v>
      </c>
      <c r="K21" s="3">
        <f t="shared" si="2"/>
        <v>0</v>
      </c>
      <c r="L21" s="3">
        <f t="shared" si="2"/>
        <v>0</v>
      </c>
      <c r="M21" s="3">
        <f t="shared" si="2"/>
        <v>0</v>
      </c>
      <c r="N21" s="3">
        <f t="shared" si="2"/>
        <v>0</v>
      </c>
      <c r="O21" s="3">
        <f t="shared" si="2"/>
        <v>0</v>
      </c>
      <c r="P21" s="3">
        <f t="shared" si="2"/>
        <v>0</v>
      </c>
      <c r="Q21" s="3">
        <f t="shared" si="2"/>
        <v>0</v>
      </c>
      <c r="R21" s="3">
        <f t="shared" si="2"/>
        <v>0</v>
      </c>
      <c r="S21" s="3">
        <f t="shared" si="2"/>
        <v>0</v>
      </c>
      <c r="T21" s="3">
        <f t="shared" si="2"/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3">
        <f t="shared" si="2"/>
        <v>0</v>
      </c>
      <c r="Y21" s="3">
        <f t="shared" si="2"/>
        <v>0</v>
      </c>
      <c r="Z21" s="3">
        <f t="shared" si="2"/>
        <v>0</v>
      </c>
      <c r="AA21" s="3">
        <f t="shared" si="2"/>
        <v>0</v>
      </c>
      <c r="AB21" s="3">
        <f t="shared" si="2"/>
        <v>0</v>
      </c>
      <c r="AC21" s="3">
        <f t="shared" si="2"/>
        <v>0</v>
      </c>
      <c r="AD21" s="3">
        <f t="shared" si="2"/>
        <v>0</v>
      </c>
      <c r="AE21" s="3">
        <f t="shared" si="2"/>
        <v>0</v>
      </c>
      <c r="AF21" s="3">
        <f t="shared" si="2"/>
        <v>0</v>
      </c>
      <c r="AG21" s="3">
        <f t="shared" si="2"/>
        <v>0</v>
      </c>
      <c r="AH21" s="3">
        <f t="shared" si="2"/>
        <v>0</v>
      </c>
      <c r="AI21" s="3">
        <f t="shared" si="2"/>
        <v>0</v>
      </c>
      <c r="AJ21" s="3">
        <f t="shared" si="2"/>
        <v>0</v>
      </c>
    </row>
    <row r="22" spans="1:36" x14ac:dyDescent="0.35">
      <c r="A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6" x14ac:dyDescent="0.35">
      <c r="A23" s="2" t="s">
        <v>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6" x14ac:dyDescent="0.35">
      <c r="A24" s="4" t="s">
        <v>409</v>
      </c>
      <c r="B24" s="24" t="s">
        <v>337</v>
      </c>
      <c r="C24" s="67"/>
      <c r="D24" s="3">
        <f>500000/2</f>
        <v>250000</v>
      </c>
      <c r="F24" s="3"/>
      <c r="G24" s="3"/>
      <c r="H24" s="3"/>
      <c r="I24" s="3"/>
      <c r="K24" s="3"/>
      <c r="L24" s="3"/>
      <c r="M24" s="3"/>
      <c r="P24" s="3"/>
      <c r="Q24" s="3"/>
      <c r="R24" s="3"/>
      <c r="S24" s="3"/>
      <c r="T24" s="3"/>
      <c r="U24" s="3"/>
      <c r="V24" s="3"/>
      <c r="W24" s="3"/>
      <c r="AJ24" s="3" t="s">
        <v>13</v>
      </c>
    </row>
    <row r="25" spans="1:36" x14ac:dyDescent="0.35">
      <c r="A25" s="4" t="s">
        <v>410</v>
      </c>
      <c r="B25" s="24" t="s">
        <v>337</v>
      </c>
      <c r="C25" s="67"/>
      <c r="D25" s="3">
        <f>500000/2</f>
        <v>250000</v>
      </c>
      <c r="F25" s="3"/>
      <c r="G25" s="3"/>
      <c r="H25" s="3"/>
      <c r="I25" s="3"/>
      <c r="J25" t="s">
        <v>13</v>
      </c>
      <c r="K25" s="3"/>
      <c r="L25" s="3"/>
      <c r="M25" s="3"/>
      <c r="P25" s="3"/>
      <c r="Q25" s="3"/>
      <c r="R25" s="3"/>
      <c r="S25" s="3"/>
      <c r="T25" s="3"/>
      <c r="U25" s="3"/>
      <c r="V25" s="3"/>
      <c r="W25" s="3"/>
      <c r="AJ25" s="3" t="s">
        <v>13</v>
      </c>
    </row>
    <row r="26" spans="1:36" x14ac:dyDescent="0.35">
      <c r="A26" s="4" t="s">
        <v>411</v>
      </c>
      <c r="B26" s="24" t="s">
        <v>337</v>
      </c>
      <c r="C26" s="67"/>
      <c r="D26" s="3">
        <f>500000/2</f>
        <v>250000</v>
      </c>
      <c r="F26" s="3"/>
      <c r="G26" s="3"/>
      <c r="H26" s="3"/>
      <c r="I26" s="3"/>
      <c r="K26" s="3"/>
      <c r="L26" s="3"/>
      <c r="M26" s="3"/>
      <c r="P26" s="3"/>
      <c r="Q26" s="3"/>
      <c r="R26" s="3"/>
      <c r="S26" s="3"/>
      <c r="T26" s="3"/>
      <c r="U26" s="3"/>
      <c r="V26" s="3"/>
      <c r="W26" s="3"/>
      <c r="AJ26" s="3" t="s">
        <v>13</v>
      </c>
    </row>
    <row r="27" spans="1:36" x14ac:dyDescent="0.35">
      <c r="A27" s="4" t="s">
        <v>492</v>
      </c>
      <c r="B27" s="24" t="s">
        <v>337</v>
      </c>
      <c r="C27" s="67"/>
      <c r="D27" s="3">
        <v>250000</v>
      </c>
      <c r="F27" s="3"/>
      <c r="G27" s="3"/>
      <c r="H27" s="3"/>
      <c r="I27" s="3"/>
      <c r="K27" s="3"/>
      <c r="L27" s="3"/>
      <c r="M27" s="3"/>
      <c r="P27" s="3"/>
      <c r="Q27" s="3"/>
      <c r="R27" s="3"/>
      <c r="S27" s="3"/>
      <c r="T27" s="3"/>
      <c r="U27" s="3"/>
      <c r="V27" s="3"/>
      <c r="W27" s="3"/>
      <c r="AJ27" s="3" t="s">
        <v>13</v>
      </c>
    </row>
    <row r="28" spans="1:36" x14ac:dyDescent="0.35">
      <c r="A28" s="4" t="s">
        <v>494</v>
      </c>
      <c r="B28" s="24" t="s">
        <v>337</v>
      </c>
      <c r="C28" s="67"/>
      <c r="D28" s="3">
        <v>500000</v>
      </c>
      <c r="F28" s="3"/>
      <c r="G28" s="3"/>
      <c r="H28" s="3"/>
      <c r="I28" s="3"/>
      <c r="K28" s="3"/>
      <c r="L28" s="3"/>
      <c r="M28" s="3"/>
      <c r="P28" s="3"/>
      <c r="Q28" s="3"/>
      <c r="R28" s="3"/>
      <c r="S28" s="3"/>
      <c r="T28" s="3"/>
      <c r="U28" s="3"/>
      <c r="V28" s="3"/>
      <c r="W28" s="3"/>
      <c r="AJ28" s="3" t="s">
        <v>13</v>
      </c>
    </row>
    <row r="29" spans="1:36" x14ac:dyDescent="0.35">
      <c r="A29" s="4" t="s">
        <v>495</v>
      </c>
      <c r="B29" s="24" t="s">
        <v>337</v>
      </c>
      <c r="C29" s="67"/>
      <c r="D29" s="3">
        <v>500000</v>
      </c>
      <c r="F29" s="3"/>
      <c r="G29" s="3"/>
      <c r="H29" s="3"/>
      <c r="I29" s="3"/>
      <c r="K29" s="3"/>
      <c r="L29" s="3"/>
      <c r="M29" s="104" t="s">
        <v>13</v>
      </c>
      <c r="P29" s="3"/>
      <c r="Q29" s="3"/>
      <c r="R29" s="3"/>
      <c r="S29" s="3"/>
      <c r="T29" s="3"/>
      <c r="U29" s="3"/>
      <c r="V29" s="3"/>
      <c r="W29" s="3"/>
      <c r="AJ29" s="3" t="s">
        <v>13</v>
      </c>
    </row>
    <row r="30" spans="1:36" x14ac:dyDescent="0.35">
      <c r="A30" s="4" t="s">
        <v>541</v>
      </c>
      <c r="B30" s="24" t="s">
        <v>337</v>
      </c>
      <c r="C30" s="67"/>
      <c r="D30" s="3">
        <v>500000</v>
      </c>
      <c r="F30" s="3"/>
      <c r="G30" s="3"/>
      <c r="H30" s="3"/>
      <c r="I30" s="3"/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  <c r="AJ30" s="3" t="s">
        <v>13</v>
      </c>
    </row>
    <row r="31" spans="1:36" x14ac:dyDescent="0.35">
      <c r="A31" s="4" t="s">
        <v>576</v>
      </c>
      <c r="B31" s="24" t="s">
        <v>337</v>
      </c>
      <c r="C31" s="67"/>
      <c r="D31" s="3">
        <v>500000</v>
      </c>
      <c r="H31" t="s">
        <v>13</v>
      </c>
      <c r="I31" t="s">
        <v>13</v>
      </c>
      <c r="L31" s="3"/>
      <c r="M31" s="3"/>
      <c r="P31" s="3"/>
      <c r="Q31" s="3"/>
      <c r="AJ31" s="3" t="s">
        <v>13</v>
      </c>
    </row>
    <row r="32" spans="1:36" x14ac:dyDescent="0.35">
      <c r="A32" s="4" t="s">
        <v>629</v>
      </c>
      <c r="B32" s="24" t="s">
        <v>337</v>
      </c>
      <c r="C32" s="67"/>
      <c r="D32" s="3">
        <v>500000</v>
      </c>
      <c r="L32" s="3"/>
      <c r="M32" s="3"/>
      <c r="P32" s="3"/>
      <c r="Q32" s="3"/>
      <c r="AG32" s="3"/>
      <c r="AJ32" s="3" t="s">
        <v>13</v>
      </c>
    </row>
    <row r="33" spans="1:36" x14ac:dyDescent="0.35">
      <c r="A33" s="4" t="s">
        <v>646</v>
      </c>
      <c r="B33" s="24" t="s">
        <v>337</v>
      </c>
      <c r="C33" s="67"/>
      <c r="D33" s="3">
        <v>250000</v>
      </c>
      <c r="H33" t="s">
        <v>13</v>
      </c>
      <c r="L33" s="3"/>
      <c r="M33" s="3"/>
      <c r="P33" s="3"/>
      <c r="Q33" s="3"/>
      <c r="AG33" s="3"/>
      <c r="AJ33" s="3" t="s">
        <v>13</v>
      </c>
    </row>
    <row r="34" spans="1:36" x14ac:dyDescent="0.35">
      <c r="A34" t="s">
        <v>644</v>
      </c>
      <c r="B34" t="s">
        <v>337</v>
      </c>
      <c r="C34" s="5" t="s">
        <v>13</v>
      </c>
      <c r="D34" s="3">
        <f>+'MAR-21'!AK19*0.17</f>
        <v>93733.693333333329</v>
      </c>
      <c r="G34" s="3" t="s">
        <v>13</v>
      </c>
      <c r="H34" t="s">
        <v>13</v>
      </c>
      <c r="L34" s="3"/>
      <c r="M34" s="3"/>
      <c r="P34" s="3"/>
      <c r="Q34" s="3"/>
      <c r="AG34" s="3"/>
      <c r="AJ34" s="3" t="s">
        <v>13</v>
      </c>
    </row>
    <row r="35" spans="1:36" x14ac:dyDescent="0.35">
      <c r="A35" s="4" t="s">
        <v>545</v>
      </c>
      <c r="B35" s="24" t="s">
        <v>544</v>
      </c>
      <c r="C35" s="67">
        <v>44182</v>
      </c>
      <c r="D35" s="3">
        <v>121856</v>
      </c>
      <c r="E35" s="153" t="s">
        <v>13</v>
      </c>
      <c r="F35" s="3"/>
      <c r="G35" s="3" t="s">
        <v>13</v>
      </c>
      <c r="H35" s="3" t="s">
        <v>13</v>
      </c>
      <c r="I35" s="3"/>
      <c r="J35" s="3"/>
      <c r="K35" s="3"/>
      <c r="L35" s="3"/>
      <c r="M35" s="3"/>
      <c r="N35" s="3"/>
      <c r="O35" s="3"/>
      <c r="P35" s="3" t="s">
        <v>13</v>
      </c>
      <c r="Q35" s="3" t="s">
        <v>13</v>
      </c>
      <c r="R35" s="3"/>
      <c r="S35" s="3"/>
      <c r="T35" s="3"/>
      <c r="U35" s="3"/>
      <c r="V35" s="3"/>
      <c r="W35" s="3"/>
      <c r="Y35" s="3"/>
      <c r="AJ35" s="3" t="s">
        <v>13</v>
      </c>
    </row>
    <row r="36" spans="1:36" x14ac:dyDescent="0.35">
      <c r="A36" s="4" t="s">
        <v>549</v>
      </c>
      <c r="B36" s="24" t="s">
        <v>78</v>
      </c>
      <c r="C36" s="67">
        <v>44195</v>
      </c>
      <c r="D36" s="3">
        <v>240975</v>
      </c>
      <c r="E36" s="15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/>
    </row>
    <row r="37" spans="1:36" x14ac:dyDescent="0.35">
      <c r="A37" s="4" t="s">
        <v>594</v>
      </c>
      <c r="B37" s="24" t="s">
        <v>595</v>
      </c>
      <c r="C37" s="67">
        <v>44229</v>
      </c>
      <c r="D37" s="71">
        <f>60000*1.19</f>
        <v>71400</v>
      </c>
      <c r="E37" s="153" t="s">
        <v>139</v>
      </c>
      <c r="F37" s="3"/>
      <c r="G37" s="3"/>
      <c r="H37" s="3"/>
      <c r="I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W37" s="3"/>
      <c r="Y37" s="3"/>
    </row>
    <row r="38" spans="1:36" x14ac:dyDescent="0.35">
      <c r="A38" s="4" t="s">
        <v>603</v>
      </c>
      <c r="B38" s="24" t="s">
        <v>245</v>
      </c>
      <c r="C38" s="67">
        <v>44235</v>
      </c>
      <c r="D38" s="3">
        <f>2216970-'MAR-21'!$H$45</f>
        <v>1816970</v>
      </c>
      <c r="E38" s="153" t="s">
        <v>13</v>
      </c>
      <c r="F38" s="3"/>
      <c r="G38" s="3" t="s">
        <v>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Y38" s="3"/>
      <c r="AJ38" s="3" t="s">
        <v>13</v>
      </c>
    </row>
    <row r="39" spans="1:36" x14ac:dyDescent="0.35">
      <c r="A39" s="4" t="s">
        <v>633</v>
      </c>
      <c r="B39" s="24" t="s">
        <v>634</v>
      </c>
      <c r="C39" s="67">
        <v>44259</v>
      </c>
      <c r="D39" s="71">
        <v>475030</v>
      </c>
      <c r="E39" s="153" t="s">
        <v>139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Y39" s="3"/>
    </row>
    <row r="40" spans="1:36" x14ac:dyDescent="0.35">
      <c r="A40" s="4" t="s">
        <v>635</v>
      </c>
      <c r="B40" s="24" t="s">
        <v>636</v>
      </c>
      <c r="C40" s="67">
        <v>44259</v>
      </c>
      <c r="D40" s="71">
        <f>60000*1.19</f>
        <v>71400</v>
      </c>
      <c r="E40" s="153" t="s">
        <v>139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</row>
    <row r="41" spans="1:36" x14ac:dyDescent="0.35">
      <c r="A41" s="4" t="s">
        <v>725</v>
      </c>
      <c r="B41" s="24" t="s">
        <v>739</v>
      </c>
      <c r="C41" s="67">
        <v>44412</v>
      </c>
      <c r="D41" s="3">
        <v>50000</v>
      </c>
      <c r="F41" s="3"/>
      <c r="G41" s="3"/>
      <c r="H41" s="3"/>
      <c r="I41" s="3"/>
      <c r="J41" s="3"/>
      <c r="K41" s="3"/>
      <c r="L41" s="3">
        <v>50000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</row>
    <row r="42" spans="1:36" x14ac:dyDescent="0.35">
      <c r="A42" s="4" t="s">
        <v>726</v>
      </c>
      <c r="B42" s="24" t="s">
        <v>652</v>
      </c>
      <c r="C42" s="5">
        <v>44298</v>
      </c>
      <c r="D42" s="71">
        <f>262085*1.19</f>
        <v>311881.14999999997</v>
      </c>
      <c r="E42" s="153" t="s">
        <v>139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</row>
    <row r="43" spans="1:36" x14ac:dyDescent="0.35">
      <c r="A43" s="4" t="s">
        <v>653</v>
      </c>
      <c r="B43" s="24" t="s">
        <v>660</v>
      </c>
      <c r="C43" s="5">
        <v>44321</v>
      </c>
      <c r="D43" s="3">
        <v>21185</v>
      </c>
      <c r="E43" t="s">
        <v>13</v>
      </c>
      <c r="F43" s="3"/>
      <c r="G43" s="3"/>
      <c r="H43" s="3"/>
      <c r="I43" s="3"/>
      <c r="J43" s="3">
        <v>21185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</row>
    <row r="44" spans="1:36" x14ac:dyDescent="0.35">
      <c r="A44" s="4" t="s">
        <v>640</v>
      </c>
      <c r="B44" s="24" t="s">
        <v>13</v>
      </c>
      <c r="C44" s="67">
        <v>44328</v>
      </c>
      <c r="D44" s="3">
        <f>+(14.4*2)*880/9+1304+935</f>
        <v>5055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AF44" s="3">
        <f>+(14.4*2)*880/9+1304+935</f>
        <v>5055</v>
      </c>
    </row>
    <row r="45" spans="1:36" x14ac:dyDescent="0.35">
      <c r="A45" s="4" t="s">
        <v>657</v>
      </c>
      <c r="B45" s="24" t="s">
        <v>13</v>
      </c>
      <c r="C45" s="67">
        <v>44335</v>
      </c>
      <c r="D45" s="3">
        <f>+(15.4*2)*900/9+1304+935</f>
        <v>5319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F45" s="3">
        <f>+(15.4*2)*900/9+1304+935</f>
        <v>5319</v>
      </c>
    </row>
    <row r="46" spans="1:36" x14ac:dyDescent="0.35">
      <c r="A46" s="4" t="s">
        <v>659</v>
      </c>
      <c r="B46" s="24" t="s">
        <v>658</v>
      </c>
      <c r="C46" s="5">
        <v>44343</v>
      </c>
      <c r="D46" s="3">
        <v>2950</v>
      </c>
      <c r="E46" t="s">
        <v>517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F46" s="3">
        <v>2950</v>
      </c>
    </row>
    <row r="47" spans="1:36" x14ac:dyDescent="0.35">
      <c r="A47" s="4" t="s">
        <v>665</v>
      </c>
      <c r="B47" s="24"/>
      <c r="C47" s="5">
        <v>44326</v>
      </c>
      <c r="D47" s="3"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</row>
    <row r="48" spans="1:36" x14ac:dyDescent="0.35">
      <c r="A48" s="4"/>
      <c r="B48" s="2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</row>
    <row r="49" spans="1:37" x14ac:dyDescent="0.35">
      <c r="A49" s="4"/>
      <c r="B49" s="24"/>
      <c r="C49" s="177" t="s">
        <v>637</v>
      </c>
      <c r="D49" s="106">
        <f>+SUMIF(E35:E42,"x",D35:D42)</f>
        <v>929711.14999999991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</row>
    <row r="50" spans="1:37" x14ac:dyDescent="0.35">
      <c r="A50" s="2" t="s">
        <v>9</v>
      </c>
      <c r="F50" s="3">
        <f t="shared" ref="F50:AJ50" si="3">SUM(F24:F49)</f>
        <v>0</v>
      </c>
      <c r="G50" s="3">
        <f t="shared" si="3"/>
        <v>0</v>
      </c>
      <c r="H50" s="3">
        <f t="shared" si="3"/>
        <v>0</v>
      </c>
      <c r="I50" s="3">
        <f t="shared" si="3"/>
        <v>0</v>
      </c>
      <c r="J50" s="3">
        <f t="shared" si="3"/>
        <v>21185</v>
      </c>
      <c r="K50" s="3">
        <f t="shared" si="3"/>
        <v>0</v>
      </c>
      <c r="L50" s="3">
        <f t="shared" si="3"/>
        <v>50000</v>
      </c>
      <c r="M50" s="3">
        <f t="shared" si="3"/>
        <v>0</v>
      </c>
      <c r="N50" s="3">
        <f t="shared" si="3"/>
        <v>0</v>
      </c>
      <c r="O50" s="3">
        <f t="shared" si="3"/>
        <v>0</v>
      </c>
      <c r="P50" s="3">
        <f t="shared" si="3"/>
        <v>0</v>
      </c>
      <c r="Q50" s="3">
        <f t="shared" si="3"/>
        <v>0</v>
      </c>
      <c r="R50" s="3">
        <f t="shared" si="3"/>
        <v>0</v>
      </c>
      <c r="S50" s="3">
        <f t="shared" si="3"/>
        <v>0</v>
      </c>
      <c r="T50" s="3">
        <f t="shared" si="3"/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3">
        <f t="shared" si="3"/>
        <v>0</v>
      </c>
      <c r="Y50" s="3">
        <f t="shared" si="3"/>
        <v>0</v>
      </c>
      <c r="Z50" s="3">
        <f t="shared" si="3"/>
        <v>0</v>
      </c>
      <c r="AA50" s="3">
        <f t="shared" si="3"/>
        <v>0</v>
      </c>
      <c r="AB50" s="3">
        <f t="shared" si="3"/>
        <v>0</v>
      </c>
      <c r="AC50" s="3">
        <f t="shared" si="3"/>
        <v>0</v>
      </c>
      <c r="AD50" s="3">
        <f t="shared" si="3"/>
        <v>0</v>
      </c>
      <c r="AE50" s="3">
        <f t="shared" si="3"/>
        <v>0</v>
      </c>
      <c r="AF50" s="3">
        <f t="shared" si="3"/>
        <v>13324</v>
      </c>
      <c r="AG50" s="3">
        <f t="shared" si="3"/>
        <v>0</v>
      </c>
      <c r="AH50" s="3">
        <f t="shared" si="3"/>
        <v>0</v>
      </c>
      <c r="AI50" s="3">
        <f t="shared" si="3"/>
        <v>0</v>
      </c>
      <c r="AJ50" s="3">
        <f t="shared" si="3"/>
        <v>0</v>
      </c>
      <c r="AK50" s="3" t="s">
        <v>13</v>
      </c>
    </row>
    <row r="51" spans="1:37" x14ac:dyDescent="0.35">
      <c r="A51" t="s">
        <v>8</v>
      </c>
      <c r="F51" s="3">
        <f>+F21+F3-F50</f>
        <v>274129.45366946759</v>
      </c>
      <c r="G51" s="3">
        <f t="shared" ref="G51:AJ51" si="4">+G3+G21-G50</f>
        <v>274129.45366946759</v>
      </c>
      <c r="H51" s="3">
        <f t="shared" si="4"/>
        <v>274129.45366946759</v>
      </c>
      <c r="I51" s="3">
        <f t="shared" si="4"/>
        <v>274129.45366946759</v>
      </c>
      <c r="J51" s="3">
        <f t="shared" si="4"/>
        <v>252944.45366946759</v>
      </c>
      <c r="K51" s="3">
        <f t="shared" si="4"/>
        <v>252944.45366946759</v>
      </c>
      <c r="L51" s="3">
        <f t="shared" si="4"/>
        <v>202944.45366946759</v>
      </c>
      <c r="M51" s="3">
        <f t="shared" si="4"/>
        <v>202944.45366946759</v>
      </c>
      <c r="N51" s="3">
        <f t="shared" si="4"/>
        <v>202944.45366946759</v>
      </c>
      <c r="O51" s="3">
        <f t="shared" si="4"/>
        <v>202944.45366946759</v>
      </c>
      <c r="P51" s="3">
        <f t="shared" si="4"/>
        <v>202944.45366946759</v>
      </c>
      <c r="Q51" s="3">
        <f t="shared" si="4"/>
        <v>202944.45366946759</v>
      </c>
      <c r="R51" s="3">
        <f t="shared" si="4"/>
        <v>202944.45366946759</v>
      </c>
      <c r="S51" s="3">
        <f t="shared" si="4"/>
        <v>202944.45366946759</v>
      </c>
      <c r="T51" s="3">
        <f t="shared" si="4"/>
        <v>202944.45366946759</v>
      </c>
      <c r="U51" s="3">
        <f t="shared" si="4"/>
        <v>202944.45366946759</v>
      </c>
      <c r="V51" s="3">
        <f t="shared" si="4"/>
        <v>202944.45366946759</v>
      </c>
      <c r="W51" s="3">
        <f t="shared" si="4"/>
        <v>202944.45366946759</v>
      </c>
      <c r="X51" s="3">
        <f t="shared" si="4"/>
        <v>202944.45366946759</v>
      </c>
      <c r="Y51" s="3">
        <f t="shared" si="4"/>
        <v>202944.45366946759</v>
      </c>
      <c r="Z51" s="3">
        <f t="shared" si="4"/>
        <v>202944.45366946759</v>
      </c>
      <c r="AA51" s="3">
        <f t="shared" si="4"/>
        <v>202944.45366946759</v>
      </c>
      <c r="AB51" s="3">
        <f t="shared" si="4"/>
        <v>202944.45366946759</v>
      </c>
      <c r="AC51" s="3">
        <f t="shared" si="4"/>
        <v>202944.45366946759</v>
      </c>
      <c r="AD51" s="3">
        <f t="shared" si="4"/>
        <v>202944.45366946759</v>
      </c>
      <c r="AE51" s="3">
        <f t="shared" si="4"/>
        <v>202944.45366946759</v>
      </c>
      <c r="AF51" s="3">
        <f t="shared" si="4"/>
        <v>189620.45366946759</v>
      </c>
      <c r="AG51" s="3">
        <f t="shared" si="4"/>
        <v>189620.45366946759</v>
      </c>
      <c r="AH51" s="3">
        <f t="shared" si="4"/>
        <v>189620.45366946759</v>
      </c>
      <c r="AI51" s="3">
        <f t="shared" si="4"/>
        <v>189620.45366946759</v>
      </c>
      <c r="AJ51" s="3">
        <f t="shared" si="4"/>
        <v>189620.45366946759</v>
      </c>
      <c r="AK51" s="3" t="s">
        <v>13</v>
      </c>
    </row>
    <row r="52" spans="1:37" x14ac:dyDescent="0.35">
      <c r="F52" s="3"/>
      <c r="G52" s="3"/>
      <c r="H52" s="3"/>
      <c r="I52" s="3" t="s">
        <v>13</v>
      </c>
      <c r="J52" s="3"/>
      <c r="K52" s="3"/>
      <c r="L52" s="3"/>
      <c r="M52" s="3"/>
      <c r="N52" s="3"/>
      <c r="O52" s="3"/>
      <c r="P52" s="3" t="s">
        <v>13</v>
      </c>
      <c r="Q52" s="3"/>
      <c r="R52" s="3"/>
      <c r="S52" s="3"/>
      <c r="T52" s="3" t="s">
        <v>13</v>
      </c>
      <c r="U52" s="3"/>
      <c r="V52" s="3"/>
      <c r="W52" s="3"/>
      <c r="Y52" s="3" t="s">
        <v>13</v>
      </c>
      <c r="AA52" s="3" t="s">
        <v>13</v>
      </c>
      <c r="AB52" s="3" t="s">
        <v>13</v>
      </c>
    </row>
    <row r="53" spans="1:37" x14ac:dyDescent="0.35">
      <c r="F53" s="3"/>
      <c r="G53" s="3"/>
      <c r="H53" s="3"/>
      <c r="I53" s="3"/>
      <c r="J53" s="3"/>
      <c r="K53" s="3"/>
      <c r="L53" s="3"/>
      <c r="M53" s="3"/>
      <c r="N53" s="3"/>
      <c r="O53" s="3"/>
      <c r="P53" s="3" t="s">
        <v>13</v>
      </c>
      <c r="Q53" s="3" t="s">
        <v>13</v>
      </c>
      <c r="R53" s="3"/>
      <c r="S53" s="3"/>
      <c r="T53" s="3"/>
      <c r="U53" s="3" t="s">
        <v>13</v>
      </c>
      <c r="V53" s="3"/>
      <c r="W53" s="3"/>
      <c r="AB53" s="3" t="s">
        <v>13</v>
      </c>
    </row>
    <row r="54" spans="1:37" x14ac:dyDescent="0.35"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 t="s">
        <v>13</v>
      </c>
      <c r="U54" s="3"/>
      <c r="V54" s="3"/>
      <c r="W54" s="3"/>
      <c r="AB54" s="3" t="s">
        <v>13</v>
      </c>
    </row>
    <row r="55" spans="1:37" ht="15" thickBot="1" x14ac:dyDescent="0.4">
      <c r="E55" s="205" t="s">
        <v>655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 t="s">
        <v>13</v>
      </c>
      <c r="AB55" s="3" t="s">
        <v>13</v>
      </c>
    </row>
    <row r="56" spans="1:37" x14ac:dyDescent="0.35">
      <c r="A56" s="197" t="s">
        <v>339</v>
      </c>
      <c r="B56" s="30"/>
      <c r="C56" s="124">
        <v>44296</v>
      </c>
      <c r="D56" s="198">
        <v>17549</v>
      </c>
      <c r="E56" s="57">
        <v>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AB56" s="3" t="s">
        <v>13</v>
      </c>
    </row>
    <row r="57" spans="1:37" x14ac:dyDescent="0.35">
      <c r="A57" s="199" t="s">
        <v>653</v>
      </c>
      <c r="B57" s="28" t="s">
        <v>654</v>
      </c>
      <c r="C57" s="9">
        <v>44291</v>
      </c>
      <c r="D57" s="10">
        <v>21178</v>
      </c>
      <c r="E57" s="202">
        <v>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AB57" s="3" t="s">
        <v>13</v>
      </c>
    </row>
    <row r="58" spans="1:37" ht="15" thickBot="1" x14ac:dyDescent="0.4">
      <c r="A58" s="200" t="s">
        <v>545</v>
      </c>
      <c r="B58" s="34" t="s">
        <v>544</v>
      </c>
      <c r="C58" s="201">
        <v>44182</v>
      </c>
      <c r="D58" s="18">
        <v>121856</v>
      </c>
      <c r="E58" s="203">
        <v>3</v>
      </c>
    </row>
    <row r="59" spans="1:37" x14ac:dyDescent="0.35">
      <c r="A59" s="193" t="s">
        <v>645</v>
      </c>
      <c r="B59" s="194" t="s">
        <v>13</v>
      </c>
      <c r="C59" s="195">
        <v>44269</v>
      </c>
      <c r="D59" s="196">
        <v>109000</v>
      </c>
      <c r="E59" s="204">
        <v>4</v>
      </c>
    </row>
    <row r="60" spans="1:37" x14ac:dyDescent="0.35">
      <c r="A60" s="50" t="s">
        <v>594</v>
      </c>
      <c r="B60" s="28" t="s">
        <v>595</v>
      </c>
      <c r="C60" s="191">
        <v>44229</v>
      </c>
      <c r="D60" s="192">
        <f>60000*1.19</f>
        <v>71400</v>
      </c>
      <c r="E60" s="51">
        <v>5</v>
      </c>
    </row>
    <row r="61" spans="1:37" x14ac:dyDescent="0.35">
      <c r="A61" s="50" t="s">
        <v>656</v>
      </c>
      <c r="B61" s="28"/>
      <c r="C61" s="9">
        <v>44316</v>
      </c>
      <c r="D61" s="10">
        <v>100000</v>
      </c>
      <c r="E61" s="51">
        <v>6</v>
      </c>
    </row>
    <row r="62" spans="1:37" x14ac:dyDescent="0.35">
      <c r="A62" s="50" t="s">
        <v>633</v>
      </c>
      <c r="B62" s="28" t="s">
        <v>634</v>
      </c>
      <c r="C62" s="191">
        <v>44259</v>
      </c>
      <c r="D62" s="192">
        <v>475030</v>
      </c>
      <c r="E62" s="51">
        <v>7</v>
      </c>
    </row>
    <row r="63" spans="1:37" x14ac:dyDescent="0.35">
      <c r="A63" s="50" t="s">
        <v>635</v>
      </c>
      <c r="B63" s="28" t="s">
        <v>636</v>
      </c>
      <c r="C63" s="191">
        <v>44259</v>
      </c>
      <c r="D63" s="192">
        <f>60000*1.19</f>
        <v>71400</v>
      </c>
      <c r="E63" s="51">
        <v>8</v>
      </c>
    </row>
    <row r="64" spans="1:37" x14ac:dyDescent="0.35">
      <c r="A64" s="50" t="s">
        <v>633</v>
      </c>
      <c r="B64" s="28" t="s">
        <v>652</v>
      </c>
      <c r="C64" s="9">
        <v>44298</v>
      </c>
      <c r="D64" s="192">
        <f>262085*1.19</f>
        <v>311881.14999999997</v>
      </c>
      <c r="E64" s="51">
        <v>9</v>
      </c>
    </row>
    <row r="65" spans="1:5" x14ac:dyDescent="0.35">
      <c r="A65" s="50" t="s">
        <v>603</v>
      </c>
      <c r="B65" s="28" t="s">
        <v>245</v>
      </c>
      <c r="C65" s="191">
        <v>44235</v>
      </c>
      <c r="D65" s="10">
        <f>2216970-400000</f>
        <v>1816970</v>
      </c>
      <c r="E65" s="51">
        <v>10</v>
      </c>
    </row>
    <row r="66" spans="1:5" x14ac:dyDescent="0.35">
      <c r="A66" s="50" t="s">
        <v>549</v>
      </c>
      <c r="B66" s="28" t="s">
        <v>78</v>
      </c>
      <c r="C66" s="191">
        <v>44195</v>
      </c>
      <c r="D66" s="10">
        <v>240975</v>
      </c>
      <c r="E66" s="51">
        <v>11</v>
      </c>
    </row>
  </sheetData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L64"/>
  <sheetViews>
    <sheetView workbookViewId="0"/>
  </sheetViews>
  <sheetFormatPr baseColWidth="10" defaultColWidth="11.08984375" defaultRowHeight="14.5" x14ac:dyDescent="0.35"/>
  <cols>
    <col min="1" max="1" width="39" customWidth="1"/>
    <col min="2" max="2" width="11.1796875" customWidth="1"/>
    <col min="3" max="4" width="13.26953125" customWidth="1"/>
    <col min="5" max="5" width="9.542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44348</v>
      </c>
      <c r="G2" s="1">
        <v>44349</v>
      </c>
      <c r="H2" s="1">
        <v>44350</v>
      </c>
      <c r="I2" s="1">
        <v>44351</v>
      </c>
      <c r="J2" s="1">
        <v>44352</v>
      </c>
      <c r="K2" s="1">
        <v>44353</v>
      </c>
      <c r="L2" s="1">
        <v>44354</v>
      </c>
      <c r="M2" s="1">
        <v>44355</v>
      </c>
      <c r="N2" s="1">
        <v>44356</v>
      </c>
      <c r="O2" s="1">
        <v>44357</v>
      </c>
      <c r="P2" s="1">
        <v>44358</v>
      </c>
      <c r="Q2" s="1">
        <v>44359</v>
      </c>
      <c r="R2" s="1">
        <v>44360</v>
      </c>
      <c r="S2" s="1">
        <v>44361</v>
      </c>
      <c r="T2" s="1">
        <v>44362</v>
      </c>
      <c r="U2" s="1">
        <v>44363</v>
      </c>
      <c r="V2" s="1">
        <v>44364</v>
      </c>
      <c r="W2" s="1">
        <v>44365</v>
      </c>
      <c r="X2" s="1">
        <v>44366</v>
      </c>
      <c r="Y2" s="1">
        <v>44367</v>
      </c>
      <c r="Z2" s="1">
        <v>44368</v>
      </c>
      <c r="AA2" s="1">
        <v>44369</v>
      </c>
      <c r="AB2" s="1">
        <v>44370</v>
      </c>
      <c r="AC2" s="1">
        <v>44371</v>
      </c>
      <c r="AD2" s="1">
        <v>44372</v>
      </c>
      <c r="AE2" s="1">
        <v>44373</v>
      </c>
      <c r="AF2" s="1">
        <v>44374</v>
      </c>
      <c r="AG2" s="1">
        <v>44375</v>
      </c>
      <c r="AH2" s="1">
        <v>44376</v>
      </c>
      <c r="AI2" s="1">
        <v>44377</v>
      </c>
      <c r="AJ2" s="1" t="s">
        <v>13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+'MAY-21'!AJ51</f>
        <v>189620.45366946759</v>
      </c>
      <c r="G3" s="3">
        <f t="shared" ref="G3:AG3" si="0">+F49</f>
        <v>189620.45366946759</v>
      </c>
      <c r="H3" s="3">
        <f t="shared" si="0"/>
        <v>189620.45366946759</v>
      </c>
      <c r="I3" s="3">
        <f t="shared" si="0"/>
        <v>189620.45366946759</v>
      </c>
      <c r="J3" s="3">
        <f t="shared" si="0"/>
        <v>189620.45366946759</v>
      </c>
      <c r="K3" s="3">
        <f t="shared" si="0"/>
        <v>189620.45366946759</v>
      </c>
      <c r="L3" s="3">
        <f t="shared" si="0"/>
        <v>189620.45366946759</v>
      </c>
      <c r="M3" s="3">
        <f t="shared" si="0"/>
        <v>168435.45366946759</v>
      </c>
      <c r="N3" s="3">
        <f t="shared" si="0"/>
        <v>168435.45366946759</v>
      </c>
      <c r="O3" s="3">
        <f t="shared" si="0"/>
        <v>168435.45366946759</v>
      </c>
      <c r="P3" s="3">
        <f t="shared" si="0"/>
        <v>161935.45366946759</v>
      </c>
      <c r="Q3" s="3">
        <f t="shared" si="0"/>
        <v>161935.45366946759</v>
      </c>
      <c r="R3" s="3">
        <f t="shared" si="0"/>
        <v>161935.45366946759</v>
      </c>
      <c r="S3" s="3">
        <f t="shared" si="0"/>
        <v>161935.45366946759</v>
      </c>
      <c r="T3" s="3">
        <f t="shared" si="0"/>
        <v>161935.45366946759</v>
      </c>
      <c r="U3" s="3">
        <f t="shared" si="0"/>
        <v>161935.45366946759</v>
      </c>
      <c r="V3" s="3">
        <f t="shared" si="0"/>
        <v>40079.453669467592</v>
      </c>
      <c r="W3" s="3">
        <f t="shared" si="0"/>
        <v>40079.453669467592</v>
      </c>
      <c r="X3" s="3">
        <f t="shared" si="0"/>
        <v>40079.453669467592</v>
      </c>
      <c r="Y3" s="3">
        <f t="shared" si="0"/>
        <v>40079.453669467592</v>
      </c>
      <c r="Z3" s="3">
        <f t="shared" si="0"/>
        <v>40079.453669467592</v>
      </c>
      <c r="AA3" s="3">
        <f t="shared" si="0"/>
        <v>40079.453669467592</v>
      </c>
      <c r="AB3" s="3">
        <f t="shared" si="0"/>
        <v>10329.453669467592</v>
      </c>
      <c r="AC3" s="3">
        <f t="shared" si="0"/>
        <v>10329.453669467592</v>
      </c>
      <c r="AD3" s="3">
        <f t="shared" si="0"/>
        <v>10329.453669467592</v>
      </c>
      <c r="AE3" s="3">
        <f t="shared" si="0"/>
        <v>10329.453669467592</v>
      </c>
      <c r="AF3" s="3">
        <f t="shared" si="0"/>
        <v>10329.453669467592</v>
      </c>
      <c r="AG3" s="3">
        <f t="shared" si="0"/>
        <v>10329.453669467592</v>
      </c>
      <c r="AH3" s="3">
        <f>+AG49</f>
        <v>10329.453669467592</v>
      </c>
      <c r="AI3" s="3">
        <f>+AH49</f>
        <v>10329.453669467592</v>
      </c>
      <c r="AJ3" s="3" t="s">
        <v>13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I5" s="3">
        <v>0</v>
      </c>
      <c r="AK5" s="3">
        <f>SUM($E5:AI5)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I6" s="3">
        <v>0</v>
      </c>
      <c r="AK6" s="3">
        <f>SUM($E6:AI6)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I7" s="3">
        <v>0</v>
      </c>
      <c r="AK7" s="3">
        <f>SUM($E7:AI7)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I8" s="3">
        <v>0</v>
      </c>
      <c r="AK8" s="3">
        <f>SUM($E8:AI8)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I9" s="3">
        <v>0</v>
      </c>
      <c r="AK9" s="3">
        <f>SUM($E9:AI9)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I10" s="3">
        <v>0</v>
      </c>
      <c r="AK10" s="3">
        <f>SUM($E10:AI10)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I11" s="3">
        <v>0</v>
      </c>
      <c r="AK11" s="3">
        <f>SUM($E11:AI11)</f>
        <v>0</v>
      </c>
      <c r="AL11" s="3" t="s">
        <v>13</v>
      </c>
    </row>
    <row r="12" spans="1:38" x14ac:dyDescent="0.35">
      <c r="A12" t="s">
        <v>662</v>
      </c>
      <c r="B12" t="s">
        <v>661</v>
      </c>
      <c r="C12" s="5">
        <v>44328</v>
      </c>
      <c r="D12" s="3">
        <v>138825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AI12" s="3">
        <v>0</v>
      </c>
      <c r="AJ12" s="3"/>
      <c r="AK12" s="3">
        <f>SUM($E12:AI12)</f>
        <v>0</v>
      </c>
      <c r="AL12" s="3" t="s">
        <v>13</v>
      </c>
    </row>
    <row r="13" spans="1:38" x14ac:dyDescent="0.35">
      <c r="A13" t="s">
        <v>663</v>
      </c>
      <c r="B13" t="s">
        <v>664</v>
      </c>
      <c r="C13" s="5">
        <v>44335</v>
      </c>
      <c r="D13" s="3">
        <v>76160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I13" s="3">
        <v>0</v>
      </c>
      <c r="AJ13" s="3"/>
      <c r="AK13" s="3">
        <f>SUM($E13:AI13)</f>
        <v>0</v>
      </c>
      <c r="AL13" s="3" t="s">
        <v>13</v>
      </c>
    </row>
    <row r="14" spans="1:38" x14ac:dyDescent="0.35">
      <c r="A14" s="173"/>
      <c r="C14" s="5"/>
      <c r="D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B14" t="s">
        <v>13</v>
      </c>
      <c r="AK14" s="72">
        <f>SUM(AK5:AK13)</f>
        <v>0</v>
      </c>
    </row>
    <row r="15" spans="1:38" x14ac:dyDescent="0.35">
      <c r="A15" t="s">
        <v>385</v>
      </c>
      <c r="C15" s="5">
        <v>43980</v>
      </c>
      <c r="D15" s="3">
        <v>10465</v>
      </c>
      <c r="F15" s="3"/>
      <c r="G15" s="3"/>
      <c r="H15" s="3"/>
      <c r="I15" s="3"/>
      <c r="J15" s="3"/>
      <c r="K15" s="3"/>
      <c r="M15" s="3"/>
      <c r="N15" s="3"/>
      <c r="O15" s="3"/>
      <c r="Q15" s="3"/>
      <c r="R15" s="3"/>
      <c r="S15" s="3"/>
      <c r="T15" s="3"/>
      <c r="U15" s="3"/>
      <c r="W15" s="3"/>
      <c r="AG15" s="3" t="s">
        <v>13</v>
      </c>
    </row>
    <row r="16" spans="1:38" x14ac:dyDescent="0.35">
      <c r="A16" t="s">
        <v>60</v>
      </c>
      <c r="D16" s="3">
        <v>0</v>
      </c>
      <c r="F16" s="3" t="s">
        <v>13</v>
      </c>
      <c r="G16" s="3" t="s">
        <v>13</v>
      </c>
      <c r="H16" s="3"/>
      <c r="I16" s="3"/>
      <c r="J16" s="3"/>
      <c r="K16" s="3" t="s">
        <v>13</v>
      </c>
      <c r="M16" s="3"/>
      <c r="N16" s="3"/>
      <c r="O16" s="3" t="s">
        <v>13</v>
      </c>
      <c r="P16" s="3"/>
      <c r="Q16" s="3"/>
      <c r="R16" s="3" t="s">
        <v>13</v>
      </c>
      <c r="S16" s="3"/>
      <c r="T16" s="3"/>
      <c r="U16" s="3"/>
      <c r="V16" s="3"/>
      <c r="W16" s="3"/>
      <c r="Y16" t="s">
        <v>13</v>
      </c>
    </row>
    <row r="17" spans="1:36" x14ac:dyDescent="0.35">
      <c r="A17" t="s">
        <v>1</v>
      </c>
      <c r="F17" s="3"/>
      <c r="G17" s="3" t="s">
        <v>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6" x14ac:dyDescent="0.35">
      <c r="A18" t="s">
        <v>478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 t="s">
        <v>13</v>
      </c>
      <c r="S18" s="3"/>
      <c r="T18" s="3"/>
      <c r="U18" s="3"/>
      <c r="V18" s="3"/>
      <c r="W18" s="3"/>
    </row>
    <row r="19" spans="1:36" x14ac:dyDescent="0.35"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6" x14ac:dyDescent="0.35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6" x14ac:dyDescent="0.35">
      <c r="A21" s="2" t="s">
        <v>6</v>
      </c>
      <c r="F21" s="3">
        <f t="shared" ref="F21:AJ21" si="1">SUM(F5:F20)</f>
        <v>0</v>
      </c>
      <c r="G21" s="3">
        <f t="shared" si="1"/>
        <v>0</v>
      </c>
      <c r="H21" s="3">
        <f t="shared" si="1"/>
        <v>0</v>
      </c>
      <c r="I21" s="3">
        <f t="shared" si="1"/>
        <v>0</v>
      </c>
      <c r="J21" s="3">
        <f t="shared" si="1"/>
        <v>0</v>
      </c>
      <c r="K21" s="3">
        <f t="shared" si="1"/>
        <v>0</v>
      </c>
      <c r="L21" s="3">
        <f t="shared" si="1"/>
        <v>0</v>
      </c>
      <c r="M21" s="3">
        <f t="shared" si="1"/>
        <v>0</v>
      </c>
      <c r="N21" s="3">
        <f t="shared" si="1"/>
        <v>0</v>
      </c>
      <c r="O21" s="3">
        <f t="shared" si="1"/>
        <v>0</v>
      </c>
      <c r="P21" s="3">
        <f t="shared" si="1"/>
        <v>0</v>
      </c>
      <c r="Q21" s="3">
        <f t="shared" si="1"/>
        <v>0</v>
      </c>
      <c r="R21" s="3">
        <f t="shared" si="1"/>
        <v>0</v>
      </c>
      <c r="S21" s="3">
        <f t="shared" si="1"/>
        <v>0</v>
      </c>
      <c r="T21" s="3">
        <f t="shared" si="1"/>
        <v>0</v>
      </c>
      <c r="U21" s="3">
        <f t="shared" si="1"/>
        <v>0</v>
      </c>
      <c r="V21" s="3">
        <f t="shared" si="1"/>
        <v>0</v>
      </c>
      <c r="W21" s="3">
        <f t="shared" si="1"/>
        <v>0</v>
      </c>
      <c r="X21" s="3">
        <f t="shared" si="1"/>
        <v>0</v>
      </c>
      <c r="Y21" s="3">
        <f t="shared" si="1"/>
        <v>0</v>
      </c>
      <c r="Z21" s="3">
        <f t="shared" si="1"/>
        <v>0</v>
      </c>
      <c r="AA21" s="3">
        <f t="shared" si="1"/>
        <v>0</v>
      </c>
      <c r="AB21" s="3">
        <f t="shared" si="1"/>
        <v>0</v>
      </c>
      <c r="AC21" s="3">
        <f t="shared" si="1"/>
        <v>0</v>
      </c>
      <c r="AD21" s="3">
        <f t="shared" si="1"/>
        <v>0</v>
      </c>
      <c r="AE21" s="3">
        <f t="shared" si="1"/>
        <v>0</v>
      </c>
      <c r="AF21" s="3">
        <f t="shared" si="1"/>
        <v>0</v>
      </c>
      <c r="AG21" s="3">
        <f t="shared" si="1"/>
        <v>0</v>
      </c>
      <c r="AH21" s="3">
        <f t="shared" si="1"/>
        <v>0</v>
      </c>
      <c r="AI21" s="3">
        <f t="shared" si="1"/>
        <v>0</v>
      </c>
      <c r="AJ21" s="3">
        <f t="shared" si="1"/>
        <v>0</v>
      </c>
    </row>
    <row r="22" spans="1:36" x14ac:dyDescent="0.35">
      <c r="A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6" x14ac:dyDescent="0.35">
      <c r="A23" s="2" t="s">
        <v>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6" x14ac:dyDescent="0.35">
      <c r="A24" s="4" t="s">
        <v>409</v>
      </c>
      <c r="B24" s="24" t="s">
        <v>337</v>
      </c>
      <c r="C24" s="67"/>
      <c r="D24" s="3">
        <f>500000/2</f>
        <v>250000</v>
      </c>
      <c r="F24" s="3"/>
      <c r="G24" s="3"/>
      <c r="H24" s="3"/>
      <c r="I24" s="3"/>
      <c r="K24" s="3"/>
      <c r="L24" s="3"/>
      <c r="M24" s="3"/>
      <c r="P24" s="3"/>
      <c r="Q24" s="3"/>
      <c r="R24" s="3"/>
      <c r="S24" s="3"/>
      <c r="T24" s="3"/>
      <c r="U24" s="3"/>
      <c r="V24" s="3"/>
      <c r="W24" s="3"/>
      <c r="AJ24" s="3">
        <v>0</v>
      </c>
    </row>
    <row r="25" spans="1:36" x14ac:dyDescent="0.35">
      <c r="A25" s="4" t="s">
        <v>410</v>
      </c>
      <c r="B25" s="24" t="s">
        <v>337</v>
      </c>
      <c r="C25" s="67"/>
      <c r="D25" s="3">
        <f>500000/2</f>
        <v>250000</v>
      </c>
      <c r="F25" s="3"/>
      <c r="G25" s="3"/>
      <c r="H25" s="3"/>
      <c r="I25" s="3"/>
      <c r="J25" t="s">
        <v>13</v>
      </c>
      <c r="K25" s="3"/>
      <c r="L25" s="3"/>
      <c r="M25" s="3"/>
      <c r="P25" s="3"/>
      <c r="Q25" s="3"/>
      <c r="R25" s="3"/>
      <c r="S25" s="3"/>
      <c r="T25" s="3"/>
      <c r="U25" s="3"/>
      <c r="V25" s="3"/>
      <c r="W25" s="3"/>
      <c r="AJ25" s="3">
        <f>SUM(F24:AI24)</f>
        <v>0</v>
      </c>
    </row>
    <row r="26" spans="1:36" x14ac:dyDescent="0.35">
      <c r="A26" s="4" t="s">
        <v>411</v>
      </c>
      <c r="B26" s="24" t="s">
        <v>337</v>
      </c>
      <c r="C26" s="67"/>
      <c r="D26" s="3">
        <f>500000/2</f>
        <v>250000</v>
      </c>
      <c r="F26" s="3"/>
      <c r="G26" s="3"/>
      <c r="H26" s="3"/>
      <c r="I26" s="3"/>
      <c r="K26" s="3"/>
      <c r="L26" s="3"/>
      <c r="M26" s="3"/>
      <c r="P26" s="3"/>
      <c r="Q26" s="3"/>
      <c r="R26" s="3"/>
      <c r="S26" s="3"/>
      <c r="T26" s="3"/>
      <c r="U26" s="3"/>
      <c r="V26" s="3"/>
      <c r="W26" s="3"/>
      <c r="AJ26" s="3">
        <v>0</v>
      </c>
    </row>
    <row r="27" spans="1:36" x14ac:dyDescent="0.35">
      <c r="A27" s="4" t="s">
        <v>492</v>
      </c>
      <c r="B27" s="24" t="s">
        <v>337</v>
      </c>
      <c r="C27" s="67"/>
      <c r="D27" s="3">
        <v>250000</v>
      </c>
      <c r="F27" s="3"/>
      <c r="G27" s="3"/>
      <c r="H27" s="3"/>
      <c r="I27" s="3"/>
      <c r="K27" s="3"/>
      <c r="L27" s="3"/>
      <c r="M27" s="3"/>
      <c r="P27" s="3"/>
      <c r="Q27" s="3"/>
      <c r="R27" s="3"/>
      <c r="S27" s="3"/>
      <c r="T27" s="3"/>
      <c r="U27" s="3"/>
      <c r="V27" s="3"/>
      <c r="W27" s="3"/>
      <c r="AJ27" s="3">
        <v>0</v>
      </c>
    </row>
    <row r="28" spans="1:36" x14ac:dyDescent="0.35">
      <c r="A28" s="4" t="s">
        <v>494</v>
      </c>
      <c r="B28" s="24" t="s">
        <v>337</v>
      </c>
      <c r="C28" s="67"/>
      <c r="D28" s="3">
        <v>500000</v>
      </c>
      <c r="F28" s="3"/>
      <c r="G28" s="3"/>
      <c r="H28" s="3"/>
      <c r="I28" s="3"/>
      <c r="K28" s="3"/>
      <c r="L28" s="3"/>
      <c r="M28" s="3"/>
      <c r="P28" s="3"/>
      <c r="Q28" s="3"/>
      <c r="R28" s="3"/>
      <c r="S28" s="3"/>
      <c r="T28" s="3"/>
      <c r="U28" s="3"/>
      <c r="V28" s="3"/>
      <c r="W28" s="3"/>
      <c r="AJ28" s="3">
        <v>0</v>
      </c>
    </row>
    <row r="29" spans="1:36" x14ac:dyDescent="0.35">
      <c r="A29" s="4" t="s">
        <v>495</v>
      </c>
      <c r="B29" s="24" t="s">
        <v>337</v>
      </c>
      <c r="C29" s="67"/>
      <c r="D29" s="3">
        <v>500000</v>
      </c>
      <c r="F29" s="3"/>
      <c r="G29" s="3"/>
      <c r="H29" s="3"/>
      <c r="I29" s="3"/>
      <c r="K29" s="3"/>
      <c r="L29" s="3"/>
      <c r="M29" s="104" t="s">
        <v>13</v>
      </c>
      <c r="P29" s="3"/>
      <c r="Q29" s="3"/>
      <c r="R29" s="3"/>
      <c r="S29" s="3"/>
      <c r="T29" s="3"/>
      <c r="U29" s="3"/>
      <c r="V29" s="3"/>
      <c r="W29" s="3"/>
      <c r="AJ29" s="3">
        <v>0</v>
      </c>
    </row>
    <row r="30" spans="1:36" x14ac:dyDescent="0.35">
      <c r="A30" s="4" t="s">
        <v>541</v>
      </c>
      <c r="B30" s="24" t="s">
        <v>337</v>
      </c>
      <c r="C30" s="67"/>
      <c r="D30" s="3">
        <v>500000</v>
      </c>
      <c r="F30" s="3"/>
      <c r="G30" s="3"/>
      <c r="H30" s="3"/>
      <c r="I30" s="3"/>
      <c r="K30" s="3"/>
      <c r="L30" s="3"/>
      <c r="M30" s="3"/>
      <c r="P30" s="3"/>
      <c r="Q30" s="3"/>
      <c r="R30" s="3"/>
      <c r="S30" s="3"/>
      <c r="T30" s="3"/>
      <c r="U30" s="3"/>
      <c r="V30" s="3"/>
      <c r="W30" s="3"/>
      <c r="AJ30" s="3">
        <v>0</v>
      </c>
    </row>
    <row r="31" spans="1:36" x14ac:dyDescent="0.35">
      <c r="A31" s="4" t="s">
        <v>576</v>
      </c>
      <c r="B31" s="24" t="s">
        <v>337</v>
      </c>
      <c r="C31" s="67"/>
      <c r="D31" s="3">
        <v>500000</v>
      </c>
      <c r="H31" t="s">
        <v>13</v>
      </c>
      <c r="I31" t="s">
        <v>13</v>
      </c>
      <c r="L31" s="3"/>
      <c r="M31" s="3"/>
      <c r="P31" s="3"/>
      <c r="Q31" s="3"/>
      <c r="AJ31" s="3">
        <v>0</v>
      </c>
    </row>
    <row r="32" spans="1:36" x14ac:dyDescent="0.35">
      <c r="A32" s="4" t="s">
        <v>629</v>
      </c>
      <c r="B32" s="24" t="s">
        <v>337</v>
      </c>
      <c r="C32" s="67"/>
      <c r="D32" s="3">
        <v>500000</v>
      </c>
      <c r="L32" s="3"/>
      <c r="M32" s="3"/>
      <c r="P32" s="3"/>
      <c r="Q32" s="3"/>
      <c r="AG32" s="3"/>
      <c r="AJ32" s="3">
        <v>0</v>
      </c>
    </row>
    <row r="33" spans="1:37" x14ac:dyDescent="0.35">
      <c r="A33" s="4" t="s">
        <v>646</v>
      </c>
      <c r="B33" s="24" t="s">
        <v>337</v>
      </c>
      <c r="C33" s="67"/>
      <c r="D33" s="3">
        <v>250000</v>
      </c>
      <c r="H33" t="s">
        <v>13</v>
      </c>
      <c r="L33" s="3"/>
      <c r="M33" s="3"/>
      <c r="P33" s="3"/>
      <c r="Q33" s="3"/>
      <c r="AG33" s="3"/>
      <c r="AJ33" s="3"/>
    </row>
    <row r="34" spans="1:37" x14ac:dyDescent="0.35">
      <c r="A34" t="s">
        <v>644</v>
      </c>
      <c r="B34" t="s">
        <v>337</v>
      </c>
      <c r="C34" s="5" t="s">
        <v>13</v>
      </c>
      <c r="D34" s="3">
        <f>+'MAR-21'!AK19*0.17</f>
        <v>93733.693333333329</v>
      </c>
      <c r="G34" s="3" t="s">
        <v>13</v>
      </c>
      <c r="H34" t="s">
        <v>13</v>
      </c>
      <c r="L34" s="3"/>
      <c r="M34" s="3"/>
      <c r="P34" s="3"/>
      <c r="Q34" s="3"/>
      <c r="AG34" s="3"/>
    </row>
    <row r="35" spans="1:37" x14ac:dyDescent="0.35">
      <c r="A35" s="4" t="s">
        <v>545</v>
      </c>
      <c r="B35" s="24" t="s">
        <v>544</v>
      </c>
      <c r="C35" s="67">
        <v>44182</v>
      </c>
      <c r="D35" s="3">
        <v>121856</v>
      </c>
      <c r="E35" s="153" t="s">
        <v>13</v>
      </c>
      <c r="F35" s="3"/>
      <c r="G35" s="3" t="s">
        <v>13</v>
      </c>
      <c r="H35" s="3" t="s">
        <v>13</v>
      </c>
      <c r="I35" s="3"/>
      <c r="J35" s="3"/>
      <c r="K35" s="3"/>
      <c r="L35" s="3"/>
      <c r="M35" s="3"/>
      <c r="N35" s="3"/>
      <c r="O35" s="3"/>
      <c r="P35" s="3" t="s">
        <v>13</v>
      </c>
      <c r="Q35" s="3" t="s">
        <v>13</v>
      </c>
      <c r="R35" s="3"/>
      <c r="S35" s="3"/>
      <c r="T35" s="3"/>
      <c r="U35" s="3">
        <v>121856</v>
      </c>
      <c r="V35" s="3"/>
      <c r="W35" s="3"/>
      <c r="Y35" s="3"/>
    </row>
    <row r="36" spans="1:37" x14ac:dyDescent="0.35">
      <c r="A36" s="4" t="s">
        <v>549</v>
      </c>
      <c r="B36" s="24" t="s">
        <v>78</v>
      </c>
      <c r="C36" s="67">
        <v>44195</v>
      </c>
      <c r="D36" s="3">
        <v>240975</v>
      </c>
      <c r="E36" s="15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/>
    </row>
    <row r="37" spans="1:37" x14ac:dyDescent="0.35">
      <c r="A37" s="4" t="s">
        <v>594</v>
      </c>
      <c r="B37" s="24" t="s">
        <v>595</v>
      </c>
      <c r="C37" s="67">
        <v>44229</v>
      </c>
      <c r="D37" s="71">
        <f>60000*1.19</f>
        <v>71400</v>
      </c>
      <c r="E37" s="153" t="s">
        <v>139</v>
      </c>
      <c r="F37" s="3"/>
      <c r="G37" s="3"/>
      <c r="H37" s="3"/>
      <c r="I37" s="3"/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W37" s="3"/>
      <c r="Y37" s="3"/>
    </row>
    <row r="38" spans="1:37" x14ac:dyDescent="0.35">
      <c r="A38" s="4" t="s">
        <v>603</v>
      </c>
      <c r="B38" s="24" t="s">
        <v>245</v>
      </c>
      <c r="C38" s="67">
        <v>44235</v>
      </c>
      <c r="D38" s="3">
        <f>2216970-'MAR-21'!$H$45</f>
        <v>1816970</v>
      </c>
      <c r="E38" s="153" t="s">
        <v>13</v>
      </c>
      <c r="F38" s="3"/>
      <c r="G38" s="3" t="s">
        <v>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Y38" s="3"/>
      <c r="AJ38" s="3" t="s">
        <v>13</v>
      </c>
    </row>
    <row r="39" spans="1:37" x14ac:dyDescent="0.35">
      <c r="A39" s="4" t="s">
        <v>633</v>
      </c>
      <c r="B39" s="24" t="s">
        <v>634</v>
      </c>
      <c r="C39" s="67">
        <v>44259</v>
      </c>
      <c r="D39" s="71">
        <v>475030</v>
      </c>
      <c r="E39" s="153" t="s">
        <v>139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Y39" s="3"/>
    </row>
    <row r="40" spans="1:37" x14ac:dyDescent="0.35">
      <c r="A40" s="4" t="s">
        <v>635</v>
      </c>
      <c r="B40" s="24" t="s">
        <v>636</v>
      </c>
      <c r="C40" s="67">
        <v>44259</v>
      </c>
      <c r="D40" s="71">
        <f>60000*1.19</f>
        <v>71400</v>
      </c>
      <c r="E40" s="153" t="s">
        <v>139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</row>
    <row r="41" spans="1:37" x14ac:dyDescent="0.35">
      <c r="A41" s="4" t="s">
        <v>726</v>
      </c>
      <c r="B41" s="24" t="s">
        <v>652</v>
      </c>
      <c r="C41" s="5">
        <v>44298</v>
      </c>
      <c r="D41" s="71">
        <f>262085*1.19</f>
        <v>311881.14999999997</v>
      </c>
      <c r="E41" s="153" t="s">
        <v>139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</row>
    <row r="42" spans="1:37" x14ac:dyDescent="0.35">
      <c r="A42" s="4" t="s">
        <v>653</v>
      </c>
      <c r="B42" s="24" t="s">
        <v>668</v>
      </c>
      <c r="C42" s="5">
        <v>44354</v>
      </c>
      <c r="D42" s="3">
        <v>21185</v>
      </c>
      <c r="E42" t="s">
        <v>705</v>
      </c>
      <c r="F42" s="3"/>
      <c r="G42" s="3"/>
      <c r="H42" s="3"/>
      <c r="I42" s="3"/>
      <c r="J42" s="3" t="s">
        <v>13</v>
      </c>
      <c r="K42" s="3"/>
      <c r="L42" s="3">
        <v>21185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I42" s="3"/>
    </row>
    <row r="43" spans="1:37" x14ac:dyDescent="0.35">
      <c r="A43" s="4" t="s">
        <v>666</v>
      </c>
      <c r="B43" s="24"/>
      <c r="C43" s="5">
        <v>44357</v>
      </c>
      <c r="D43" s="3">
        <v>226</v>
      </c>
      <c r="E43" s="153" t="s">
        <v>706</v>
      </c>
      <c r="F43" s="3"/>
      <c r="G43" s="3"/>
      <c r="H43" s="3"/>
      <c r="I43" s="3"/>
      <c r="J43" s="3"/>
      <c r="K43" s="3"/>
      <c r="L43" s="3"/>
      <c r="M43" s="3"/>
      <c r="N43" s="3"/>
      <c r="O43" s="3">
        <v>226</v>
      </c>
      <c r="P43" s="3"/>
      <c r="Q43" s="3"/>
      <c r="R43" s="3"/>
      <c r="S43" s="3"/>
      <c r="T43" s="3"/>
      <c r="U43" s="3"/>
      <c r="V43" s="3"/>
      <c r="W43" s="3"/>
      <c r="Y43" s="3"/>
      <c r="AI43" s="3"/>
    </row>
    <row r="44" spans="1:37" x14ac:dyDescent="0.35">
      <c r="A44" s="4" t="s">
        <v>667</v>
      </c>
      <c r="B44" s="24" t="s">
        <v>670</v>
      </c>
      <c r="C44" s="5">
        <v>44357</v>
      </c>
      <c r="D44" s="3">
        <v>6274</v>
      </c>
      <c r="E44" s="153" t="s">
        <v>706</v>
      </c>
      <c r="F44" s="3"/>
      <c r="G44" s="3"/>
      <c r="H44" s="3"/>
      <c r="I44" s="3"/>
      <c r="J44" s="3"/>
      <c r="K44" s="3"/>
      <c r="L44" s="3"/>
      <c r="M44" s="3"/>
      <c r="N44" s="3"/>
      <c r="O44" s="3">
        <v>6274</v>
      </c>
      <c r="P44" s="3"/>
      <c r="Q44" s="3"/>
      <c r="R44" s="3"/>
      <c r="S44" s="3"/>
      <c r="T44" s="3"/>
      <c r="U44" s="3"/>
      <c r="V44" s="3"/>
      <c r="W44" s="3"/>
      <c r="Y44" s="3"/>
      <c r="AI44" s="3"/>
    </row>
    <row r="45" spans="1:37" x14ac:dyDescent="0.35">
      <c r="A45" s="4" t="s">
        <v>707</v>
      </c>
      <c r="B45" s="24" t="s">
        <v>708</v>
      </c>
      <c r="C45" s="5">
        <v>44369</v>
      </c>
      <c r="D45" s="3">
        <v>29750</v>
      </c>
      <c r="E45" s="153" t="s">
        <v>706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A45" s="3">
        <v>29750</v>
      </c>
    </row>
    <row r="46" spans="1:37" x14ac:dyDescent="0.35">
      <c r="A46" s="4"/>
      <c r="B46" s="2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</row>
    <row r="47" spans="1:37" x14ac:dyDescent="0.35">
      <c r="A47" s="4"/>
      <c r="B47" s="24"/>
      <c r="C47" s="177" t="s">
        <v>637</v>
      </c>
      <c r="D47" s="106">
        <f>+SUMIF(E35:E41,"x",D35:D41)</f>
        <v>929711.14999999991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</row>
    <row r="48" spans="1:37" x14ac:dyDescent="0.35">
      <c r="A48" s="2" t="s">
        <v>9</v>
      </c>
      <c r="F48" s="3">
        <f t="shared" ref="F48:AI48" si="2">SUM(F24:F47)</f>
        <v>0</v>
      </c>
      <c r="G48" s="3">
        <f t="shared" si="2"/>
        <v>0</v>
      </c>
      <c r="H48" s="3">
        <f t="shared" si="2"/>
        <v>0</v>
      </c>
      <c r="I48" s="3">
        <f t="shared" si="2"/>
        <v>0</v>
      </c>
      <c r="J48" s="3">
        <f t="shared" si="2"/>
        <v>0</v>
      </c>
      <c r="K48" s="3">
        <f t="shared" si="2"/>
        <v>0</v>
      </c>
      <c r="L48" s="3">
        <f t="shared" si="2"/>
        <v>21185</v>
      </c>
      <c r="M48" s="3">
        <f t="shared" si="2"/>
        <v>0</v>
      </c>
      <c r="N48" s="3">
        <f t="shared" si="2"/>
        <v>0</v>
      </c>
      <c r="O48" s="3">
        <f t="shared" si="2"/>
        <v>6500</v>
      </c>
      <c r="P48" s="3">
        <f t="shared" si="2"/>
        <v>0</v>
      </c>
      <c r="Q48" s="3">
        <f t="shared" si="2"/>
        <v>0</v>
      </c>
      <c r="R48" s="3">
        <f t="shared" si="2"/>
        <v>0</v>
      </c>
      <c r="S48" s="3">
        <f t="shared" si="2"/>
        <v>0</v>
      </c>
      <c r="T48" s="3">
        <f t="shared" si="2"/>
        <v>0</v>
      </c>
      <c r="U48" s="3">
        <f t="shared" si="2"/>
        <v>121856</v>
      </c>
      <c r="V48" s="3">
        <f t="shared" si="2"/>
        <v>0</v>
      </c>
      <c r="W48" s="3">
        <f t="shared" si="2"/>
        <v>0</v>
      </c>
      <c r="X48" s="3">
        <f t="shared" si="2"/>
        <v>0</v>
      </c>
      <c r="Y48" s="3">
        <f t="shared" si="2"/>
        <v>0</v>
      </c>
      <c r="Z48" s="3">
        <f t="shared" si="2"/>
        <v>0</v>
      </c>
      <c r="AA48" s="3">
        <f t="shared" si="2"/>
        <v>29750</v>
      </c>
      <c r="AB48" s="3">
        <f t="shared" si="2"/>
        <v>0</v>
      </c>
      <c r="AC48" s="3">
        <f t="shared" si="2"/>
        <v>0</v>
      </c>
      <c r="AD48" s="3">
        <f t="shared" si="2"/>
        <v>0</v>
      </c>
      <c r="AE48" s="3">
        <f t="shared" si="2"/>
        <v>0</v>
      </c>
      <c r="AF48" s="3">
        <f t="shared" si="2"/>
        <v>0</v>
      </c>
      <c r="AG48" s="3">
        <f t="shared" si="2"/>
        <v>0</v>
      </c>
      <c r="AH48" s="3">
        <f t="shared" si="2"/>
        <v>0</v>
      </c>
      <c r="AI48" s="3">
        <f t="shared" si="2"/>
        <v>0</v>
      </c>
      <c r="AJ48" s="3" t="s">
        <v>13</v>
      </c>
      <c r="AK48" s="3" t="s">
        <v>13</v>
      </c>
    </row>
    <row r="49" spans="1:37" x14ac:dyDescent="0.35">
      <c r="A49" t="s">
        <v>8</v>
      </c>
      <c r="F49" s="3">
        <f>+F21+F3-F48</f>
        <v>189620.45366946759</v>
      </c>
      <c r="G49" s="3">
        <f t="shared" ref="G49:AI49" si="3">+G3+G21-G48</f>
        <v>189620.45366946759</v>
      </c>
      <c r="H49" s="3">
        <f t="shared" si="3"/>
        <v>189620.45366946759</v>
      </c>
      <c r="I49" s="3">
        <f t="shared" si="3"/>
        <v>189620.45366946759</v>
      </c>
      <c r="J49" s="3">
        <f t="shared" si="3"/>
        <v>189620.45366946759</v>
      </c>
      <c r="K49" s="3">
        <f t="shared" si="3"/>
        <v>189620.45366946759</v>
      </c>
      <c r="L49" s="3">
        <f t="shared" si="3"/>
        <v>168435.45366946759</v>
      </c>
      <c r="M49" s="3">
        <f t="shared" si="3"/>
        <v>168435.45366946759</v>
      </c>
      <c r="N49" s="3">
        <f t="shared" si="3"/>
        <v>168435.45366946759</v>
      </c>
      <c r="O49" s="3">
        <f t="shared" si="3"/>
        <v>161935.45366946759</v>
      </c>
      <c r="P49" s="3">
        <f t="shared" si="3"/>
        <v>161935.45366946759</v>
      </c>
      <c r="Q49" s="3">
        <f t="shared" si="3"/>
        <v>161935.45366946759</v>
      </c>
      <c r="R49" s="3">
        <f t="shared" si="3"/>
        <v>161935.45366946759</v>
      </c>
      <c r="S49" s="3">
        <f t="shared" si="3"/>
        <v>161935.45366946759</v>
      </c>
      <c r="T49" s="3">
        <f t="shared" si="3"/>
        <v>161935.45366946759</v>
      </c>
      <c r="U49" s="3">
        <f t="shared" si="3"/>
        <v>40079.453669467592</v>
      </c>
      <c r="V49" s="3">
        <f t="shared" si="3"/>
        <v>40079.453669467592</v>
      </c>
      <c r="W49" s="3">
        <f t="shared" si="3"/>
        <v>40079.453669467592</v>
      </c>
      <c r="X49" s="3">
        <f t="shared" si="3"/>
        <v>40079.453669467592</v>
      </c>
      <c r="Y49" s="3">
        <f t="shared" si="3"/>
        <v>40079.453669467592</v>
      </c>
      <c r="Z49" s="3">
        <f t="shared" si="3"/>
        <v>40079.453669467592</v>
      </c>
      <c r="AA49" s="3">
        <f t="shared" si="3"/>
        <v>10329.453669467592</v>
      </c>
      <c r="AB49" s="3">
        <f t="shared" si="3"/>
        <v>10329.453669467592</v>
      </c>
      <c r="AC49" s="3">
        <f t="shared" si="3"/>
        <v>10329.453669467592</v>
      </c>
      <c r="AD49" s="3">
        <f t="shared" si="3"/>
        <v>10329.453669467592</v>
      </c>
      <c r="AE49" s="3">
        <f t="shared" si="3"/>
        <v>10329.453669467592</v>
      </c>
      <c r="AF49" s="3">
        <f t="shared" si="3"/>
        <v>10329.453669467592</v>
      </c>
      <c r="AG49" s="3">
        <f t="shared" si="3"/>
        <v>10329.453669467592</v>
      </c>
      <c r="AH49" s="3">
        <f t="shared" si="3"/>
        <v>10329.453669467592</v>
      </c>
      <c r="AI49" s="3">
        <f t="shared" si="3"/>
        <v>10329.453669467592</v>
      </c>
      <c r="AJ49" s="3" t="s">
        <v>13</v>
      </c>
      <c r="AK49" s="3" t="s">
        <v>13</v>
      </c>
    </row>
    <row r="50" spans="1:37" x14ac:dyDescent="0.35">
      <c r="F50" s="3"/>
      <c r="G50" s="3"/>
      <c r="H50" s="3"/>
      <c r="I50" s="3" t="s">
        <v>13</v>
      </c>
      <c r="J50" s="3"/>
      <c r="K50" s="3"/>
      <c r="L50" s="3"/>
      <c r="M50" s="3"/>
      <c r="N50" s="3"/>
      <c r="O50" s="3"/>
      <c r="P50" s="3" t="s">
        <v>13</v>
      </c>
      <c r="Q50" s="3"/>
      <c r="R50" s="3"/>
      <c r="S50" s="3"/>
      <c r="T50" s="3" t="s">
        <v>13</v>
      </c>
      <c r="U50" s="3"/>
      <c r="V50" s="3"/>
      <c r="W50" s="3"/>
      <c r="Y50" s="3" t="s">
        <v>13</v>
      </c>
      <c r="AA50" s="3" t="s">
        <v>13</v>
      </c>
      <c r="AB50" s="3" t="s">
        <v>13</v>
      </c>
    </row>
    <row r="51" spans="1:37" x14ac:dyDescent="0.35"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13</v>
      </c>
      <c r="Q51" s="3" t="s">
        <v>13</v>
      </c>
      <c r="R51" s="3"/>
      <c r="S51" s="3"/>
      <c r="T51" s="3"/>
      <c r="U51" s="3" t="s">
        <v>13</v>
      </c>
      <c r="V51" s="3"/>
      <c r="W51" s="3"/>
      <c r="AB51" s="3" t="s">
        <v>13</v>
      </c>
    </row>
    <row r="52" spans="1:37" x14ac:dyDescent="0.35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13</v>
      </c>
      <c r="U52" s="3"/>
      <c r="V52" s="3"/>
      <c r="W52" s="3"/>
      <c r="AB52" s="3" t="s">
        <v>13</v>
      </c>
    </row>
    <row r="53" spans="1:37" ht="15" thickBot="1" x14ac:dyDescent="0.4">
      <c r="E53" s="205" t="s">
        <v>655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 t="s">
        <v>13</v>
      </c>
      <c r="AB53" s="3" t="s">
        <v>13</v>
      </c>
    </row>
    <row r="54" spans="1:37" x14ac:dyDescent="0.35">
      <c r="A54" s="197" t="s">
        <v>339</v>
      </c>
      <c r="B54" s="30"/>
      <c r="C54" s="124">
        <v>44296</v>
      </c>
      <c r="D54" s="198">
        <v>17549</v>
      </c>
      <c r="E54" s="57">
        <v>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AB54" s="3" t="s">
        <v>13</v>
      </c>
    </row>
    <row r="55" spans="1:37" x14ac:dyDescent="0.35">
      <c r="A55" s="199" t="s">
        <v>653</v>
      </c>
      <c r="B55" s="28" t="s">
        <v>654</v>
      </c>
      <c r="C55" s="9">
        <v>44291</v>
      </c>
      <c r="D55" s="10">
        <v>21178</v>
      </c>
      <c r="E55" s="202">
        <v>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AB55" s="3" t="s">
        <v>13</v>
      </c>
    </row>
    <row r="56" spans="1:37" ht="15" thickBot="1" x14ac:dyDescent="0.4">
      <c r="A56" s="200" t="s">
        <v>545</v>
      </c>
      <c r="B56" s="34" t="s">
        <v>544</v>
      </c>
      <c r="C56" s="201">
        <v>44182</v>
      </c>
      <c r="D56" s="18">
        <v>121856</v>
      </c>
      <c r="E56" s="203">
        <v>3</v>
      </c>
    </row>
    <row r="57" spans="1:37" x14ac:dyDescent="0.35">
      <c r="A57" s="193" t="s">
        <v>645</v>
      </c>
      <c r="B57" s="194" t="s">
        <v>13</v>
      </c>
      <c r="C57" s="195">
        <v>44269</v>
      </c>
      <c r="D57" s="196">
        <v>109000</v>
      </c>
      <c r="E57" s="204">
        <v>4</v>
      </c>
    </row>
    <row r="58" spans="1:37" x14ac:dyDescent="0.35">
      <c r="A58" s="50" t="s">
        <v>594</v>
      </c>
      <c r="B58" s="28" t="s">
        <v>595</v>
      </c>
      <c r="C58" s="191">
        <v>44229</v>
      </c>
      <c r="D58" s="192">
        <f>60000*1.19</f>
        <v>71400</v>
      </c>
      <c r="E58" s="51">
        <v>5</v>
      </c>
    </row>
    <row r="59" spans="1:37" x14ac:dyDescent="0.35">
      <c r="A59" s="50" t="s">
        <v>656</v>
      </c>
      <c r="B59" s="28"/>
      <c r="C59" s="9">
        <v>44316</v>
      </c>
      <c r="D59" s="10">
        <v>100000</v>
      </c>
      <c r="E59" s="51">
        <v>6</v>
      </c>
    </row>
    <row r="60" spans="1:37" x14ac:dyDescent="0.35">
      <c r="A60" s="50" t="s">
        <v>633</v>
      </c>
      <c r="B60" s="28" t="s">
        <v>634</v>
      </c>
      <c r="C60" s="191">
        <v>44259</v>
      </c>
      <c r="D60" s="192">
        <v>475030</v>
      </c>
      <c r="E60" s="51">
        <v>7</v>
      </c>
    </row>
    <row r="61" spans="1:37" x14ac:dyDescent="0.35">
      <c r="A61" s="50" t="s">
        <v>635</v>
      </c>
      <c r="B61" s="28" t="s">
        <v>636</v>
      </c>
      <c r="C61" s="191">
        <v>44259</v>
      </c>
      <c r="D61" s="192">
        <f>60000*1.19</f>
        <v>71400</v>
      </c>
      <c r="E61" s="51">
        <v>8</v>
      </c>
    </row>
    <row r="62" spans="1:37" x14ac:dyDescent="0.35">
      <c r="A62" s="50" t="s">
        <v>633</v>
      </c>
      <c r="B62" s="28" t="s">
        <v>652</v>
      </c>
      <c r="C62" s="9">
        <v>44298</v>
      </c>
      <c r="D62" s="192">
        <f>262085*1.19</f>
        <v>311881.14999999997</v>
      </c>
      <c r="E62" s="51">
        <v>9</v>
      </c>
    </row>
    <row r="63" spans="1:37" x14ac:dyDescent="0.35">
      <c r="A63" s="50" t="s">
        <v>603</v>
      </c>
      <c r="B63" s="28" t="s">
        <v>245</v>
      </c>
      <c r="C63" s="191">
        <v>44235</v>
      </c>
      <c r="D63" s="10">
        <f>2216970-400000</f>
        <v>1816970</v>
      </c>
      <c r="E63" s="51">
        <v>10</v>
      </c>
    </row>
    <row r="64" spans="1:37" x14ac:dyDescent="0.35">
      <c r="A64" s="50" t="s">
        <v>549</v>
      </c>
      <c r="B64" s="28" t="s">
        <v>78</v>
      </c>
      <c r="C64" s="191">
        <v>44195</v>
      </c>
      <c r="D64" s="10">
        <v>240975</v>
      </c>
      <c r="E64" s="51">
        <v>11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L81"/>
  <sheetViews>
    <sheetView topLeftCell="A47" workbookViewId="0">
      <selection activeCell="A61" sqref="A61"/>
    </sheetView>
  </sheetViews>
  <sheetFormatPr baseColWidth="10" defaultColWidth="11.08984375" defaultRowHeight="14.5" x14ac:dyDescent="0.35"/>
  <cols>
    <col min="1" max="1" width="39" customWidth="1"/>
    <col min="2" max="2" width="11.1796875" customWidth="1"/>
    <col min="3" max="4" width="13.26953125" customWidth="1"/>
    <col min="5" max="5" width="9.5429687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  <col min="37" max="37" width="13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44378</v>
      </c>
      <c r="G2" s="1">
        <v>44379</v>
      </c>
      <c r="H2" s="1">
        <v>44380</v>
      </c>
      <c r="I2" s="1">
        <v>44381</v>
      </c>
      <c r="J2" s="1">
        <v>44382</v>
      </c>
      <c r="K2" s="1">
        <v>44383</v>
      </c>
      <c r="L2" s="1">
        <v>44384</v>
      </c>
      <c r="M2" s="1">
        <v>44385</v>
      </c>
      <c r="N2" s="1">
        <v>44386</v>
      </c>
      <c r="O2" s="1">
        <v>44387</v>
      </c>
      <c r="P2" s="1">
        <v>44388</v>
      </c>
      <c r="Q2" s="1">
        <v>44389</v>
      </c>
      <c r="R2" s="1">
        <v>44390</v>
      </c>
      <c r="S2" s="1">
        <v>44391</v>
      </c>
      <c r="T2" s="1">
        <v>44392</v>
      </c>
      <c r="U2" s="1">
        <v>44393</v>
      </c>
      <c r="V2" s="1">
        <v>44394</v>
      </c>
      <c r="W2" s="1">
        <v>44395</v>
      </c>
      <c r="X2" s="1">
        <v>44396</v>
      </c>
      <c r="Y2" s="1">
        <v>44397</v>
      </c>
      <c r="Z2" s="1">
        <v>44398</v>
      </c>
      <c r="AA2" s="1">
        <v>44399</v>
      </c>
      <c r="AB2" s="1">
        <v>44400</v>
      </c>
      <c r="AC2" s="1">
        <v>44401</v>
      </c>
      <c r="AD2" s="1">
        <v>44402</v>
      </c>
      <c r="AE2" s="1">
        <v>44403</v>
      </c>
      <c r="AF2" s="1">
        <v>44404</v>
      </c>
      <c r="AG2" s="1">
        <v>44405</v>
      </c>
      <c r="AH2" s="1">
        <v>44406</v>
      </c>
      <c r="AI2" s="1">
        <v>44407</v>
      </c>
      <c r="AJ2" s="1">
        <v>44408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+'JUN-21'!AI49</f>
        <v>10329.453669467592</v>
      </c>
      <c r="G3" s="3">
        <f t="shared" ref="G3:AG3" si="0">+F66</f>
        <v>10329.453669467592</v>
      </c>
      <c r="H3" s="3">
        <f t="shared" si="0"/>
        <v>10329.453669467592</v>
      </c>
      <c r="I3" s="3">
        <f t="shared" si="0"/>
        <v>10329.453669467592</v>
      </c>
      <c r="J3" s="3">
        <f t="shared" si="0"/>
        <v>10329.453669467592</v>
      </c>
      <c r="K3" s="3">
        <f t="shared" si="0"/>
        <v>10329.453669467592</v>
      </c>
      <c r="L3" s="3">
        <f t="shared" si="0"/>
        <v>10329.453669467592</v>
      </c>
      <c r="M3" s="3">
        <f t="shared" si="0"/>
        <v>522417.45366946759</v>
      </c>
      <c r="N3" s="3">
        <f t="shared" si="0"/>
        <v>465290.12033613428</v>
      </c>
      <c r="O3" s="3">
        <f t="shared" si="0"/>
        <v>465290.12033613428</v>
      </c>
      <c r="P3" s="3">
        <f t="shared" si="0"/>
        <v>465290.12033613428</v>
      </c>
      <c r="Q3" s="3">
        <f t="shared" si="0"/>
        <v>465290.12033613428</v>
      </c>
      <c r="R3" s="3">
        <f t="shared" si="0"/>
        <v>529907.12033613422</v>
      </c>
      <c r="S3" s="3">
        <f t="shared" si="0"/>
        <v>458507.12033613422</v>
      </c>
      <c r="T3" s="3">
        <f t="shared" si="0"/>
        <v>458507.12033613422</v>
      </c>
      <c r="U3" s="3">
        <f t="shared" si="0"/>
        <v>1458507.1203361342</v>
      </c>
      <c r="V3" s="3">
        <f t="shared" si="0"/>
        <v>1458507.1203361342</v>
      </c>
      <c r="W3" s="3">
        <f t="shared" si="0"/>
        <v>1458507.1203361342</v>
      </c>
      <c r="X3" s="3">
        <f t="shared" si="0"/>
        <v>1458507.1203361342</v>
      </c>
      <c r="Y3" s="3">
        <f t="shared" si="0"/>
        <v>1358507.1203361342</v>
      </c>
      <c r="Z3" s="3">
        <f t="shared" si="0"/>
        <v>883477.12033613422</v>
      </c>
      <c r="AA3" s="3">
        <f t="shared" si="0"/>
        <v>883477.12033613422</v>
      </c>
      <c r="AB3" s="3">
        <f t="shared" si="0"/>
        <v>937743.12033613422</v>
      </c>
      <c r="AC3" s="3">
        <f t="shared" si="0"/>
        <v>937743.12033613422</v>
      </c>
      <c r="AD3" s="3">
        <f t="shared" si="0"/>
        <v>937743.12033613422</v>
      </c>
      <c r="AE3" s="3">
        <f t="shared" si="0"/>
        <v>937743.12033613422</v>
      </c>
      <c r="AF3" s="3">
        <f t="shared" si="0"/>
        <v>937743.12033613422</v>
      </c>
      <c r="AG3" s="3">
        <f t="shared" si="0"/>
        <v>907398.12033613422</v>
      </c>
      <c r="AH3" s="3">
        <f>+AG66</f>
        <v>907398.12033613422</v>
      </c>
      <c r="AI3" s="3">
        <f>+AH66</f>
        <v>907398.12033613422</v>
      </c>
      <c r="AJ3" s="3">
        <f>+AI66</f>
        <v>907398.12033613422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J5" s="3" t="s">
        <v>13</v>
      </c>
      <c r="AK5" s="3">
        <f>SUM($E5:AJ5)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J6" s="3" t="s">
        <v>13</v>
      </c>
      <c r="AK6" s="3">
        <f>SUM($E6:AJ6)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J7" s="3" t="s">
        <v>13</v>
      </c>
      <c r="AK7" s="3">
        <f>SUM($E7:AJ7)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J8" s="3" t="s">
        <v>13</v>
      </c>
      <c r="AK8" s="3">
        <f>SUM($E8:AJ8)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J9" s="3" t="s">
        <v>13</v>
      </c>
      <c r="AK9" s="3">
        <f>SUM($E9:AJ9)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J10" s="3" t="s">
        <v>13</v>
      </c>
      <c r="AK10" s="3">
        <f>SUM($E10:AJ10)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J11" s="3" t="s">
        <v>13</v>
      </c>
      <c r="AK11" s="3">
        <f>SUM($E11:AJ11)</f>
        <v>0</v>
      </c>
      <c r="AL11" s="3" t="s">
        <v>13</v>
      </c>
    </row>
    <row r="12" spans="1:38" x14ac:dyDescent="0.35">
      <c r="A12" t="s">
        <v>662</v>
      </c>
      <c r="B12" t="s">
        <v>661</v>
      </c>
      <c r="C12" s="5">
        <v>44328</v>
      </c>
      <c r="D12" s="3">
        <v>138825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AJ12" s="3" t="s">
        <v>13</v>
      </c>
      <c r="AK12" s="3">
        <f>SUM($E12:AJ12)</f>
        <v>0</v>
      </c>
      <c r="AL12" s="3" t="s">
        <v>13</v>
      </c>
    </row>
    <row r="13" spans="1:38" x14ac:dyDescent="0.35">
      <c r="A13" t="s">
        <v>663</v>
      </c>
      <c r="B13" t="s">
        <v>664</v>
      </c>
      <c r="C13" s="5">
        <v>44335</v>
      </c>
      <c r="D13" s="3">
        <v>76160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J13" s="3" t="s">
        <v>13</v>
      </c>
      <c r="AK13" s="3">
        <f>SUM($E13:AJ13)</f>
        <v>0</v>
      </c>
      <c r="AL13" s="3" t="s">
        <v>13</v>
      </c>
    </row>
    <row r="14" spans="1:38" x14ac:dyDescent="0.35">
      <c r="A14" t="s">
        <v>711</v>
      </c>
      <c r="B14" t="s">
        <v>715</v>
      </c>
      <c r="C14" s="5">
        <v>44381</v>
      </c>
      <c r="D14" s="3">
        <v>19278</v>
      </c>
      <c r="F14" s="3"/>
      <c r="G14" s="3"/>
      <c r="H14" s="3"/>
      <c r="I14" s="3"/>
      <c r="J14" s="3"/>
      <c r="K14" s="3"/>
      <c r="L14" s="3">
        <v>19278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J14" s="3"/>
      <c r="AK14" s="3">
        <f>SUM($E14:AJ14)</f>
        <v>19278</v>
      </c>
    </row>
    <row r="15" spans="1:38" x14ac:dyDescent="0.35">
      <c r="A15" t="s">
        <v>712</v>
      </c>
      <c r="B15" t="s">
        <v>613</v>
      </c>
      <c r="C15" s="5">
        <v>44384</v>
      </c>
      <c r="D15" s="3">
        <v>499800</v>
      </c>
      <c r="F15" s="3"/>
      <c r="G15" s="3"/>
      <c r="H15" s="3"/>
      <c r="I15" s="3"/>
      <c r="J15" s="3"/>
      <c r="K15" s="3"/>
      <c r="L15" s="3">
        <v>499800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J15" s="3"/>
      <c r="AK15" s="3">
        <f>SUM($E15:AJ15)</f>
        <v>499800</v>
      </c>
    </row>
    <row r="16" spans="1:38" x14ac:dyDescent="0.35">
      <c r="A16" t="s">
        <v>713</v>
      </c>
      <c r="B16" t="s">
        <v>716</v>
      </c>
      <c r="C16" s="5">
        <v>44384</v>
      </c>
      <c r="D16" s="3">
        <v>136017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13</v>
      </c>
      <c r="Q16" s="3">
        <v>136017</v>
      </c>
      <c r="R16" s="3"/>
      <c r="S16" s="3"/>
      <c r="T16" s="3"/>
      <c r="U16" s="3"/>
      <c r="V16" s="3"/>
      <c r="W16" s="3"/>
      <c r="AJ16" s="3"/>
      <c r="AK16" s="3">
        <f>SUM($E16:AJ16)</f>
        <v>136017</v>
      </c>
    </row>
    <row r="17" spans="1:37" x14ac:dyDescent="0.35">
      <c r="A17" t="s">
        <v>714</v>
      </c>
      <c r="B17" t="s">
        <v>717</v>
      </c>
      <c r="C17" s="5">
        <v>44384</v>
      </c>
      <c r="D17" s="3">
        <v>45339</v>
      </c>
      <c r="F17" s="3" t="s">
        <v>13</v>
      </c>
      <c r="G17" s="3" t="s">
        <v>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A17" s="3">
        <v>45339</v>
      </c>
      <c r="AJ17" s="3"/>
      <c r="AK17" s="3">
        <f>SUM($E17:AJ17)</f>
        <v>45339</v>
      </c>
    </row>
    <row r="18" spans="1:37" x14ac:dyDescent="0.35">
      <c r="A18" s="173" t="s">
        <v>727</v>
      </c>
      <c r="B18" s="173"/>
      <c r="C18" s="5">
        <v>44392</v>
      </c>
      <c r="D18" s="3">
        <v>1000000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1000000</v>
      </c>
      <c r="U18" s="3"/>
      <c r="V18" s="3"/>
      <c r="W18" s="3"/>
      <c r="AK18" s="3">
        <f>SUM($E18:AJ18)</f>
        <v>1000000</v>
      </c>
    </row>
    <row r="19" spans="1:37" x14ac:dyDescent="0.35">
      <c r="A19" t="s">
        <v>728</v>
      </c>
      <c r="B19" t="s">
        <v>612</v>
      </c>
      <c r="C19" s="5">
        <v>44384</v>
      </c>
      <c r="D19" s="3">
        <v>15232</v>
      </c>
      <c r="F19" s="3"/>
      <c r="G19" s="236" t="s">
        <v>13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A19" s="3">
        <v>15232</v>
      </c>
      <c r="AB19" t="s">
        <v>13</v>
      </c>
      <c r="AK19" s="3">
        <f>SUM($E19:AJ19)</f>
        <v>15232</v>
      </c>
    </row>
    <row r="20" spans="1:37" x14ac:dyDescent="0.35">
      <c r="A20" t="s">
        <v>734</v>
      </c>
      <c r="B20" t="s">
        <v>735</v>
      </c>
      <c r="C20" s="5">
        <v>44406</v>
      </c>
      <c r="D20" s="3">
        <v>31333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A20" s="3"/>
      <c r="AK20" s="3">
        <f>SUM($E20:AJ20)</f>
        <v>0</v>
      </c>
    </row>
    <row r="21" spans="1:37" x14ac:dyDescent="0.35">
      <c r="A21" t="s">
        <v>737</v>
      </c>
      <c r="B21" t="s">
        <v>736</v>
      </c>
      <c r="C21" s="5">
        <v>44407</v>
      </c>
      <c r="D21" s="3">
        <v>7616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A21" s="3"/>
      <c r="AK21" s="3">
        <f>SUM($E21:AJ21)</f>
        <v>0</v>
      </c>
    </row>
    <row r="22" spans="1:37" x14ac:dyDescent="0.35">
      <c r="A22" t="s">
        <v>385</v>
      </c>
      <c r="C22" s="5">
        <v>43980</v>
      </c>
      <c r="D22" s="3">
        <v>10465</v>
      </c>
      <c r="F22" s="3"/>
      <c r="G22" s="3"/>
      <c r="H22" s="3"/>
      <c r="I22" s="3"/>
      <c r="J22" s="3"/>
      <c r="K22" s="3"/>
      <c r="M22" s="3"/>
      <c r="N22" s="3"/>
      <c r="O22" s="3"/>
      <c r="Q22" s="3"/>
      <c r="R22" s="3"/>
      <c r="S22" s="3"/>
      <c r="T22" s="3"/>
      <c r="U22" s="3"/>
      <c r="W22" s="3"/>
      <c r="AG22" s="3" t="s">
        <v>13</v>
      </c>
      <c r="AK22" s="3">
        <f>SUM($E22:AI22)</f>
        <v>0</v>
      </c>
    </row>
    <row r="23" spans="1:37" x14ac:dyDescent="0.35">
      <c r="A23" t="s">
        <v>60</v>
      </c>
      <c r="D23" s="3">
        <v>0</v>
      </c>
      <c r="F23" s="3" t="s">
        <v>13</v>
      </c>
      <c r="G23" s="3" t="s">
        <v>13</v>
      </c>
      <c r="H23" s="3"/>
      <c r="I23" s="3"/>
      <c r="J23" s="3"/>
      <c r="K23" s="3" t="s">
        <v>13</v>
      </c>
      <c r="M23" s="3"/>
      <c r="N23" s="3"/>
      <c r="O23" s="3" t="s">
        <v>13</v>
      </c>
      <c r="P23" s="3"/>
      <c r="Q23" s="3"/>
      <c r="R23" s="3" t="s">
        <v>13</v>
      </c>
      <c r="S23" s="3"/>
      <c r="T23" s="3"/>
      <c r="U23" s="3"/>
      <c r="V23" s="3"/>
      <c r="W23" s="3"/>
      <c r="Y23" t="s">
        <v>13</v>
      </c>
    </row>
    <row r="24" spans="1:37" x14ac:dyDescent="0.35">
      <c r="A24" t="s">
        <v>1</v>
      </c>
      <c r="F24" s="3"/>
      <c r="G24" s="3" t="s">
        <v>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7" x14ac:dyDescent="0.35">
      <c r="A25" t="s">
        <v>478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 t="s">
        <v>13</v>
      </c>
      <c r="S25" s="3"/>
      <c r="T25" s="3"/>
      <c r="U25" s="3"/>
      <c r="V25" s="3"/>
      <c r="W25" s="3"/>
    </row>
    <row r="26" spans="1:37" x14ac:dyDescent="0.35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37" x14ac:dyDescent="0.35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7" x14ac:dyDescent="0.35">
      <c r="A28" s="2" t="s">
        <v>6</v>
      </c>
      <c r="F28" s="3">
        <f t="shared" ref="F28:AH28" si="1">SUM(F5:F27)</f>
        <v>0</v>
      </c>
      <c r="G28" s="3">
        <f t="shared" si="1"/>
        <v>0</v>
      </c>
      <c r="H28" s="3">
        <f t="shared" si="1"/>
        <v>0</v>
      </c>
      <c r="I28" s="3">
        <f t="shared" si="1"/>
        <v>0</v>
      </c>
      <c r="J28" s="3">
        <f t="shared" si="1"/>
        <v>0</v>
      </c>
      <c r="K28" s="3">
        <f t="shared" si="1"/>
        <v>0</v>
      </c>
      <c r="L28" s="3">
        <f t="shared" si="1"/>
        <v>519078</v>
      </c>
      <c r="M28" s="3">
        <f t="shared" si="1"/>
        <v>0</v>
      </c>
      <c r="N28" s="3">
        <f t="shared" si="1"/>
        <v>0</v>
      </c>
      <c r="O28" s="3">
        <f t="shared" si="1"/>
        <v>0</v>
      </c>
      <c r="P28" s="3">
        <f t="shared" si="1"/>
        <v>0</v>
      </c>
      <c r="Q28" s="3">
        <f t="shared" si="1"/>
        <v>136017</v>
      </c>
      <c r="R28" s="3">
        <f t="shared" si="1"/>
        <v>0</v>
      </c>
      <c r="S28" s="3">
        <f t="shared" si="1"/>
        <v>0</v>
      </c>
      <c r="T28" s="3">
        <f t="shared" si="1"/>
        <v>1000000</v>
      </c>
      <c r="U28" s="3">
        <f t="shared" si="1"/>
        <v>0</v>
      </c>
      <c r="V28" s="3">
        <f t="shared" si="1"/>
        <v>0</v>
      </c>
      <c r="W28" s="3">
        <f t="shared" si="1"/>
        <v>0</v>
      </c>
      <c r="X28" s="3">
        <f t="shared" si="1"/>
        <v>0</v>
      </c>
      <c r="Y28" s="3">
        <f t="shared" si="1"/>
        <v>0</v>
      </c>
      <c r="Z28" s="3">
        <f t="shared" si="1"/>
        <v>0</v>
      </c>
      <c r="AA28" s="3">
        <f t="shared" si="1"/>
        <v>60571</v>
      </c>
      <c r="AB28" s="3">
        <f t="shared" si="1"/>
        <v>0</v>
      </c>
      <c r="AC28" s="3">
        <f t="shared" si="1"/>
        <v>0</v>
      </c>
      <c r="AD28" s="3">
        <f t="shared" si="1"/>
        <v>0</v>
      </c>
      <c r="AE28" s="3">
        <f t="shared" si="1"/>
        <v>0</v>
      </c>
      <c r="AF28" s="3">
        <f t="shared" si="1"/>
        <v>0</v>
      </c>
      <c r="AG28" s="3">
        <f t="shared" si="1"/>
        <v>0</v>
      </c>
      <c r="AH28" s="3">
        <f t="shared" si="1"/>
        <v>0</v>
      </c>
      <c r="AI28" s="3">
        <f>SUM(AI5:AI27)</f>
        <v>0</v>
      </c>
      <c r="AJ28" s="3">
        <f>SUM(AJ5:AJ27)</f>
        <v>0</v>
      </c>
      <c r="AK28" s="72">
        <f>SUM(AK5:AK23)-AK18</f>
        <v>715666</v>
      </c>
    </row>
    <row r="29" spans="1:37" x14ac:dyDescent="0.35">
      <c r="A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37" x14ac:dyDescent="0.35">
      <c r="A30" s="2" t="s">
        <v>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7" x14ac:dyDescent="0.35">
      <c r="A31" s="4" t="s">
        <v>409</v>
      </c>
      <c r="B31" s="24" t="s">
        <v>337</v>
      </c>
      <c r="C31" s="67"/>
      <c r="D31" s="3">
        <f>500000/2</f>
        <v>250000</v>
      </c>
      <c r="F31" s="3"/>
      <c r="G31" s="3"/>
      <c r="H31" s="3"/>
      <c r="I31" s="3"/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  <c r="AJ31" s="3" t="s">
        <v>13</v>
      </c>
    </row>
    <row r="32" spans="1:37" x14ac:dyDescent="0.35">
      <c r="A32" s="4" t="s">
        <v>410</v>
      </c>
      <c r="B32" s="24" t="s">
        <v>337</v>
      </c>
      <c r="C32" s="67"/>
      <c r="D32" s="3">
        <f>500000/2</f>
        <v>250000</v>
      </c>
      <c r="F32" s="3"/>
      <c r="G32" s="3"/>
      <c r="H32" s="3"/>
      <c r="I32" s="3"/>
      <c r="J32" t="s">
        <v>13</v>
      </c>
      <c r="K32" s="3"/>
      <c r="L32" s="3"/>
      <c r="M32" s="3"/>
      <c r="P32" s="3"/>
      <c r="Q32" s="3"/>
      <c r="R32" s="3"/>
      <c r="S32" s="3"/>
      <c r="T32" s="3"/>
      <c r="U32" s="3"/>
      <c r="V32" s="3"/>
      <c r="W32" s="3"/>
      <c r="AJ32" s="3" t="s">
        <v>13</v>
      </c>
    </row>
    <row r="33" spans="1:36" x14ac:dyDescent="0.35">
      <c r="A33" s="4" t="s">
        <v>411</v>
      </c>
      <c r="B33" s="24" t="s">
        <v>337</v>
      </c>
      <c r="C33" s="67"/>
      <c r="D33" s="3">
        <f>500000/2</f>
        <v>250000</v>
      </c>
      <c r="F33" s="3"/>
      <c r="G33" s="3"/>
      <c r="H33" s="3"/>
      <c r="I33" s="3"/>
      <c r="K33" s="3"/>
      <c r="L33" s="3"/>
      <c r="M33" s="3"/>
      <c r="P33" s="3"/>
      <c r="Q33" s="3"/>
      <c r="R33" s="3"/>
      <c r="S33" s="3"/>
      <c r="T33" s="3"/>
      <c r="U33" s="3"/>
      <c r="V33" s="3"/>
      <c r="W33" s="3"/>
      <c r="AJ33" s="3" t="s">
        <v>13</v>
      </c>
    </row>
    <row r="34" spans="1:36" x14ac:dyDescent="0.35">
      <c r="A34" s="4" t="s">
        <v>492</v>
      </c>
      <c r="B34" s="24" t="s">
        <v>337</v>
      </c>
      <c r="C34" s="67"/>
      <c r="D34" s="3">
        <v>250000</v>
      </c>
      <c r="F34" s="3"/>
      <c r="G34" s="3"/>
      <c r="H34" s="3"/>
      <c r="I34" s="3"/>
      <c r="K34" s="3"/>
      <c r="L34" s="3"/>
      <c r="M34" s="3"/>
      <c r="P34" s="3"/>
      <c r="Q34" s="3"/>
      <c r="R34" s="3"/>
      <c r="S34" s="3"/>
      <c r="T34" s="3"/>
      <c r="U34" s="3"/>
      <c r="V34" s="3"/>
      <c r="W34" s="3"/>
      <c r="AJ34" s="3" t="s">
        <v>13</v>
      </c>
    </row>
    <row r="35" spans="1:36" x14ac:dyDescent="0.35">
      <c r="A35" s="4" t="s">
        <v>494</v>
      </c>
      <c r="B35" s="24" t="s">
        <v>337</v>
      </c>
      <c r="C35" s="67"/>
      <c r="D35" s="3">
        <v>500000</v>
      </c>
      <c r="F35" s="3"/>
      <c r="G35" s="3"/>
      <c r="H35" s="3"/>
      <c r="I35" s="3"/>
      <c r="K35" s="3"/>
      <c r="L35" s="3"/>
      <c r="M35" s="3"/>
      <c r="P35" s="3"/>
      <c r="Q35" s="3"/>
      <c r="R35" s="3"/>
      <c r="S35" s="3"/>
      <c r="T35" s="3"/>
      <c r="U35" s="3"/>
      <c r="V35" s="3"/>
      <c r="W35" s="3"/>
      <c r="AJ35" s="3" t="s">
        <v>13</v>
      </c>
    </row>
    <row r="36" spans="1:36" x14ac:dyDescent="0.35">
      <c r="A36" s="4" t="s">
        <v>495</v>
      </c>
      <c r="B36" s="24" t="s">
        <v>337</v>
      </c>
      <c r="C36" s="67"/>
      <c r="D36" s="3">
        <v>500000</v>
      </c>
      <c r="F36" s="3"/>
      <c r="G36" s="3"/>
      <c r="H36" s="3"/>
      <c r="I36" s="3"/>
      <c r="K36" s="3"/>
      <c r="L36" s="3"/>
      <c r="M36" s="104" t="s">
        <v>13</v>
      </c>
      <c r="P36" s="3"/>
      <c r="Q36" s="3"/>
      <c r="R36" s="3"/>
      <c r="S36" s="3"/>
      <c r="T36" s="3"/>
      <c r="U36" s="3"/>
      <c r="V36" s="3"/>
      <c r="W36" s="3"/>
      <c r="AJ36" s="3" t="s">
        <v>13</v>
      </c>
    </row>
    <row r="37" spans="1:36" x14ac:dyDescent="0.35">
      <c r="A37" s="4" t="s">
        <v>541</v>
      </c>
      <c r="B37" s="24" t="s">
        <v>337</v>
      </c>
      <c r="C37" s="67"/>
      <c r="D37" s="3">
        <v>500000</v>
      </c>
      <c r="F37" s="3"/>
      <c r="G37" s="3"/>
      <c r="H37" s="3"/>
      <c r="I37" s="3"/>
      <c r="K37" s="3"/>
      <c r="L37" s="3"/>
      <c r="M37" s="3"/>
      <c r="P37" s="3"/>
      <c r="Q37" s="3"/>
      <c r="R37" s="3"/>
      <c r="S37" s="3"/>
      <c r="T37" s="3"/>
      <c r="U37" s="3"/>
      <c r="V37" s="3"/>
      <c r="W37" s="3"/>
      <c r="AJ37" s="3" t="s">
        <v>13</v>
      </c>
    </row>
    <row r="38" spans="1:36" x14ac:dyDescent="0.35">
      <c r="A38" s="4" t="s">
        <v>576</v>
      </c>
      <c r="B38" s="24" t="s">
        <v>337</v>
      </c>
      <c r="C38" s="67"/>
      <c r="D38" s="3">
        <v>500000</v>
      </c>
      <c r="H38" t="s">
        <v>13</v>
      </c>
      <c r="I38" t="s">
        <v>13</v>
      </c>
      <c r="L38" s="3"/>
      <c r="M38" s="3"/>
      <c r="P38" s="3"/>
      <c r="Q38" s="3"/>
      <c r="AJ38" s="3" t="s">
        <v>13</v>
      </c>
    </row>
    <row r="39" spans="1:36" x14ac:dyDescent="0.35">
      <c r="A39" s="4" t="s">
        <v>629</v>
      </c>
      <c r="B39" s="24" t="s">
        <v>337</v>
      </c>
      <c r="C39" s="67"/>
      <c r="D39" s="3">
        <v>500000</v>
      </c>
      <c r="L39" s="3"/>
      <c r="M39" s="3"/>
      <c r="P39" s="3"/>
      <c r="Q39" s="3"/>
      <c r="AG39" s="3"/>
      <c r="AJ39" s="3" t="s">
        <v>13</v>
      </c>
    </row>
    <row r="40" spans="1:36" x14ac:dyDescent="0.35">
      <c r="A40" s="4" t="s">
        <v>646</v>
      </c>
      <c r="B40" s="24" t="s">
        <v>337</v>
      </c>
      <c r="C40" s="67"/>
      <c r="D40" s="3">
        <v>250000</v>
      </c>
      <c r="H40" t="s">
        <v>13</v>
      </c>
      <c r="L40" s="3"/>
      <c r="M40" s="3"/>
      <c r="P40" s="3"/>
      <c r="Q40" s="3"/>
      <c r="AG40" s="3"/>
      <c r="AJ40" s="3" t="s">
        <v>13</v>
      </c>
    </row>
    <row r="41" spans="1:36" x14ac:dyDescent="0.35">
      <c r="A41" t="s">
        <v>644</v>
      </c>
      <c r="B41" t="s">
        <v>337</v>
      </c>
      <c r="C41" s="5" t="s">
        <v>13</v>
      </c>
      <c r="D41" s="3">
        <f>+'MAR-21'!AK19*0.17</f>
        <v>93733.693333333329</v>
      </c>
      <c r="G41" s="3" t="s">
        <v>13</v>
      </c>
      <c r="H41" t="s">
        <v>13</v>
      </c>
      <c r="L41" s="3"/>
      <c r="M41" s="3"/>
      <c r="P41" s="3"/>
      <c r="Q41" s="3"/>
      <c r="AG41" s="3"/>
    </row>
    <row r="42" spans="1:36" x14ac:dyDescent="0.35">
      <c r="A42" s="4" t="s">
        <v>549</v>
      </c>
      <c r="B42" s="24" t="s">
        <v>78</v>
      </c>
      <c r="C42" s="67">
        <v>44195</v>
      </c>
      <c r="D42" s="3">
        <v>240975</v>
      </c>
      <c r="E42" s="15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</row>
    <row r="43" spans="1:36" x14ac:dyDescent="0.35">
      <c r="A43" s="4" t="s">
        <v>594</v>
      </c>
      <c r="B43" s="24" t="s">
        <v>595</v>
      </c>
      <c r="C43" s="67">
        <v>44229</v>
      </c>
      <c r="D43" s="71">
        <f>60000*1.19</f>
        <v>71400</v>
      </c>
      <c r="E43" s="153" t="s">
        <v>139</v>
      </c>
      <c r="F43" s="3"/>
      <c r="G43" s="3"/>
      <c r="H43" s="3"/>
      <c r="I43" s="3"/>
      <c r="K43" s="3"/>
      <c r="L43" s="3"/>
      <c r="M43" s="3"/>
      <c r="O43" s="3"/>
      <c r="P43" s="3"/>
      <c r="Q43" s="3">
        <f>60000*1.19</f>
        <v>71400</v>
      </c>
      <c r="R43" s="3"/>
      <c r="S43" s="3"/>
      <c r="T43" s="3"/>
      <c r="U43" s="3"/>
      <c r="V43" s="3"/>
      <c r="W43" s="3"/>
      <c r="Y43" s="3"/>
    </row>
    <row r="44" spans="1:36" x14ac:dyDescent="0.35">
      <c r="A44" s="4" t="s">
        <v>603</v>
      </c>
      <c r="B44" s="24" t="s">
        <v>245</v>
      </c>
      <c r="C44" s="67">
        <v>44235</v>
      </c>
      <c r="D44" s="3">
        <f>2216970-'MAR-21'!$H$45</f>
        <v>1816970</v>
      </c>
      <c r="E44" s="153" t="s">
        <v>13</v>
      </c>
      <c r="F44" s="3"/>
      <c r="G44" s="3" t="s">
        <v>13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AJ44" s="3" t="s">
        <v>13</v>
      </c>
    </row>
    <row r="45" spans="1:36" x14ac:dyDescent="0.35">
      <c r="A45" s="4" t="s">
        <v>633</v>
      </c>
      <c r="B45" s="24" t="s">
        <v>634</v>
      </c>
      <c r="C45" s="67">
        <v>44259</v>
      </c>
      <c r="D45" s="71">
        <v>475030</v>
      </c>
      <c r="E45" s="153" t="s">
        <v>139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>
        <v>475030</v>
      </c>
    </row>
    <row r="46" spans="1:36" x14ac:dyDescent="0.35">
      <c r="A46" s="4" t="s">
        <v>635</v>
      </c>
      <c r="B46" s="24" t="s">
        <v>636</v>
      </c>
      <c r="C46" s="67">
        <v>44259</v>
      </c>
      <c r="D46" s="71">
        <f>60000*1.19</f>
        <v>71400</v>
      </c>
      <c r="E46" s="153" t="s">
        <v>139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R46" s="3">
        <f>+D46</f>
        <v>71400</v>
      </c>
      <c r="S46" s="3"/>
      <c r="T46" s="3"/>
      <c r="U46" s="3"/>
      <c r="V46" s="3"/>
      <c r="W46" s="3"/>
      <c r="Y46" s="3"/>
    </row>
    <row r="47" spans="1:36" x14ac:dyDescent="0.35">
      <c r="A47" s="4" t="s">
        <v>726</v>
      </c>
      <c r="B47" s="24" t="s">
        <v>652</v>
      </c>
      <c r="C47" s="5">
        <v>44298</v>
      </c>
      <c r="D47" s="71">
        <f>262085*1.19</f>
        <v>311881.14999999997</v>
      </c>
      <c r="E47" s="153" t="s">
        <v>139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</row>
    <row r="48" spans="1:36" x14ac:dyDescent="0.35">
      <c r="A48" s="4" t="s">
        <v>710</v>
      </c>
      <c r="B48" s="24" t="s">
        <v>13</v>
      </c>
      <c r="C48" s="67">
        <v>44269</v>
      </c>
      <c r="D48" s="3">
        <f>109000-'MAY-21'!L41</f>
        <v>59000</v>
      </c>
      <c r="E48" s="15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 t="s">
        <v>13</v>
      </c>
      <c r="R48" s="3"/>
      <c r="S48" s="3"/>
      <c r="T48" s="3"/>
      <c r="U48" s="3"/>
      <c r="V48" s="3"/>
      <c r="W48" s="3"/>
      <c r="Y48" s="3"/>
    </row>
    <row r="49" spans="1:35" x14ac:dyDescent="0.35">
      <c r="A49" s="4" t="s">
        <v>656</v>
      </c>
      <c r="B49" s="24"/>
      <c r="C49" s="5">
        <v>44316</v>
      </c>
      <c r="D49" s="3">
        <v>100000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100000</v>
      </c>
      <c r="Y49" s="3"/>
      <c r="AI49" s="3" t="s">
        <v>13</v>
      </c>
    </row>
    <row r="50" spans="1:35" x14ac:dyDescent="0.35">
      <c r="A50" s="4" t="s">
        <v>653</v>
      </c>
      <c r="B50" s="24" t="s">
        <v>718</v>
      </c>
      <c r="C50" s="5" t="s">
        <v>13</v>
      </c>
      <c r="D50" s="3">
        <v>21245</v>
      </c>
      <c r="E50" t="s">
        <v>705</v>
      </c>
      <c r="F50" s="3"/>
      <c r="G50" s="3"/>
      <c r="H50" s="3"/>
      <c r="I50" s="3"/>
      <c r="J50" s="3" t="s">
        <v>13</v>
      </c>
      <c r="K50" s="3"/>
      <c r="L50" s="3" t="s">
        <v>13</v>
      </c>
      <c r="M50" s="3">
        <v>21244</v>
      </c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I50" s="3"/>
    </row>
    <row r="51" spans="1:35" x14ac:dyDescent="0.35">
      <c r="A51" s="4" t="s">
        <v>669</v>
      </c>
      <c r="B51" s="24" t="s">
        <v>13</v>
      </c>
      <c r="C51" s="67">
        <v>44356</v>
      </c>
      <c r="D51" s="3">
        <f>+(7+8.3+14.7)*850/9+310+170+2132</f>
        <v>5445.3333333333339</v>
      </c>
      <c r="F51" s="3"/>
      <c r="G51" s="3"/>
      <c r="H51" s="3"/>
      <c r="I51" s="3"/>
      <c r="J51" s="3"/>
      <c r="K51" s="3"/>
      <c r="L51" s="3"/>
      <c r="M51" s="3">
        <f>+(7+8.3+14.7)*850/9+310+170+2132</f>
        <v>5445.3333333333339</v>
      </c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AI51" s="3"/>
    </row>
    <row r="52" spans="1:35" x14ac:dyDescent="0.35">
      <c r="A52" s="4" t="s">
        <v>709</v>
      </c>
      <c r="B52" s="24"/>
      <c r="C52" s="5">
        <v>44365</v>
      </c>
      <c r="D52" s="3">
        <v>17000</v>
      </c>
      <c r="E52" s="153" t="s">
        <v>4</v>
      </c>
      <c r="F52" s="3"/>
      <c r="G52" s="3"/>
      <c r="H52" s="3"/>
      <c r="I52" s="3"/>
      <c r="J52" s="3"/>
      <c r="K52" s="3"/>
      <c r="L52" s="3"/>
      <c r="M52" s="3">
        <v>17000</v>
      </c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  <c r="AA52" s="3"/>
    </row>
    <row r="53" spans="1:35" x14ac:dyDescent="0.35">
      <c r="A53" s="4" t="s">
        <v>723</v>
      </c>
      <c r="B53" s="24"/>
      <c r="C53" s="5">
        <v>44369</v>
      </c>
      <c r="D53" s="3">
        <f>+(15.4*2)*900/9+1304+935</f>
        <v>5319</v>
      </c>
      <c r="E53" s="153"/>
      <c r="F53" s="3"/>
      <c r="G53" s="3"/>
      <c r="H53" s="3"/>
      <c r="I53" s="3"/>
      <c r="J53" s="3"/>
      <c r="K53" s="3"/>
      <c r="L53" s="3"/>
      <c r="M53" s="3">
        <f>+(15.4*2)*900/9+1304+935</f>
        <v>5319</v>
      </c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AA53" s="3"/>
    </row>
    <row r="54" spans="1:35" x14ac:dyDescent="0.35">
      <c r="A54" s="4" t="s">
        <v>722</v>
      </c>
      <c r="B54" s="24"/>
      <c r="C54" s="5">
        <v>44379</v>
      </c>
      <c r="D54" s="3">
        <f>+(7*2)*900/9</f>
        <v>1400</v>
      </c>
      <c r="E54" s="153"/>
      <c r="F54" s="3"/>
      <c r="G54" s="3"/>
      <c r="H54" s="3"/>
      <c r="I54" s="3"/>
      <c r="J54" s="3"/>
      <c r="K54" s="3"/>
      <c r="L54" s="3"/>
      <c r="M54" s="3">
        <f>+(7*2)*900/9</f>
        <v>1400</v>
      </c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AA54" s="3"/>
    </row>
    <row r="55" spans="1:35" x14ac:dyDescent="0.35">
      <c r="A55" s="4" t="s">
        <v>721</v>
      </c>
      <c r="B55" s="24"/>
      <c r="C55" s="5">
        <v>44382</v>
      </c>
      <c r="D55" s="3">
        <f>+(15.4*2)*900/9+1304+935</f>
        <v>5319</v>
      </c>
      <c r="E55" s="153"/>
      <c r="F55" s="3"/>
      <c r="G55" s="3"/>
      <c r="H55" s="3"/>
      <c r="I55" s="3"/>
      <c r="J55" s="3"/>
      <c r="K55" s="3"/>
      <c r="L55" s="3"/>
      <c r="M55" s="3">
        <f>+(15.4*2)*900/9+1304+935</f>
        <v>5319</v>
      </c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AA55" s="3"/>
    </row>
    <row r="56" spans="1:35" x14ac:dyDescent="0.35">
      <c r="A56" s="4" t="s">
        <v>719</v>
      </c>
      <c r="B56" s="24" t="s">
        <v>720</v>
      </c>
      <c r="C56" s="5">
        <v>44384</v>
      </c>
      <c r="D56" s="3">
        <v>6990</v>
      </c>
      <c r="E56" s="153" t="s">
        <v>401</v>
      </c>
      <c r="F56" s="3"/>
      <c r="G56" s="3"/>
      <c r="H56" s="3"/>
      <c r="I56" s="3"/>
      <c r="J56" s="3"/>
      <c r="K56" s="3"/>
      <c r="L56" s="3">
        <v>6990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A56" s="3"/>
    </row>
    <row r="57" spans="1:35" x14ac:dyDescent="0.35">
      <c r="A57" s="4" t="s">
        <v>722</v>
      </c>
      <c r="B57" s="24"/>
      <c r="C57" s="5">
        <v>44384</v>
      </c>
      <c r="D57" s="3">
        <f>+(7*2)*900/9</f>
        <v>1400</v>
      </c>
      <c r="E57" s="153"/>
      <c r="F57" s="3"/>
      <c r="G57" s="3"/>
      <c r="H57" s="3"/>
      <c r="I57" s="3"/>
      <c r="J57" s="3"/>
      <c r="K57" s="3"/>
      <c r="L57" s="3"/>
      <c r="M57" s="3">
        <f>+(7*2)*900/9</f>
        <v>1400</v>
      </c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A57" s="3"/>
    </row>
    <row r="58" spans="1:35" x14ac:dyDescent="0.35">
      <c r="A58" s="4" t="s">
        <v>724</v>
      </c>
      <c r="B58" s="24"/>
      <c r="C58" s="5">
        <v>44387</v>
      </c>
      <c r="D58" s="3">
        <v>0</v>
      </c>
      <c r="E58" s="153" t="s">
        <v>13</v>
      </c>
      <c r="F58" s="3"/>
      <c r="G58" s="3"/>
      <c r="H58" s="3"/>
      <c r="I58" s="3"/>
      <c r="J58" s="3"/>
      <c r="K58" s="3"/>
      <c r="L58" s="3"/>
      <c r="M58" s="3"/>
      <c r="N58" s="3"/>
      <c r="O58" s="3" t="s">
        <v>13</v>
      </c>
      <c r="P58" s="3"/>
      <c r="Q58" s="3"/>
      <c r="R58" s="3"/>
      <c r="S58" s="3"/>
      <c r="T58" s="3"/>
      <c r="U58" s="3"/>
      <c r="V58" s="3"/>
      <c r="W58" s="3"/>
      <c r="Y58" s="3"/>
      <c r="AI58" s="3"/>
    </row>
    <row r="59" spans="1:35" x14ac:dyDescent="0.35">
      <c r="A59" s="4" t="s">
        <v>730</v>
      </c>
      <c r="B59" s="24" t="s">
        <v>729</v>
      </c>
      <c r="C59" s="5">
        <v>44398</v>
      </c>
      <c r="D59" s="3">
        <v>6305</v>
      </c>
      <c r="E59" t="s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A59" s="3">
        <v>6305</v>
      </c>
    </row>
    <row r="60" spans="1:35" x14ac:dyDescent="0.35">
      <c r="A60" s="4" t="s">
        <v>731</v>
      </c>
      <c r="B60" s="24"/>
      <c r="C60" s="5">
        <v>44404</v>
      </c>
      <c r="D60" s="3">
        <f>+(13.3+3.5+12.5)*950/9+1304+935</f>
        <v>5331.7777777777774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A60" s="3"/>
    </row>
    <row r="61" spans="1:35" x14ac:dyDescent="0.35">
      <c r="A61" s="4" t="s">
        <v>732</v>
      </c>
      <c r="B61" s="24" t="s">
        <v>733</v>
      </c>
      <c r="C61" s="5">
        <v>44404</v>
      </c>
      <c r="D61" s="3">
        <f>+(1500*9+3000*4)*1.19</f>
        <v>30345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A61" s="3"/>
      <c r="AF61" s="3">
        <f>+(1500*9+3000*4)*1.19</f>
        <v>30345</v>
      </c>
    </row>
    <row r="62" spans="1:35" x14ac:dyDescent="0.35">
      <c r="A62" s="4"/>
      <c r="B62" s="24"/>
      <c r="C62" s="5"/>
      <c r="D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A62" s="3"/>
    </row>
    <row r="63" spans="1:35" x14ac:dyDescent="0.35">
      <c r="A63" s="4"/>
      <c r="B63" s="24"/>
      <c r="C63" s="5"/>
      <c r="D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A63" s="3"/>
    </row>
    <row r="64" spans="1:35" x14ac:dyDescent="0.35">
      <c r="A64" s="4"/>
      <c r="B64" s="24"/>
      <c r="C64" s="5"/>
      <c r="D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</row>
    <row r="65" spans="1:37" x14ac:dyDescent="0.35">
      <c r="A65" s="2" t="s">
        <v>9</v>
      </c>
      <c r="F65" s="3">
        <f t="shared" ref="F65:AJ65" si="2">SUM(F31:F64)</f>
        <v>0</v>
      </c>
      <c r="G65" s="3">
        <f t="shared" si="2"/>
        <v>0</v>
      </c>
      <c r="H65" s="3">
        <f t="shared" si="2"/>
        <v>0</v>
      </c>
      <c r="I65" s="3">
        <f t="shared" si="2"/>
        <v>0</v>
      </c>
      <c r="J65" s="3">
        <f t="shared" si="2"/>
        <v>0</v>
      </c>
      <c r="K65" s="3">
        <f t="shared" si="2"/>
        <v>0</v>
      </c>
      <c r="L65" s="3">
        <f t="shared" si="2"/>
        <v>6990</v>
      </c>
      <c r="M65" s="3">
        <f t="shared" si="2"/>
        <v>57127.333333333336</v>
      </c>
      <c r="N65" s="3">
        <f t="shared" si="2"/>
        <v>0</v>
      </c>
      <c r="O65" s="3">
        <f t="shared" si="2"/>
        <v>0</v>
      </c>
      <c r="P65" s="3">
        <f t="shared" si="2"/>
        <v>0</v>
      </c>
      <c r="Q65" s="3">
        <f t="shared" si="2"/>
        <v>71400</v>
      </c>
      <c r="R65" s="3">
        <f t="shared" si="2"/>
        <v>71400</v>
      </c>
      <c r="S65" s="3">
        <f t="shared" si="2"/>
        <v>0</v>
      </c>
      <c r="T65" s="3">
        <f t="shared" si="2"/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3">
        <f t="shared" si="2"/>
        <v>100000</v>
      </c>
      <c r="Y65" s="3">
        <f t="shared" si="2"/>
        <v>475030</v>
      </c>
      <c r="Z65" s="3">
        <f t="shared" si="2"/>
        <v>0</v>
      </c>
      <c r="AA65" s="3">
        <f t="shared" si="2"/>
        <v>6305</v>
      </c>
      <c r="AB65" s="3">
        <f t="shared" si="2"/>
        <v>0</v>
      </c>
      <c r="AC65" s="3">
        <f t="shared" si="2"/>
        <v>0</v>
      </c>
      <c r="AD65" s="3">
        <f t="shared" si="2"/>
        <v>0</v>
      </c>
      <c r="AE65" s="3">
        <f t="shared" si="2"/>
        <v>0</v>
      </c>
      <c r="AF65" s="3">
        <f t="shared" si="2"/>
        <v>30345</v>
      </c>
      <c r="AG65" s="3">
        <f t="shared" si="2"/>
        <v>0</v>
      </c>
      <c r="AH65" s="3">
        <f t="shared" si="2"/>
        <v>0</v>
      </c>
      <c r="AI65" s="3">
        <f t="shared" si="2"/>
        <v>0</v>
      </c>
      <c r="AJ65" s="3">
        <f t="shared" si="2"/>
        <v>0</v>
      </c>
      <c r="AK65" s="3" t="s">
        <v>13</v>
      </c>
    </row>
    <row r="66" spans="1:37" x14ac:dyDescent="0.35">
      <c r="A66" t="s">
        <v>8</v>
      </c>
      <c r="F66" s="3">
        <f>+F28+F3-F65</f>
        <v>10329.453669467592</v>
      </c>
      <c r="G66" s="3">
        <f t="shared" ref="G66:AJ66" si="3">+G3+G28-G65</f>
        <v>10329.453669467592</v>
      </c>
      <c r="H66" s="3">
        <f t="shared" si="3"/>
        <v>10329.453669467592</v>
      </c>
      <c r="I66" s="3">
        <f t="shared" si="3"/>
        <v>10329.453669467592</v>
      </c>
      <c r="J66" s="3">
        <f t="shared" si="3"/>
        <v>10329.453669467592</v>
      </c>
      <c r="K66" s="3">
        <f t="shared" si="3"/>
        <v>10329.453669467592</v>
      </c>
      <c r="L66" s="3">
        <f t="shared" si="3"/>
        <v>522417.45366946759</v>
      </c>
      <c r="M66" s="3">
        <f t="shared" si="3"/>
        <v>465290.12033613428</v>
      </c>
      <c r="N66" s="3">
        <f t="shared" si="3"/>
        <v>465290.12033613428</v>
      </c>
      <c r="O66" s="3">
        <f t="shared" si="3"/>
        <v>465290.12033613428</v>
      </c>
      <c r="P66" s="3">
        <f t="shared" si="3"/>
        <v>465290.12033613428</v>
      </c>
      <c r="Q66" s="3">
        <f t="shared" si="3"/>
        <v>529907.12033613422</v>
      </c>
      <c r="R66" s="3">
        <f t="shared" si="3"/>
        <v>458507.12033613422</v>
      </c>
      <c r="S66" s="3">
        <f t="shared" si="3"/>
        <v>458507.12033613422</v>
      </c>
      <c r="T66" s="3">
        <f t="shared" si="3"/>
        <v>1458507.1203361342</v>
      </c>
      <c r="U66" s="3">
        <f t="shared" si="3"/>
        <v>1458507.1203361342</v>
      </c>
      <c r="V66" s="3">
        <f t="shared" si="3"/>
        <v>1458507.1203361342</v>
      </c>
      <c r="W66" s="3">
        <f t="shared" si="3"/>
        <v>1458507.1203361342</v>
      </c>
      <c r="X66" s="3">
        <f t="shared" si="3"/>
        <v>1358507.1203361342</v>
      </c>
      <c r="Y66" s="3">
        <f t="shared" si="3"/>
        <v>883477.12033613422</v>
      </c>
      <c r="Z66" s="3">
        <f t="shared" si="3"/>
        <v>883477.12033613422</v>
      </c>
      <c r="AA66" s="3">
        <f t="shared" si="3"/>
        <v>937743.12033613422</v>
      </c>
      <c r="AB66" s="3">
        <f t="shared" si="3"/>
        <v>937743.12033613422</v>
      </c>
      <c r="AC66" s="3">
        <f t="shared" si="3"/>
        <v>937743.12033613422</v>
      </c>
      <c r="AD66" s="3">
        <f t="shared" si="3"/>
        <v>937743.12033613422</v>
      </c>
      <c r="AE66" s="3">
        <f t="shared" si="3"/>
        <v>937743.12033613422</v>
      </c>
      <c r="AF66" s="3">
        <f t="shared" si="3"/>
        <v>907398.12033613422</v>
      </c>
      <c r="AG66" s="3">
        <f t="shared" si="3"/>
        <v>907398.12033613422</v>
      </c>
      <c r="AH66" s="3">
        <f t="shared" si="3"/>
        <v>907398.12033613422</v>
      </c>
      <c r="AI66" s="3">
        <f t="shared" si="3"/>
        <v>907398.12033613422</v>
      </c>
      <c r="AJ66" s="3">
        <f t="shared" si="3"/>
        <v>907398.12033613422</v>
      </c>
      <c r="AK66" s="3" t="s">
        <v>13</v>
      </c>
    </row>
    <row r="67" spans="1:37" x14ac:dyDescent="0.35">
      <c r="F67" s="3"/>
      <c r="G67" s="3"/>
      <c r="H67" s="3"/>
      <c r="I67" s="3" t="s">
        <v>13</v>
      </c>
      <c r="J67" s="3"/>
      <c r="K67" s="3"/>
      <c r="L67" s="3"/>
      <c r="M67" s="3"/>
      <c r="N67" s="3"/>
      <c r="O67" s="3"/>
      <c r="P67" s="3" t="s">
        <v>13</v>
      </c>
      <c r="Q67" s="3"/>
      <c r="R67" s="3"/>
      <c r="S67" s="3"/>
      <c r="T67" s="3" t="s">
        <v>13</v>
      </c>
      <c r="U67" s="3"/>
      <c r="V67" s="3"/>
      <c r="W67" s="3"/>
      <c r="Y67" s="3" t="s">
        <v>13</v>
      </c>
      <c r="AA67" s="3" t="s">
        <v>13</v>
      </c>
      <c r="AB67" s="3" t="s">
        <v>13</v>
      </c>
    </row>
    <row r="68" spans="1:37" x14ac:dyDescent="0.35">
      <c r="B68" t="s">
        <v>13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 t="s">
        <v>13</v>
      </c>
      <c r="Q68" s="3" t="s">
        <v>13</v>
      </c>
      <c r="R68" s="3"/>
      <c r="S68" s="3"/>
      <c r="T68" s="3"/>
      <c r="U68" s="3" t="s">
        <v>13</v>
      </c>
      <c r="V68" s="3"/>
      <c r="W68" s="3"/>
      <c r="AB68" s="3" t="s">
        <v>13</v>
      </c>
    </row>
    <row r="69" spans="1:37" x14ac:dyDescent="0.35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 t="s">
        <v>13</v>
      </c>
      <c r="U69" s="3"/>
      <c r="V69" s="3"/>
      <c r="W69" s="3"/>
      <c r="AB69" s="3" t="s">
        <v>13</v>
      </c>
    </row>
    <row r="70" spans="1:37" ht="15" thickBot="1" x14ac:dyDescent="0.4">
      <c r="E70" s="205" t="s">
        <v>655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 t="s">
        <v>13</v>
      </c>
      <c r="AB70" s="3" t="s">
        <v>13</v>
      </c>
    </row>
    <row r="71" spans="1:37" x14ac:dyDescent="0.35">
      <c r="A71" s="197" t="s">
        <v>13</v>
      </c>
      <c r="B71" s="30"/>
      <c r="C71" s="124" t="s">
        <v>13</v>
      </c>
      <c r="D71" s="198" t="s">
        <v>13</v>
      </c>
      <c r="E71" s="57" t="s">
        <v>13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AB71" s="3" t="s">
        <v>13</v>
      </c>
    </row>
    <row r="72" spans="1:37" x14ac:dyDescent="0.35">
      <c r="A72" s="199" t="s">
        <v>13</v>
      </c>
      <c r="B72" s="28" t="s">
        <v>13</v>
      </c>
      <c r="C72" s="9" t="s">
        <v>13</v>
      </c>
      <c r="D72" s="10" t="s">
        <v>13</v>
      </c>
      <c r="E72" s="202" t="s">
        <v>13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AB72" s="3" t="s">
        <v>13</v>
      </c>
    </row>
    <row r="73" spans="1:37" ht="15" thickBot="1" x14ac:dyDescent="0.4">
      <c r="A73" s="200" t="s">
        <v>545</v>
      </c>
      <c r="B73" s="34" t="s">
        <v>544</v>
      </c>
      <c r="C73" s="201">
        <v>44182</v>
      </c>
      <c r="D73" s="18">
        <v>121856</v>
      </c>
      <c r="E73" s="203">
        <v>3</v>
      </c>
    </row>
    <row r="74" spans="1:37" x14ac:dyDescent="0.35">
      <c r="A74" s="193" t="s">
        <v>645</v>
      </c>
      <c r="B74" s="194" t="s">
        <v>13</v>
      </c>
      <c r="C74" s="195">
        <v>44269</v>
      </c>
      <c r="D74" s="196">
        <v>109000</v>
      </c>
      <c r="E74" s="204">
        <v>4</v>
      </c>
    </row>
    <row r="75" spans="1:37" x14ac:dyDescent="0.35">
      <c r="A75" s="50" t="s">
        <v>594</v>
      </c>
      <c r="B75" s="28" t="s">
        <v>595</v>
      </c>
      <c r="C75" s="191">
        <v>44229</v>
      </c>
      <c r="D75" s="192">
        <f>60000*1.19</f>
        <v>71400</v>
      </c>
      <c r="E75" s="51">
        <v>5</v>
      </c>
    </row>
    <row r="76" spans="1:37" x14ac:dyDescent="0.35">
      <c r="A76" s="50" t="s">
        <v>656</v>
      </c>
      <c r="B76" s="28"/>
      <c r="C76" s="9">
        <v>44316</v>
      </c>
      <c r="D76" s="10">
        <v>100000</v>
      </c>
      <c r="E76" s="51">
        <v>6</v>
      </c>
    </row>
    <row r="77" spans="1:37" x14ac:dyDescent="0.35">
      <c r="A77" s="50" t="s">
        <v>633</v>
      </c>
      <c r="B77" s="28" t="s">
        <v>634</v>
      </c>
      <c r="C77" s="191">
        <v>44259</v>
      </c>
      <c r="D77" s="192">
        <v>475030</v>
      </c>
      <c r="E77" s="51">
        <v>7</v>
      </c>
    </row>
    <row r="78" spans="1:37" x14ac:dyDescent="0.35">
      <c r="A78" s="50" t="s">
        <v>635</v>
      </c>
      <c r="B78" s="28" t="s">
        <v>636</v>
      </c>
      <c r="C78" s="191">
        <v>44259</v>
      </c>
      <c r="D78" s="192">
        <f>60000*1.19</f>
        <v>71400</v>
      </c>
      <c r="E78" s="51">
        <v>8</v>
      </c>
    </row>
    <row r="79" spans="1:37" x14ac:dyDescent="0.35">
      <c r="A79" s="50" t="s">
        <v>633</v>
      </c>
      <c r="B79" s="28" t="s">
        <v>652</v>
      </c>
      <c r="C79" s="9">
        <v>44298</v>
      </c>
      <c r="D79" s="192">
        <f>262085*1.19</f>
        <v>311881.14999999997</v>
      </c>
      <c r="E79" s="51">
        <v>9</v>
      </c>
    </row>
    <row r="80" spans="1:37" x14ac:dyDescent="0.35">
      <c r="A80" s="50" t="s">
        <v>603</v>
      </c>
      <c r="B80" s="28" t="s">
        <v>245</v>
      </c>
      <c r="C80" s="191">
        <v>44235</v>
      </c>
      <c r="D80" s="10">
        <f>2216970-400000</f>
        <v>1816970</v>
      </c>
      <c r="E80" s="51">
        <v>10</v>
      </c>
    </row>
    <row r="81" spans="1:5" x14ac:dyDescent="0.35">
      <c r="A81" s="50" t="s">
        <v>549</v>
      </c>
      <c r="B81" s="28" t="s">
        <v>78</v>
      </c>
      <c r="C81" s="191">
        <v>44195</v>
      </c>
      <c r="D81" s="10">
        <v>240975</v>
      </c>
      <c r="E81" s="51">
        <v>11</v>
      </c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AL65"/>
  <sheetViews>
    <sheetView topLeftCell="A32" workbookViewId="0">
      <selection activeCell="A45" sqref="A45"/>
    </sheetView>
  </sheetViews>
  <sheetFormatPr baseColWidth="10" defaultColWidth="11.08984375" defaultRowHeight="14.5" x14ac:dyDescent="0.35"/>
  <cols>
    <col min="1" max="1" width="39" customWidth="1"/>
    <col min="2" max="2" width="11.1796875" customWidth="1"/>
    <col min="3" max="4" width="13.26953125" customWidth="1"/>
    <col min="5" max="5" width="10.8164062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44409</v>
      </c>
      <c r="G2" s="1">
        <v>44410</v>
      </c>
      <c r="H2" s="1">
        <v>44411</v>
      </c>
      <c r="I2" s="1">
        <v>44412</v>
      </c>
      <c r="J2" s="1">
        <v>44413</v>
      </c>
      <c r="K2" s="1">
        <v>44414</v>
      </c>
      <c r="L2" s="1">
        <v>44415</v>
      </c>
      <c r="M2" s="1">
        <v>44416</v>
      </c>
      <c r="N2" s="1">
        <v>44417</v>
      </c>
      <c r="O2" s="1">
        <v>44418</v>
      </c>
      <c r="P2" s="1">
        <v>44419</v>
      </c>
      <c r="Q2" s="1">
        <v>44420</v>
      </c>
      <c r="R2" s="1">
        <v>44421</v>
      </c>
      <c r="S2" s="1">
        <v>44422</v>
      </c>
      <c r="T2" s="1">
        <v>44423</v>
      </c>
      <c r="U2" s="1">
        <v>44424</v>
      </c>
      <c r="V2" s="1">
        <v>44425</v>
      </c>
      <c r="W2" s="1">
        <v>44426</v>
      </c>
      <c r="X2" s="1">
        <v>44427</v>
      </c>
      <c r="Y2" s="1">
        <v>44428</v>
      </c>
      <c r="Z2" s="1">
        <v>44429</v>
      </c>
      <c r="AA2" s="1">
        <v>44430</v>
      </c>
      <c r="AB2" s="1">
        <v>44431</v>
      </c>
      <c r="AC2" s="1">
        <v>44432</v>
      </c>
      <c r="AD2" s="1">
        <v>44433</v>
      </c>
      <c r="AE2" s="1">
        <v>44434</v>
      </c>
      <c r="AF2" s="1">
        <v>44435</v>
      </c>
      <c r="AG2" s="1">
        <v>44436</v>
      </c>
      <c r="AH2" s="1">
        <v>44437</v>
      </c>
      <c r="AI2" s="1">
        <v>44438</v>
      </c>
      <c r="AJ2" s="1">
        <v>44439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+'JUL-21'!AJ66</f>
        <v>907398.12033613422</v>
      </c>
      <c r="G3" s="3">
        <f t="shared" ref="G3:AG3" si="0">+F56</f>
        <v>907398.12033613422</v>
      </c>
      <c r="H3" s="3">
        <f t="shared" si="0"/>
        <v>907398.12033613422</v>
      </c>
      <c r="I3" s="3">
        <f t="shared" si="0"/>
        <v>907398.12033613422</v>
      </c>
      <c r="J3" s="3">
        <f t="shared" si="0"/>
        <v>848398.12033613422</v>
      </c>
      <c r="K3" s="3">
        <f>+J56</f>
        <v>848398.12033613422</v>
      </c>
      <c r="L3" s="3">
        <f t="shared" si="0"/>
        <v>848398.12033613422</v>
      </c>
      <c r="M3" s="3">
        <f t="shared" si="0"/>
        <v>848398.12033613422</v>
      </c>
      <c r="N3" s="3">
        <f t="shared" si="0"/>
        <v>848398.12033613422</v>
      </c>
      <c r="O3" s="3">
        <f t="shared" si="0"/>
        <v>869580.12033613422</v>
      </c>
      <c r="P3" s="3">
        <f t="shared" si="0"/>
        <v>869580.12033613422</v>
      </c>
      <c r="Q3" s="3">
        <f t="shared" si="0"/>
        <v>868787.12033613422</v>
      </c>
      <c r="R3" s="3">
        <f t="shared" si="0"/>
        <v>1068787.1203361342</v>
      </c>
      <c r="S3" s="3">
        <f t="shared" si="0"/>
        <v>1068787.1203361342</v>
      </c>
      <c r="T3" s="3">
        <f t="shared" si="0"/>
        <v>1068787.1203361342</v>
      </c>
      <c r="U3" s="3">
        <f t="shared" si="0"/>
        <v>1068787.1203361342</v>
      </c>
      <c r="V3" s="3">
        <f t="shared" si="0"/>
        <v>1053547.1203361342</v>
      </c>
      <c r="W3" s="3">
        <f t="shared" si="0"/>
        <v>303547.12033613422</v>
      </c>
      <c r="X3" s="3">
        <f t="shared" si="0"/>
        <v>303547.12033613422</v>
      </c>
      <c r="Y3" s="3">
        <f t="shared" si="0"/>
        <v>303547.12033613422</v>
      </c>
      <c r="Z3" s="3">
        <f t="shared" si="0"/>
        <v>303547.12033613422</v>
      </c>
      <c r="AA3" s="3">
        <f t="shared" si="0"/>
        <v>303547.12033613422</v>
      </c>
      <c r="AB3" s="3">
        <f t="shared" si="0"/>
        <v>303547.12033613422</v>
      </c>
      <c r="AC3" s="3">
        <f t="shared" si="0"/>
        <v>311163.12033613422</v>
      </c>
      <c r="AD3" s="3">
        <f t="shared" si="0"/>
        <v>311163.12033613422</v>
      </c>
      <c r="AE3" s="3">
        <f t="shared" si="0"/>
        <v>311163.12033613422</v>
      </c>
      <c r="AF3" s="3">
        <f t="shared" si="0"/>
        <v>409996.12033613422</v>
      </c>
      <c r="AG3" s="3">
        <f t="shared" si="0"/>
        <v>376639.12033613422</v>
      </c>
      <c r="AH3" s="3">
        <f>+AG56</f>
        <v>376639.12033613422</v>
      </c>
      <c r="AI3" s="3">
        <f>+AH56</f>
        <v>376639.12033613422</v>
      </c>
      <c r="AJ3" s="3">
        <f>+AI56</f>
        <v>59266.970336134254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J5" s="3" t="s">
        <v>13</v>
      </c>
      <c r="AK5" s="3">
        <f>SUM($E5:AJ5)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J6" s="3" t="s">
        <v>13</v>
      </c>
      <c r="AK6" s="3">
        <f>SUM($E6:AJ6)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J7" s="3" t="s">
        <v>13</v>
      </c>
      <c r="AK7" s="3">
        <f>SUM($E7:AJ7)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J8" s="3" t="s">
        <v>13</v>
      </c>
      <c r="AK8" s="3">
        <f>SUM($E8:AJ8)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J9" s="3" t="s">
        <v>13</v>
      </c>
      <c r="AK9" s="3">
        <f>SUM($E9:AJ9)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J10" s="3" t="s">
        <v>13</v>
      </c>
      <c r="AK10" s="3">
        <f>SUM($E10:AJ10)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J11" s="3" t="s">
        <v>13</v>
      </c>
      <c r="AK11" s="3">
        <f>SUM($E11:AJ11)</f>
        <v>0</v>
      </c>
      <c r="AL11" s="3" t="s">
        <v>13</v>
      </c>
    </row>
    <row r="12" spans="1:38" x14ac:dyDescent="0.35">
      <c r="A12" t="s">
        <v>662</v>
      </c>
      <c r="B12" t="s">
        <v>661</v>
      </c>
      <c r="C12" s="5">
        <v>44328</v>
      </c>
      <c r="D12" s="3">
        <v>138825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v>138825</v>
      </c>
      <c r="R12" s="3"/>
      <c r="S12" s="3"/>
      <c r="T12" s="3"/>
      <c r="U12" s="3"/>
      <c r="V12" s="3"/>
      <c r="W12" s="3"/>
      <c r="Z12" t="s">
        <v>13</v>
      </c>
      <c r="AJ12" s="3" t="s">
        <v>13</v>
      </c>
      <c r="AK12" s="3">
        <f>SUM($E12:AJ12)</f>
        <v>138825</v>
      </c>
      <c r="AL12" s="3" t="s">
        <v>13</v>
      </c>
    </row>
    <row r="13" spans="1:38" x14ac:dyDescent="0.35">
      <c r="A13" t="s">
        <v>663</v>
      </c>
      <c r="B13" t="s">
        <v>664</v>
      </c>
      <c r="C13" s="5">
        <v>44335</v>
      </c>
      <c r="D13" s="3">
        <v>76160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f>200000-Q12</f>
        <v>61175</v>
      </c>
      <c r="R13" s="3"/>
      <c r="S13" s="3"/>
      <c r="T13" s="3"/>
      <c r="U13" s="3"/>
      <c r="V13" s="3"/>
      <c r="W13" s="3"/>
      <c r="AE13" s="3">
        <f>+D13-Q13</f>
        <v>14985</v>
      </c>
      <c r="AJ13" s="3" t="s">
        <v>13</v>
      </c>
      <c r="AK13" s="3">
        <f>SUM($E13:AJ13)</f>
        <v>76160</v>
      </c>
      <c r="AL13" s="3" t="s">
        <v>13</v>
      </c>
    </row>
    <row r="14" spans="1:38" x14ac:dyDescent="0.35">
      <c r="A14" t="s">
        <v>734</v>
      </c>
      <c r="B14" t="s">
        <v>735</v>
      </c>
      <c r="C14" s="5">
        <v>44406</v>
      </c>
      <c r="D14" s="3">
        <v>31333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A14" s="3"/>
      <c r="AE14" s="3">
        <v>31333</v>
      </c>
      <c r="AK14" s="3">
        <f>SUM($E14:AJ14)</f>
        <v>31333</v>
      </c>
    </row>
    <row r="15" spans="1:38" x14ac:dyDescent="0.35">
      <c r="A15" t="s">
        <v>737</v>
      </c>
      <c r="B15" t="s">
        <v>736</v>
      </c>
      <c r="C15" s="5">
        <v>44407</v>
      </c>
      <c r="D15" s="3">
        <v>7616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AA15" s="3"/>
      <c r="AB15">
        <v>7616</v>
      </c>
      <c r="AE15" s="3"/>
      <c r="AK15" s="3">
        <f>SUM($E15:AJ15)</f>
        <v>7616</v>
      </c>
    </row>
    <row r="16" spans="1:38" x14ac:dyDescent="0.35">
      <c r="A16" t="s">
        <v>738</v>
      </c>
      <c r="B16" t="s">
        <v>628</v>
      </c>
      <c r="C16" s="5">
        <v>44411</v>
      </c>
      <c r="D16" s="3">
        <v>31333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AA16" s="3"/>
      <c r="AE16" s="3">
        <v>31333</v>
      </c>
      <c r="AK16" s="3">
        <f>SUM($E16:AJ16)</f>
        <v>31333</v>
      </c>
    </row>
    <row r="17" spans="1:37" x14ac:dyDescent="0.35">
      <c r="A17" t="s">
        <v>744</v>
      </c>
      <c r="B17" t="s">
        <v>642</v>
      </c>
      <c r="C17" s="5">
        <v>44415</v>
      </c>
      <c r="D17" s="3">
        <f>(3200*4+5000)*1.19</f>
        <v>21182</v>
      </c>
      <c r="F17" s="3"/>
      <c r="G17" s="3"/>
      <c r="H17" s="3"/>
      <c r="I17" s="3"/>
      <c r="J17" s="3"/>
      <c r="K17" s="3"/>
      <c r="L17" s="3"/>
      <c r="M17" s="3"/>
      <c r="N17" s="3">
        <f>(3200*4+5000)*1.19</f>
        <v>21182</v>
      </c>
      <c r="O17" s="3"/>
      <c r="P17" s="3"/>
      <c r="Q17" s="3"/>
      <c r="R17" s="3"/>
      <c r="S17" s="3"/>
      <c r="T17" s="3"/>
      <c r="U17" s="3"/>
      <c r="V17" s="3"/>
      <c r="W17" s="3"/>
      <c r="AA17" s="3"/>
      <c r="AE17" s="3"/>
      <c r="AK17" s="3">
        <f>SUM($E17:AJ17)</f>
        <v>21182</v>
      </c>
    </row>
    <row r="18" spans="1:37" x14ac:dyDescent="0.35">
      <c r="A18" t="s">
        <v>746</v>
      </c>
      <c r="B18" t="s">
        <v>747</v>
      </c>
      <c r="C18" s="5">
        <v>44420</v>
      </c>
      <c r="D18" s="3">
        <v>31333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A18" s="3"/>
      <c r="AE18" s="3"/>
      <c r="AK18" s="3">
        <f>SUM($E18:AJ18)</f>
        <v>0</v>
      </c>
    </row>
    <row r="19" spans="1:37" x14ac:dyDescent="0.35">
      <c r="A19" t="s">
        <v>770</v>
      </c>
      <c r="B19" t="s">
        <v>771</v>
      </c>
      <c r="C19" s="5">
        <v>44432</v>
      </c>
      <c r="D19" s="3">
        <v>-31333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A19" s="3"/>
      <c r="AK19" s="3">
        <f>SUM($E19:AJ19)</f>
        <v>0</v>
      </c>
    </row>
    <row r="20" spans="1:37" x14ac:dyDescent="0.35">
      <c r="A20" t="s">
        <v>773</v>
      </c>
      <c r="B20" t="s">
        <v>774</v>
      </c>
      <c r="C20" s="5">
        <v>44434</v>
      </c>
      <c r="D20" s="3">
        <f>(3200*4+5000)*1.19</f>
        <v>21182</v>
      </c>
      <c r="F20" s="3"/>
      <c r="G20" s="3"/>
      <c r="H20" s="3" t="s">
        <v>13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A20" s="3"/>
      <c r="AE20" s="3">
        <f>(3200*4+5000)*1.19</f>
        <v>21182</v>
      </c>
      <c r="AK20" s="3">
        <f>SUM($E20:AJ20)</f>
        <v>21182</v>
      </c>
    </row>
    <row r="21" spans="1:37" x14ac:dyDescent="0.35">
      <c r="A21" t="s">
        <v>775</v>
      </c>
      <c r="B21" t="s">
        <v>776</v>
      </c>
      <c r="C21" s="5">
        <v>44434</v>
      </c>
      <c r="D21" s="3">
        <f>(1700*9+5000)*1.19</f>
        <v>24157</v>
      </c>
      <c r="E21" s="3" t="s">
        <v>13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A21" s="3"/>
      <c r="AJ21" s="3">
        <f>(1700*9+5000)*1.19</f>
        <v>24157</v>
      </c>
      <c r="AK21" s="3">
        <f>SUM($E21:AJ21)</f>
        <v>24157</v>
      </c>
    </row>
    <row r="22" spans="1:37" x14ac:dyDescent="0.35">
      <c r="C22" s="5"/>
      <c r="D22" s="3"/>
      <c r="E22" t="s">
        <v>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AA22" s="3"/>
      <c r="AK22" s="72">
        <f>SUM(AK5:AK21)</f>
        <v>351788</v>
      </c>
    </row>
    <row r="23" spans="1:37" s="237" customFormat="1" x14ac:dyDescent="0.35">
      <c r="A23" s="237" t="s">
        <v>385</v>
      </c>
      <c r="C23" s="5">
        <v>43980</v>
      </c>
      <c r="D23" s="237">
        <v>10465</v>
      </c>
      <c r="J23" s="238"/>
      <c r="AG23" s="237" t="s">
        <v>13</v>
      </c>
    </row>
    <row r="24" spans="1:37" x14ac:dyDescent="0.35">
      <c r="A24" t="s">
        <v>60</v>
      </c>
      <c r="D24" s="3">
        <v>0</v>
      </c>
      <c r="F24" s="3" t="s">
        <v>13</v>
      </c>
      <c r="G24" s="3" t="s">
        <v>13</v>
      </c>
      <c r="H24" s="3"/>
      <c r="I24" s="3"/>
      <c r="J24" s="3"/>
      <c r="K24" s="3" t="s">
        <v>13</v>
      </c>
      <c r="M24" s="3"/>
      <c r="N24" s="3"/>
      <c r="O24" s="3" t="s">
        <v>13</v>
      </c>
      <c r="P24" s="3"/>
      <c r="Q24" s="3"/>
      <c r="R24" s="3" t="s">
        <v>13</v>
      </c>
      <c r="S24" s="3"/>
      <c r="T24" s="3"/>
      <c r="U24" s="3"/>
      <c r="V24" s="3"/>
      <c r="W24" s="3"/>
      <c r="Y24" t="s">
        <v>13</v>
      </c>
    </row>
    <row r="25" spans="1:37" x14ac:dyDescent="0.35">
      <c r="A25" t="s">
        <v>1</v>
      </c>
      <c r="F25" s="3"/>
      <c r="G25" s="3" t="s">
        <v>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37" x14ac:dyDescent="0.35">
      <c r="A26" t="s">
        <v>478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 t="s">
        <v>13</v>
      </c>
      <c r="S26" s="3"/>
      <c r="T26" s="3"/>
      <c r="U26" s="3"/>
      <c r="V26" s="3"/>
      <c r="W26" s="3"/>
    </row>
    <row r="27" spans="1:37" x14ac:dyDescent="0.35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7" x14ac:dyDescent="0.3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7" x14ac:dyDescent="0.35">
      <c r="A29" s="2" t="s">
        <v>6</v>
      </c>
      <c r="F29" s="3">
        <f t="shared" ref="F29:AJ29" si="1">SUM(F5:F28)</f>
        <v>0</v>
      </c>
      <c r="G29" s="3">
        <f t="shared" si="1"/>
        <v>0</v>
      </c>
      <c r="H29" s="3">
        <f t="shared" si="1"/>
        <v>0</v>
      </c>
      <c r="I29" s="3">
        <f t="shared" si="1"/>
        <v>0</v>
      </c>
      <c r="J29" s="3">
        <f t="shared" si="1"/>
        <v>0</v>
      </c>
      <c r="K29" s="3">
        <f t="shared" si="1"/>
        <v>0</v>
      </c>
      <c r="L29" s="3">
        <f t="shared" si="1"/>
        <v>0</v>
      </c>
      <c r="M29" s="3">
        <f t="shared" si="1"/>
        <v>0</v>
      </c>
      <c r="N29" s="3">
        <f t="shared" si="1"/>
        <v>21182</v>
      </c>
      <c r="O29" s="3">
        <f t="shared" si="1"/>
        <v>0</v>
      </c>
      <c r="P29" s="3">
        <f t="shared" si="1"/>
        <v>0</v>
      </c>
      <c r="Q29" s="3">
        <f t="shared" si="1"/>
        <v>200000</v>
      </c>
      <c r="R29" s="3">
        <f t="shared" si="1"/>
        <v>0</v>
      </c>
      <c r="S29" s="3">
        <f t="shared" si="1"/>
        <v>0</v>
      </c>
      <c r="T29" s="3">
        <f t="shared" si="1"/>
        <v>0</v>
      </c>
      <c r="U29" s="3">
        <f t="shared" si="1"/>
        <v>0</v>
      </c>
      <c r="V29" s="3">
        <f t="shared" si="1"/>
        <v>0</v>
      </c>
      <c r="W29" s="3">
        <f t="shared" si="1"/>
        <v>0</v>
      </c>
      <c r="X29" s="3">
        <f t="shared" si="1"/>
        <v>0</v>
      </c>
      <c r="Y29" s="3">
        <f t="shared" si="1"/>
        <v>0</v>
      </c>
      <c r="Z29" s="3">
        <f t="shared" si="1"/>
        <v>0</v>
      </c>
      <c r="AA29" s="3">
        <f t="shared" si="1"/>
        <v>0</v>
      </c>
      <c r="AB29" s="3">
        <f t="shared" si="1"/>
        <v>7616</v>
      </c>
      <c r="AC29" s="3">
        <f t="shared" si="1"/>
        <v>0</v>
      </c>
      <c r="AD29" s="3">
        <f t="shared" si="1"/>
        <v>0</v>
      </c>
      <c r="AE29" s="3">
        <f t="shared" si="1"/>
        <v>98833</v>
      </c>
      <c r="AF29" s="3">
        <f t="shared" si="1"/>
        <v>0</v>
      </c>
      <c r="AG29" s="3">
        <f t="shared" si="1"/>
        <v>0</v>
      </c>
      <c r="AH29" s="3">
        <f t="shared" si="1"/>
        <v>0</v>
      </c>
      <c r="AI29" s="3">
        <f t="shared" si="1"/>
        <v>0</v>
      </c>
      <c r="AJ29" s="3">
        <f t="shared" si="1"/>
        <v>24157</v>
      </c>
    </row>
    <row r="30" spans="1:37" x14ac:dyDescent="0.35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7" x14ac:dyDescent="0.35">
      <c r="A31" s="2" t="s">
        <v>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7" x14ac:dyDescent="0.35">
      <c r="A32" s="4" t="s">
        <v>751</v>
      </c>
      <c r="B32" s="24" t="s">
        <v>752</v>
      </c>
      <c r="C32" s="67"/>
      <c r="D32" s="3">
        <v>750000</v>
      </c>
      <c r="F32" s="3"/>
      <c r="G32" s="3"/>
      <c r="H32" s="3"/>
      <c r="I32" s="3"/>
      <c r="K32" s="3"/>
      <c r="L32" s="3"/>
      <c r="M32" s="3"/>
      <c r="P32" s="3"/>
      <c r="Q32" s="3"/>
      <c r="R32" s="3"/>
      <c r="S32" s="3"/>
      <c r="T32" s="3"/>
      <c r="U32" s="3"/>
      <c r="V32" s="3">
        <v>750000</v>
      </c>
      <c r="W32" s="3"/>
      <c r="AJ32" s="3" t="s">
        <v>13</v>
      </c>
      <c r="AK32" s="3">
        <f>SUM($F32:AJ32)</f>
        <v>750000</v>
      </c>
    </row>
    <row r="33" spans="1:37" x14ac:dyDescent="0.35">
      <c r="A33" s="4" t="s">
        <v>492</v>
      </c>
      <c r="B33" s="24" t="s">
        <v>337</v>
      </c>
      <c r="C33" s="67"/>
      <c r="D33" s="3">
        <v>250000</v>
      </c>
      <c r="F33" s="3"/>
      <c r="G33" s="3"/>
      <c r="H33" s="3"/>
      <c r="I33" s="3"/>
      <c r="K33" s="3"/>
      <c r="L33" s="3"/>
      <c r="M33" s="3"/>
      <c r="P33" s="3"/>
      <c r="Q33" s="3"/>
      <c r="R33" s="3"/>
      <c r="S33" s="3"/>
      <c r="T33" s="3"/>
      <c r="U33" s="3"/>
      <c r="V33" s="3" t="s">
        <v>13</v>
      </c>
      <c r="W33" s="3"/>
      <c r="AJ33" s="3" t="s">
        <v>13</v>
      </c>
      <c r="AK33" s="3">
        <f>SUM($F33:AJ33)</f>
        <v>0</v>
      </c>
    </row>
    <row r="34" spans="1:37" x14ac:dyDescent="0.35">
      <c r="A34" s="4" t="s">
        <v>494</v>
      </c>
      <c r="B34" s="24" t="s">
        <v>337</v>
      </c>
      <c r="C34" s="67"/>
      <c r="D34" s="3">
        <v>500000</v>
      </c>
      <c r="F34" s="3"/>
      <c r="G34" s="3"/>
      <c r="H34" s="3"/>
      <c r="I34" s="3"/>
      <c r="K34" s="3"/>
      <c r="L34" s="3"/>
      <c r="M34" s="3"/>
      <c r="P34" s="3"/>
      <c r="Q34" s="3"/>
      <c r="R34" s="3"/>
      <c r="S34" s="3"/>
      <c r="T34" s="3"/>
      <c r="U34" s="3"/>
      <c r="V34" s="3"/>
      <c r="W34" s="3"/>
      <c r="AJ34" s="3" t="s">
        <v>13</v>
      </c>
      <c r="AK34" s="3">
        <f>SUM($F34:AJ34)</f>
        <v>0</v>
      </c>
    </row>
    <row r="35" spans="1:37" x14ac:dyDescent="0.35">
      <c r="A35" s="4" t="s">
        <v>495</v>
      </c>
      <c r="B35" s="24" t="s">
        <v>337</v>
      </c>
      <c r="C35" s="67"/>
      <c r="D35" s="3">
        <v>500000</v>
      </c>
      <c r="F35" s="3"/>
      <c r="G35" s="3"/>
      <c r="H35" s="3"/>
      <c r="I35" s="3"/>
      <c r="K35" s="3"/>
      <c r="L35" s="3"/>
      <c r="M35" s="104" t="s">
        <v>13</v>
      </c>
      <c r="P35" s="3"/>
      <c r="Q35" s="3"/>
      <c r="R35" s="3"/>
      <c r="S35" s="3"/>
      <c r="T35" s="3"/>
      <c r="U35" s="3"/>
      <c r="V35" s="3"/>
      <c r="W35" s="3"/>
      <c r="AJ35" s="3" t="s">
        <v>13</v>
      </c>
      <c r="AK35" s="3">
        <f>SUM($F35:AJ35)</f>
        <v>0</v>
      </c>
    </row>
    <row r="36" spans="1:37" x14ac:dyDescent="0.35">
      <c r="A36" s="4" t="s">
        <v>541</v>
      </c>
      <c r="B36" s="24" t="s">
        <v>337</v>
      </c>
      <c r="C36" s="67"/>
      <c r="D36" s="3">
        <v>500000</v>
      </c>
      <c r="F36" s="3"/>
      <c r="G36" s="3"/>
      <c r="H36" s="3"/>
      <c r="I36" s="3"/>
      <c r="K36" s="3"/>
      <c r="L36" s="3"/>
      <c r="M36" s="3"/>
      <c r="P36" s="3"/>
      <c r="Q36" s="3"/>
      <c r="R36" s="3"/>
      <c r="S36" s="3"/>
      <c r="T36" s="3"/>
      <c r="U36" s="3"/>
      <c r="V36" s="3"/>
      <c r="W36" s="3"/>
      <c r="AJ36" s="3" t="s">
        <v>13</v>
      </c>
      <c r="AK36" s="3">
        <f>SUM($F36:AJ36)</f>
        <v>0</v>
      </c>
    </row>
    <row r="37" spans="1:37" x14ac:dyDescent="0.35">
      <c r="A37" s="4" t="s">
        <v>576</v>
      </c>
      <c r="B37" s="24" t="s">
        <v>337</v>
      </c>
      <c r="C37" s="67"/>
      <c r="D37" s="3">
        <v>500000</v>
      </c>
      <c r="H37" t="s">
        <v>13</v>
      </c>
      <c r="I37" t="s">
        <v>13</v>
      </c>
      <c r="L37" s="3"/>
      <c r="M37" s="3"/>
      <c r="P37" s="3"/>
      <c r="Q37" s="3"/>
      <c r="AJ37" s="3" t="s">
        <v>13</v>
      </c>
      <c r="AK37" s="3">
        <f>SUM($F37:AJ37)</f>
        <v>0</v>
      </c>
    </row>
    <row r="38" spans="1:37" x14ac:dyDescent="0.35">
      <c r="A38" s="4" t="s">
        <v>629</v>
      </c>
      <c r="B38" s="24" t="s">
        <v>337</v>
      </c>
      <c r="C38" s="67"/>
      <c r="D38" s="3">
        <v>500000</v>
      </c>
      <c r="L38" s="3"/>
      <c r="M38" s="3"/>
      <c r="P38" s="3"/>
      <c r="Q38" s="3"/>
      <c r="AG38" s="3"/>
      <c r="AJ38" s="3" t="s">
        <v>13</v>
      </c>
      <c r="AK38" s="3">
        <f>SUM($F38:AJ38)</f>
        <v>0</v>
      </c>
    </row>
    <row r="39" spans="1:37" x14ac:dyDescent="0.35">
      <c r="A39" s="4" t="s">
        <v>646</v>
      </c>
      <c r="B39" s="24" t="s">
        <v>337</v>
      </c>
      <c r="C39" s="67"/>
      <c r="D39" s="3">
        <v>250000</v>
      </c>
      <c r="H39" t="s">
        <v>13</v>
      </c>
      <c r="J39" t="s">
        <v>13</v>
      </c>
      <c r="L39" s="3"/>
      <c r="M39" s="3"/>
      <c r="P39" s="3"/>
      <c r="Q39" s="3"/>
      <c r="AG39" s="3"/>
      <c r="AJ39" s="3"/>
      <c r="AK39" s="3">
        <f>SUM($F39:AJ39)</f>
        <v>0</v>
      </c>
    </row>
    <row r="40" spans="1:37" x14ac:dyDescent="0.35">
      <c r="A40" t="s">
        <v>644</v>
      </c>
      <c r="B40" t="s">
        <v>337</v>
      </c>
      <c r="C40" s="5" t="s">
        <v>13</v>
      </c>
      <c r="D40" s="3">
        <f>+'MAR-21'!AK19*0.17</f>
        <v>93733.693333333329</v>
      </c>
      <c r="G40" s="3" t="s">
        <v>13</v>
      </c>
      <c r="H40" t="s">
        <v>13</v>
      </c>
      <c r="L40" s="3"/>
      <c r="M40" s="3"/>
      <c r="P40" s="3"/>
      <c r="Q40" s="3"/>
      <c r="AG40" s="3"/>
      <c r="AK40" s="3">
        <f>SUM($F40:AJ40)</f>
        <v>0</v>
      </c>
    </row>
    <row r="41" spans="1:37" x14ac:dyDescent="0.35">
      <c r="A41" s="4" t="s">
        <v>549</v>
      </c>
      <c r="B41" s="24" t="s">
        <v>78</v>
      </c>
      <c r="C41" s="67">
        <v>44195</v>
      </c>
      <c r="D41" s="3">
        <v>240975</v>
      </c>
      <c r="E41" s="15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AF41" s="3"/>
      <c r="AG41" s="3"/>
      <c r="AK41" s="3">
        <f>SUM($F41:AJ41)</f>
        <v>0</v>
      </c>
    </row>
    <row r="42" spans="1:37" x14ac:dyDescent="0.35">
      <c r="A42" s="4" t="s">
        <v>603</v>
      </c>
      <c r="B42" s="24" t="s">
        <v>245</v>
      </c>
      <c r="C42" s="67">
        <v>44235</v>
      </c>
      <c r="D42" s="3">
        <f>2216970-'MAR-21'!$H$45</f>
        <v>1816970</v>
      </c>
      <c r="E42" s="153" t="s">
        <v>13</v>
      </c>
      <c r="F42" s="3"/>
      <c r="G42" s="3" t="s">
        <v>13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F42" s="3"/>
      <c r="AG42" s="3"/>
      <c r="AJ42" s="3" t="s">
        <v>13</v>
      </c>
      <c r="AK42" s="3">
        <f>SUM($F42:AJ42)</f>
        <v>0</v>
      </c>
    </row>
    <row r="43" spans="1:37" x14ac:dyDescent="0.35">
      <c r="A43" s="4" t="s">
        <v>726</v>
      </c>
      <c r="B43" s="24" t="s">
        <v>652</v>
      </c>
      <c r="C43" s="5">
        <v>44298</v>
      </c>
      <c r="D43" s="7">
        <f>262085*1.19</f>
        <v>311881.14999999997</v>
      </c>
      <c r="E43" s="153" t="s">
        <v>13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AG43" s="3"/>
      <c r="AI43" s="3">
        <f>262085*1.19</f>
        <v>311881.14999999997</v>
      </c>
      <c r="AK43" s="3">
        <f>SUM($F43:AJ43)</f>
        <v>311881.14999999997</v>
      </c>
    </row>
    <row r="44" spans="1:37" x14ac:dyDescent="0.35">
      <c r="A44" s="4" t="s">
        <v>748</v>
      </c>
      <c r="B44" s="24"/>
      <c r="C44" s="5">
        <v>44419</v>
      </c>
      <c r="D44" s="3">
        <v>793</v>
      </c>
      <c r="E44" s="153" t="s">
        <v>13</v>
      </c>
      <c r="F44" s="3"/>
      <c r="G44" s="3"/>
      <c r="H44" s="3"/>
      <c r="I44" s="3"/>
      <c r="J44" s="3"/>
      <c r="K44" s="3"/>
      <c r="L44" s="3"/>
      <c r="M44" s="3"/>
      <c r="N44" s="3"/>
      <c r="O44" s="3" t="s">
        <v>13</v>
      </c>
      <c r="P44" s="3">
        <v>793</v>
      </c>
      <c r="Q44" s="3"/>
      <c r="R44" s="3"/>
      <c r="S44" s="3"/>
      <c r="T44" s="3"/>
      <c r="U44" s="3"/>
      <c r="V44" s="3"/>
      <c r="W44" s="3"/>
      <c r="Y44" s="3"/>
      <c r="AF44" s="3"/>
      <c r="AG44" s="3"/>
      <c r="AI44" s="3"/>
      <c r="AK44" s="3">
        <f>SUM($F44:AJ44)</f>
        <v>793</v>
      </c>
    </row>
    <row r="45" spans="1:37" x14ac:dyDescent="0.35">
      <c r="A45" s="4" t="s">
        <v>731</v>
      </c>
      <c r="B45" s="24"/>
      <c r="C45" s="5">
        <v>44404</v>
      </c>
      <c r="D45" s="3">
        <f>+(13.3+3.5+12.5)*950/9+1304+935</f>
        <v>5331.7777777777774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A45" s="3"/>
      <c r="AF45" s="3">
        <v>5332</v>
      </c>
      <c r="AG45" s="3"/>
      <c r="AK45" s="3">
        <f>SUM($F45:AJ45)</f>
        <v>5332</v>
      </c>
    </row>
    <row r="46" spans="1:37" x14ac:dyDescent="0.35">
      <c r="A46" s="4" t="s">
        <v>710</v>
      </c>
      <c r="B46" s="24" t="s">
        <v>780</v>
      </c>
      <c r="C46" s="67" t="s">
        <v>13</v>
      </c>
      <c r="D46" s="3">
        <v>59000</v>
      </c>
      <c r="F46" s="3"/>
      <c r="G46" s="3"/>
      <c r="H46" s="3"/>
      <c r="I46" s="3">
        <v>59000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A46" s="3"/>
      <c r="AF46" s="3"/>
      <c r="AG46" s="3"/>
      <c r="AK46" s="3">
        <f>SUM($F46:AJ46)</f>
        <v>59000</v>
      </c>
    </row>
    <row r="47" spans="1:37" x14ac:dyDescent="0.35">
      <c r="A47" s="4" t="s">
        <v>745</v>
      </c>
      <c r="B47" s="24"/>
      <c r="C47" s="5">
        <v>44415</v>
      </c>
      <c r="D47" s="3">
        <v>5000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A47" s="3"/>
      <c r="AF47" s="3">
        <v>5000</v>
      </c>
      <c r="AG47" s="3"/>
      <c r="AK47" s="3">
        <f>SUM($F47:AJ47)</f>
        <v>5000</v>
      </c>
    </row>
    <row r="48" spans="1:37" x14ac:dyDescent="0.35">
      <c r="A48" s="4" t="s">
        <v>749</v>
      </c>
      <c r="B48" s="24" t="s">
        <v>750</v>
      </c>
      <c r="C48" s="5"/>
      <c r="D48" s="3">
        <v>15240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>
        <v>15240</v>
      </c>
      <c r="V48" s="3"/>
      <c r="W48" s="3"/>
      <c r="Y48" s="3"/>
      <c r="AA48" s="3"/>
      <c r="AF48" s="3"/>
      <c r="AG48" s="3"/>
      <c r="AK48" s="3">
        <f>SUM($F48:AJ48)</f>
        <v>15240</v>
      </c>
    </row>
    <row r="49" spans="1:37" x14ac:dyDescent="0.35">
      <c r="A49" s="4" t="s">
        <v>753</v>
      </c>
      <c r="B49" s="24"/>
      <c r="C49" s="5"/>
      <c r="D49" s="3">
        <f>+(28.5*2)*950/9+1989+2999+1010*2</f>
        <v>13024.666666666668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A49" s="3"/>
      <c r="AF49" s="3">
        <v>13025</v>
      </c>
      <c r="AG49" s="3"/>
      <c r="AK49" s="3">
        <f>SUM($F49:AJ49)</f>
        <v>13025</v>
      </c>
    </row>
    <row r="50" spans="1:37" x14ac:dyDescent="0.35">
      <c r="A50" s="4" t="s">
        <v>745</v>
      </c>
      <c r="B50" s="24"/>
      <c r="C50" s="5">
        <v>44433</v>
      </c>
      <c r="D50" s="3">
        <v>5000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A50" s="3"/>
      <c r="AF50" s="3">
        <v>5000</v>
      </c>
      <c r="AG50" s="3"/>
      <c r="AK50" s="3">
        <f>SUM($F50:AJ50)</f>
        <v>5000</v>
      </c>
    </row>
    <row r="51" spans="1:37" x14ac:dyDescent="0.35">
      <c r="A51" s="4" t="s">
        <v>772</v>
      </c>
      <c r="B51" s="24"/>
      <c r="C51" s="5">
        <v>44434</v>
      </c>
      <c r="D51" s="3">
        <v>5000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AF51" s="3">
        <v>5000</v>
      </c>
      <c r="AG51" s="3"/>
      <c r="AK51" s="3">
        <f>SUM($F51:AJ51)</f>
        <v>5000</v>
      </c>
    </row>
    <row r="52" spans="1:37" x14ac:dyDescent="0.35">
      <c r="A52" s="4" t="s">
        <v>777</v>
      </c>
      <c r="B52" s="24" t="s">
        <v>778</v>
      </c>
      <c r="C52" s="5">
        <v>44432</v>
      </c>
      <c r="D52" s="3">
        <v>5491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  <c r="AF52" s="3"/>
      <c r="AG52" s="3"/>
      <c r="AI52" s="3">
        <v>5491</v>
      </c>
      <c r="AK52" s="3">
        <f>SUM($F52:AJ52)</f>
        <v>5491</v>
      </c>
    </row>
    <row r="53" spans="1:37" x14ac:dyDescent="0.35">
      <c r="A53" s="4" t="s">
        <v>779</v>
      </c>
      <c r="B53" s="24"/>
      <c r="C53" s="5">
        <v>44439</v>
      </c>
      <c r="D53" s="3">
        <f>+(14.4*2)*925/9+1304+935</f>
        <v>5199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AK53" s="3">
        <f>SUM($F53:AJ53)</f>
        <v>0</v>
      </c>
    </row>
    <row r="54" spans="1:37" x14ac:dyDescent="0.35">
      <c r="A54" s="4"/>
      <c r="B54" s="24"/>
      <c r="C54" s="5"/>
      <c r="D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</row>
    <row r="55" spans="1:37" x14ac:dyDescent="0.35">
      <c r="A55" s="2" t="s">
        <v>9</v>
      </c>
      <c r="F55" s="3">
        <f t="shared" ref="F55:AJ55" si="2">SUM(F32:F53)</f>
        <v>0</v>
      </c>
      <c r="G55" s="3">
        <f t="shared" si="2"/>
        <v>0</v>
      </c>
      <c r="H55" s="3">
        <f t="shared" si="2"/>
        <v>0</v>
      </c>
      <c r="I55" s="3">
        <f t="shared" si="2"/>
        <v>59000</v>
      </c>
      <c r="J55" s="3">
        <f t="shared" si="2"/>
        <v>0</v>
      </c>
      <c r="K55" s="3">
        <f t="shared" si="2"/>
        <v>0</v>
      </c>
      <c r="L55" s="3">
        <f t="shared" si="2"/>
        <v>0</v>
      </c>
      <c r="M55" s="3">
        <f t="shared" si="2"/>
        <v>0</v>
      </c>
      <c r="N55" s="3">
        <f t="shared" si="2"/>
        <v>0</v>
      </c>
      <c r="O55" s="3">
        <f t="shared" si="2"/>
        <v>0</v>
      </c>
      <c r="P55" s="3">
        <f t="shared" si="2"/>
        <v>793</v>
      </c>
      <c r="Q55" s="3">
        <f t="shared" si="2"/>
        <v>0</v>
      </c>
      <c r="R55" s="3">
        <f t="shared" si="2"/>
        <v>0</v>
      </c>
      <c r="S55" s="3">
        <f t="shared" si="2"/>
        <v>0</v>
      </c>
      <c r="T55" s="3">
        <f t="shared" si="2"/>
        <v>0</v>
      </c>
      <c r="U55" s="3">
        <f t="shared" si="2"/>
        <v>15240</v>
      </c>
      <c r="V55" s="3">
        <f t="shared" si="2"/>
        <v>750000</v>
      </c>
      <c r="W55" s="3">
        <f t="shared" si="2"/>
        <v>0</v>
      </c>
      <c r="X55" s="3">
        <f t="shared" si="2"/>
        <v>0</v>
      </c>
      <c r="Y55" s="3">
        <f t="shared" si="2"/>
        <v>0</v>
      </c>
      <c r="Z55" s="3">
        <f t="shared" si="2"/>
        <v>0</v>
      </c>
      <c r="AA55" s="3">
        <f t="shared" si="2"/>
        <v>0</v>
      </c>
      <c r="AB55" s="3">
        <f t="shared" si="2"/>
        <v>0</v>
      </c>
      <c r="AC55" s="3">
        <f t="shared" si="2"/>
        <v>0</v>
      </c>
      <c r="AD55" s="3">
        <f t="shared" si="2"/>
        <v>0</v>
      </c>
      <c r="AE55" s="3">
        <f t="shared" si="2"/>
        <v>0</v>
      </c>
      <c r="AF55" s="3">
        <f t="shared" si="2"/>
        <v>33357</v>
      </c>
      <c r="AG55" s="3">
        <f t="shared" si="2"/>
        <v>0</v>
      </c>
      <c r="AH55" s="3">
        <f t="shared" si="2"/>
        <v>0</v>
      </c>
      <c r="AI55" s="3">
        <f t="shared" si="2"/>
        <v>317372.14999999997</v>
      </c>
      <c r="AJ55" s="3">
        <f t="shared" si="2"/>
        <v>0</v>
      </c>
      <c r="AK55" s="3" t="s">
        <v>13</v>
      </c>
    </row>
    <row r="56" spans="1:37" x14ac:dyDescent="0.35">
      <c r="A56" t="s">
        <v>8</v>
      </c>
      <c r="F56" s="3">
        <f>+F29+F3-F55</f>
        <v>907398.12033613422</v>
      </c>
      <c r="G56" s="3">
        <f t="shared" ref="G56:AJ56" si="3">+G3+G29-G55</f>
        <v>907398.12033613422</v>
      </c>
      <c r="H56" s="3">
        <f t="shared" si="3"/>
        <v>907398.12033613422</v>
      </c>
      <c r="I56" s="3">
        <f t="shared" si="3"/>
        <v>848398.12033613422</v>
      </c>
      <c r="J56" s="3">
        <f t="shared" si="3"/>
        <v>848398.12033613422</v>
      </c>
      <c r="K56" s="3">
        <f t="shared" si="3"/>
        <v>848398.12033613422</v>
      </c>
      <c r="L56" s="3">
        <f t="shared" si="3"/>
        <v>848398.12033613422</v>
      </c>
      <c r="M56" s="3">
        <f t="shared" si="3"/>
        <v>848398.12033613422</v>
      </c>
      <c r="N56" s="3">
        <f t="shared" si="3"/>
        <v>869580.12033613422</v>
      </c>
      <c r="O56" s="3">
        <f t="shared" si="3"/>
        <v>869580.12033613422</v>
      </c>
      <c r="P56" s="3">
        <f t="shared" si="3"/>
        <v>868787.12033613422</v>
      </c>
      <c r="Q56" s="3">
        <f t="shared" si="3"/>
        <v>1068787.1203361342</v>
      </c>
      <c r="R56" s="3">
        <f t="shared" si="3"/>
        <v>1068787.1203361342</v>
      </c>
      <c r="S56" s="3">
        <f t="shared" si="3"/>
        <v>1068787.1203361342</v>
      </c>
      <c r="T56" s="3">
        <f t="shared" si="3"/>
        <v>1068787.1203361342</v>
      </c>
      <c r="U56" s="3">
        <f t="shared" si="3"/>
        <v>1053547.1203361342</v>
      </c>
      <c r="V56" s="3">
        <f t="shared" si="3"/>
        <v>303547.12033613422</v>
      </c>
      <c r="W56" s="3">
        <f t="shared" si="3"/>
        <v>303547.12033613422</v>
      </c>
      <c r="X56" s="3">
        <f t="shared" si="3"/>
        <v>303547.12033613422</v>
      </c>
      <c r="Y56" s="3">
        <f t="shared" si="3"/>
        <v>303547.12033613422</v>
      </c>
      <c r="Z56" s="3">
        <f t="shared" si="3"/>
        <v>303547.12033613422</v>
      </c>
      <c r="AA56" s="3">
        <f t="shared" si="3"/>
        <v>303547.12033613422</v>
      </c>
      <c r="AB56" s="3">
        <f t="shared" si="3"/>
        <v>311163.12033613422</v>
      </c>
      <c r="AC56" s="3">
        <f t="shared" si="3"/>
        <v>311163.12033613422</v>
      </c>
      <c r="AD56" s="3">
        <f t="shared" si="3"/>
        <v>311163.12033613422</v>
      </c>
      <c r="AE56" s="3">
        <f t="shared" si="3"/>
        <v>409996.12033613422</v>
      </c>
      <c r="AF56" s="3">
        <f t="shared" si="3"/>
        <v>376639.12033613422</v>
      </c>
      <c r="AG56" s="3">
        <f t="shared" si="3"/>
        <v>376639.12033613422</v>
      </c>
      <c r="AH56" s="3">
        <f t="shared" si="3"/>
        <v>376639.12033613422</v>
      </c>
      <c r="AI56" s="3">
        <f t="shared" si="3"/>
        <v>59266.970336134254</v>
      </c>
      <c r="AJ56" s="3">
        <f t="shared" si="3"/>
        <v>83423.970336134254</v>
      </c>
      <c r="AK56" s="3" t="s">
        <v>13</v>
      </c>
    </row>
    <row r="57" spans="1:37" x14ac:dyDescent="0.35">
      <c r="F57" s="3"/>
      <c r="G57" s="3"/>
      <c r="H57" s="3"/>
      <c r="I57" s="3" t="s">
        <v>13</v>
      </c>
      <c r="J57" s="3"/>
      <c r="K57" s="3"/>
      <c r="L57" s="3"/>
      <c r="M57" s="3"/>
      <c r="N57" s="3"/>
      <c r="O57" s="3"/>
      <c r="P57" s="3" t="s">
        <v>13</v>
      </c>
      <c r="Q57" s="3"/>
      <c r="R57" s="3"/>
      <c r="S57" s="3"/>
      <c r="T57" s="3" t="s">
        <v>13</v>
      </c>
      <c r="U57" s="3"/>
      <c r="V57" s="3"/>
      <c r="W57" s="3"/>
      <c r="Y57" s="3" t="s">
        <v>13</v>
      </c>
      <c r="AA57" s="3" t="s">
        <v>13</v>
      </c>
      <c r="AB57" s="3" t="s">
        <v>13</v>
      </c>
    </row>
    <row r="58" spans="1:37" x14ac:dyDescent="0.35">
      <c r="B58" t="s">
        <v>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 t="s">
        <v>13</v>
      </c>
      <c r="Q58" s="3" t="s">
        <v>13</v>
      </c>
      <c r="R58" s="3"/>
      <c r="S58" s="3"/>
      <c r="T58" s="3"/>
      <c r="U58" s="3" t="s">
        <v>13</v>
      </c>
      <c r="V58" s="3"/>
      <c r="W58" s="3"/>
      <c r="AB58" s="3" t="s">
        <v>13</v>
      </c>
    </row>
    <row r="59" spans="1:37" x14ac:dyDescent="0.35"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 t="s">
        <v>13</v>
      </c>
      <c r="U59" s="3"/>
      <c r="V59" s="3"/>
      <c r="W59" s="3"/>
      <c r="AB59" s="3" t="s">
        <v>13</v>
      </c>
    </row>
    <row r="60" spans="1:37" ht="15" thickBot="1" x14ac:dyDescent="0.4">
      <c r="E60" s="205" t="s">
        <v>655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 t="s">
        <v>13</v>
      </c>
      <c r="AB60" s="3" t="s">
        <v>13</v>
      </c>
    </row>
    <row r="61" spans="1:37" x14ac:dyDescent="0.35">
      <c r="A61" s="197" t="s">
        <v>13</v>
      </c>
      <c r="B61" s="30"/>
      <c r="C61" s="124" t="s">
        <v>13</v>
      </c>
      <c r="D61" s="198" t="s">
        <v>13</v>
      </c>
      <c r="E61" s="57" t="s">
        <v>13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AB61" s="3" t="s">
        <v>13</v>
      </c>
    </row>
    <row r="62" spans="1:37" x14ac:dyDescent="0.35">
      <c r="A62" s="199" t="s">
        <v>13</v>
      </c>
      <c r="B62" s="28" t="s">
        <v>13</v>
      </c>
      <c r="C62" s="9" t="s">
        <v>13</v>
      </c>
      <c r="D62" s="10" t="s">
        <v>13</v>
      </c>
      <c r="E62" s="202" t="s">
        <v>13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AB62" s="3" t="s">
        <v>13</v>
      </c>
    </row>
    <row r="63" spans="1:37" x14ac:dyDescent="0.35">
      <c r="A63" s="199" t="s">
        <v>633</v>
      </c>
      <c r="B63" s="28" t="s">
        <v>652</v>
      </c>
      <c r="C63" s="9">
        <v>44298</v>
      </c>
      <c r="D63" s="192">
        <f>262085*1.19</f>
        <v>311881.14999999997</v>
      </c>
      <c r="E63" s="202">
        <v>1</v>
      </c>
    </row>
    <row r="64" spans="1:37" x14ac:dyDescent="0.35">
      <c r="A64" s="199" t="s">
        <v>603</v>
      </c>
      <c r="B64" s="28" t="s">
        <v>245</v>
      </c>
      <c r="C64" s="191">
        <v>44235</v>
      </c>
      <c r="D64" s="10">
        <f>2216970-400000</f>
        <v>1816970</v>
      </c>
      <c r="E64" s="202">
        <v>2</v>
      </c>
    </row>
    <row r="65" spans="1:5" ht="15" thickBot="1" x14ac:dyDescent="0.4">
      <c r="A65" s="200" t="s">
        <v>549</v>
      </c>
      <c r="B65" s="34" t="s">
        <v>78</v>
      </c>
      <c r="C65" s="201">
        <v>44195</v>
      </c>
      <c r="D65" s="18">
        <v>240975</v>
      </c>
      <c r="E65" s="203">
        <v>3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L51"/>
  <sheetViews>
    <sheetView workbookViewId="0"/>
  </sheetViews>
  <sheetFormatPr baseColWidth="10" defaultColWidth="11.08984375" defaultRowHeight="14.5" x14ac:dyDescent="0.35"/>
  <cols>
    <col min="1" max="1" width="39" customWidth="1"/>
    <col min="2" max="2" width="11.1796875" customWidth="1"/>
    <col min="3" max="4" width="13.26953125" customWidth="1"/>
    <col min="5" max="5" width="10.8164062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44440</v>
      </c>
      <c r="G2" s="1">
        <v>44441</v>
      </c>
      <c r="H2" s="1">
        <v>44442</v>
      </c>
      <c r="I2" s="1">
        <v>44443</v>
      </c>
      <c r="J2" s="1">
        <v>44444</v>
      </c>
      <c r="K2" s="1">
        <v>44445</v>
      </c>
      <c r="L2" s="1">
        <v>44446</v>
      </c>
      <c r="M2" s="1">
        <v>44447</v>
      </c>
      <c r="N2" s="1">
        <v>44448</v>
      </c>
      <c r="O2" s="1">
        <v>44449</v>
      </c>
      <c r="P2" s="1">
        <v>44450</v>
      </c>
      <c r="Q2" s="1">
        <v>44451</v>
      </c>
      <c r="R2" s="1">
        <v>44452</v>
      </c>
      <c r="S2" s="1">
        <v>44453</v>
      </c>
      <c r="T2" s="1">
        <v>44454</v>
      </c>
      <c r="U2" s="1">
        <v>44455</v>
      </c>
      <c r="V2" s="1">
        <v>44456</v>
      </c>
      <c r="W2" s="1">
        <v>44457</v>
      </c>
      <c r="X2" s="1">
        <v>44458</v>
      </c>
      <c r="Y2" s="1">
        <v>44459</v>
      </c>
      <c r="Z2" s="1">
        <v>44460</v>
      </c>
      <c r="AA2" s="1">
        <v>44461</v>
      </c>
      <c r="AB2" s="1">
        <v>44462</v>
      </c>
      <c r="AC2" s="1">
        <v>44463</v>
      </c>
      <c r="AD2" s="1">
        <v>44464</v>
      </c>
      <c r="AE2" s="1">
        <v>44465</v>
      </c>
      <c r="AF2" s="1">
        <v>44466</v>
      </c>
      <c r="AG2" s="1">
        <v>44467</v>
      </c>
      <c r="AH2" s="1">
        <v>44468</v>
      </c>
      <c r="AI2" s="1">
        <v>44469</v>
      </c>
      <c r="AJ2" s="1" t="s">
        <v>13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+'AGO-21'!AJ56</f>
        <v>83423.970336134254</v>
      </c>
      <c r="G3" s="3">
        <f t="shared" ref="G3:AG3" si="0">+F42</f>
        <v>83423.970336134254</v>
      </c>
      <c r="H3" s="3">
        <f t="shared" si="0"/>
        <v>83423.970336134254</v>
      </c>
      <c r="I3" s="3">
        <f t="shared" si="0"/>
        <v>83423.970336134254</v>
      </c>
      <c r="J3" s="3">
        <f t="shared" si="0"/>
        <v>83423.970336134254</v>
      </c>
      <c r="K3" s="3">
        <f t="shared" si="0"/>
        <v>83423.970336134254</v>
      </c>
      <c r="L3" s="3">
        <f t="shared" si="0"/>
        <v>83423.970336134254</v>
      </c>
      <c r="M3" s="3">
        <f t="shared" si="0"/>
        <v>25423.970336134254</v>
      </c>
      <c r="N3" s="3">
        <f t="shared" si="0"/>
        <v>25423.970336134254</v>
      </c>
      <c r="O3" s="3">
        <f t="shared" si="0"/>
        <v>25423.970336134254</v>
      </c>
      <c r="P3" s="3">
        <f t="shared" si="0"/>
        <v>74449.970336134254</v>
      </c>
      <c r="Q3" s="3">
        <f t="shared" si="0"/>
        <v>74449.970336134254</v>
      </c>
      <c r="R3" s="3">
        <f t="shared" si="0"/>
        <v>74449.970336134254</v>
      </c>
      <c r="S3" s="3">
        <f t="shared" si="0"/>
        <v>64792.303669467583</v>
      </c>
      <c r="T3" s="3">
        <f t="shared" si="0"/>
        <v>64792.303669467583</v>
      </c>
      <c r="U3" s="3">
        <f t="shared" si="0"/>
        <v>64792.303669467583</v>
      </c>
      <c r="V3" s="3">
        <f t="shared" si="0"/>
        <v>64792.303669467583</v>
      </c>
      <c r="W3" s="3">
        <f t="shared" si="0"/>
        <v>64792.303669467583</v>
      </c>
      <c r="X3" s="3">
        <f t="shared" si="0"/>
        <v>64792.303669467583</v>
      </c>
      <c r="Y3" s="3">
        <f t="shared" si="0"/>
        <v>64792.303669467583</v>
      </c>
      <c r="Z3" s="3">
        <f t="shared" si="0"/>
        <v>64792.303669467583</v>
      </c>
      <c r="AA3" s="3">
        <f t="shared" si="0"/>
        <v>64792.303669467583</v>
      </c>
      <c r="AB3" s="3">
        <f t="shared" si="0"/>
        <v>64792.303669467583</v>
      </c>
      <c r="AC3" s="3">
        <f t="shared" si="0"/>
        <v>64792.303669467583</v>
      </c>
      <c r="AD3" s="3">
        <f t="shared" si="0"/>
        <v>64792.303669467583</v>
      </c>
      <c r="AE3" s="3">
        <f t="shared" si="0"/>
        <v>64792.303669467583</v>
      </c>
      <c r="AF3" s="3">
        <f t="shared" si="0"/>
        <v>64792.303669467583</v>
      </c>
      <c r="AG3" s="3">
        <f t="shared" si="0"/>
        <v>64792.303669467583</v>
      </c>
      <c r="AH3" s="3">
        <f>+AG42</f>
        <v>64792.303669467583</v>
      </c>
      <c r="AI3" s="3">
        <f>+AH42</f>
        <v>64792.303669467583</v>
      </c>
      <c r="AJ3" s="3" t="s">
        <v>13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J5" s="3" t="s">
        <v>13</v>
      </c>
      <c r="AK5" s="3">
        <f>SUM($F5:AI5)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J6" s="3" t="s">
        <v>13</v>
      </c>
      <c r="AK6" s="3">
        <f>SUM($F6:AI6)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J7" s="3" t="s">
        <v>13</v>
      </c>
      <c r="AK7" s="3">
        <f>SUM($F7:AI7)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J8" s="3" t="s">
        <v>13</v>
      </c>
      <c r="AK8" s="3">
        <f>SUM($F8:AI8)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J9" s="3" t="s">
        <v>13</v>
      </c>
      <c r="AK9" s="3">
        <f>SUM($F9:AI9)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J10" s="3" t="s">
        <v>13</v>
      </c>
      <c r="AK10" s="3">
        <f>SUM($F10:AI10)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J11" s="3" t="s">
        <v>13</v>
      </c>
      <c r="AK11" s="3">
        <f>SUM($F11:AI11)</f>
        <v>0</v>
      </c>
      <c r="AL11" s="3" t="s">
        <v>13</v>
      </c>
    </row>
    <row r="12" spans="1:38" x14ac:dyDescent="0.35">
      <c r="A12" t="s">
        <v>807</v>
      </c>
      <c r="C12" s="5"/>
      <c r="D12" s="3">
        <v>49026</v>
      </c>
      <c r="F12" s="3"/>
      <c r="G12" s="3"/>
      <c r="H12" s="3"/>
      <c r="I12" s="3"/>
      <c r="J12" s="3"/>
      <c r="K12" s="3"/>
      <c r="L12" s="3"/>
      <c r="M12" s="3"/>
      <c r="N12" s="3"/>
      <c r="O12" s="3">
        <v>49026</v>
      </c>
      <c r="P12" s="3"/>
      <c r="Q12" s="3"/>
      <c r="R12" s="3"/>
      <c r="S12" s="3"/>
      <c r="T12" s="3"/>
      <c r="U12" s="3"/>
      <c r="V12" s="3"/>
      <c r="W12" s="3"/>
      <c r="AA12" s="3"/>
      <c r="AK12" s="3">
        <f>SUM($F12:AI12)</f>
        <v>49026</v>
      </c>
    </row>
    <row r="13" spans="1:38" x14ac:dyDescent="0.35">
      <c r="A13" t="s">
        <v>783</v>
      </c>
      <c r="B13" t="s">
        <v>784</v>
      </c>
      <c r="C13" s="5">
        <v>44450</v>
      </c>
      <c r="D13" s="3">
        <v>13566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v>13566</v>
      </c>
      <c r="S13" s="3"/>
      <c r="T13" s="3"/>
      <c r="U13" s="3"/>
      <c r="V13" s="3"/>
      <c r="W13" s="3"/>
      <c r="AA13" s="3"/>
      <c r="AK13" s="3">
        <f>SUM($F13:AI13)</f>
        <v>13566</v>
      </c>
    </row>
    <row r="14" spans="1:38" x14ac:dyDescent="0.35">
      <c r="C14" s="5"/>
      <c r="D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AA14" s="3"/>
      <c r="AK14" s="72">
        <f ca="1">SUM(AK5:AK15)-AK12</f>
        <v>13566</v>
      </c>
    </row>
    <row r="15" spans="1:38" s="237" customFormat="1" x14ac:dyDescent="0.35">
      <c r="A15" s="237" t="s">
        <v>385</v>
      </c>
      <c r="C15" s="5">
        <v>43980</v>
      </c>
      <c r="D15" s="237">
        <v>10465</v>
      </c>
      <c r="J15" s="238"/>
      <c r="AG15" s="237" t="s">
        <v>13</v>
      </c>
      <c r="AK15" s="3" t="s">
        <v>13</v>
      </c>
    </row>
    <row r="16" spans="1:38" x14ac:dyDescent="0.35">
      <c r="A16" t="s">
        <v>60</v>
      </c>
      <c r="D16" s="3">
        <v>0</v>
      </c>
      <c r="F16" s="3" t="s">
        <v>13</v>
      </c>
      <c r="G16" s="3" t="s">
        <v>13</v>
      </c>
      <c r="H16" s="3"/>
      <c r="I16" s="3"/>
      <c r="J16" s="3"/>
      <c r="K16" s="3" t="s">
        <v>13</v>
      </c>
      <c r="M16" s="3"/>
      <c r="N16" s="3"/>
      <c r="O16" s="3" t="s">
        <v>13</v>
      </c>
      <c r="P16" s="3"/>
      <c r="Q16" s="3"/>
      <c r="R16" s="3" t="s">
        <v>13</v>
      </c>
      <c r="S16" s="3"/>
      <c r="T16" s="3"/>
      <c r="U16" s="3"/>
      <c r="V16" s="3"/>
      <c r="W16" s="3"/>
      <c r="Y16" t="s">
        <v>13</v>
      </c>
    </row>
    <row r="17" spans="1:37" x14ac:dyDescent="0.35">
      <c r="A17" t="s">
        <v>1</v>
      </c>
      <c r="F17" s="3"/>
      <c r="G17" s="3" t="s">
        <v>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37" x14ac:dyDescent="0.35">
      <c r="A18" t="s">
        <v>478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 t="s">
        <v>13</v>
      </c>
      <c r="S18" s="3"/>
      <c r="T18" s="3"/>
      <c r="U18" s="3"/>
      <c r="V18" s="3"/>
      <c r="W18" s="3"/>
    </row>
    <row r="19" spans="1:37" x14ac:dyDescent="0.35"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7" x14ac:dyDescent="0.35"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7" x14ac:dyDescent="0.35">
      <c r="A21" s="2" t="s">
        <v>6</v>
      </c>
      <c r="F21" s="3">
        <f t="shared" ref="F21:AI21" si="1">SUM(F5:F20)</f>
        <v>0</v>
      </c>
      <c r="G21" s="3">
        <f t="shared" si="1"/>
        <v>0</v>
      </c>
      <c r="H21" s="3">
        <f t="shared" si="1"/>
        <v>0</v>
      </c>
      <c r="I21" s="3">
        <f t="shared" si="1"/>
        <v>0</v>
      </c>
      <c r="J21" s="3">
        <f t="shared" si="1"/>
        <v>0</v>
      </c>
      <c r="K21" s="3">
        <f t="shared" si="1"/>
        <v>0</v>
      </c>
      <c r="L21" s="3">
        <f t="shared" si="1"/>
        <v>0</v>
      </c>
      <c r="M21" s="3">
        <f t="shared" si="1"/>
        <v>0</v>
      </c>
      <c r="N21" s="3">
        <f t="shared" si="1"/>
        <v>0</v>
      </c>
      <c r="O21" s="3">
        <f t="shared" si="1"/>
        <v>49026</v>
      </c>
      <c r="P21" s="3">
        <f t="shared" si="1"/>
        <v>0</v>
      </c>
      <c r="Q21" s="3">
        <f t="shared" si="1"/>
        <v>0</v>
      </c>
      <c r="R21" s="3">
        <f t="shared" si="1"/>
        <v>13566</v>
      </c>
      <c r="S21" s="3">
        <f t="shared" si="1"/>
        <v>0</v>
      </c>
      <c r="T21" s="3">
        <f t="shared" si="1"/>
        <v>0</v>
      </c>
      <c r="U21" s="3">
        <f t="shared" si="1"/>
        <v>0</v>
      </c>
      <c r="V21" s="3">
        <f t="shared" si="1"/>
        <v>0</v>
      </c>
      <c r="W21" s="3">
        <f t="shared" si="1"/>
        <v>0</v>
      </c>
      <c r="X21" s="3">
        <f t="shared" si="1"/>
        <v>0</v>
      </c>
      <c r="Y21" s="3">
        <f t="shared" si="1"/>
        <v>0</v>
      </c>
      <c r="Z21" s="3">
        <f t="shared" si="1"/>
        <v>0</v>
      </c>
      <c r="AA21" s="3">
        <f t="shared" si="1"/>
        <v>0</v>
      </c>
      <c r="AB21" s="3">
        <f t="shared" si="1"/>
        <v>0</v>
      </c>
      <c r="AC21" s="3">
        <f t="shared" si="1"/>
        <v>0</v>
      </c>
      <c r="AD21" s="3">
        <f t="shared" si="1"/>
        <v>0</v>
      </c>
      <c r="AE21" s="3">
        <f t="shared" si="1"/>
        <v>0</v>
      </c>
      <c r="AF21" s="3">
        <f t="shared" si="1"/>
        <v>0</v>
      </c>
      <c r="AG21" s="3">
        <f t="shared" si="1"/>
        <v>0</v>
      </c>
      <c r="AH21" s="3">
        <f t="shared" si="1"/>
        <v>0</v>
      </c>
      <c r="AI21" s="3">
        <f t="shared" si="1"/>
        <v>0</v>
      </c>
      <c r="AJ21" s="3" t="s">
        <v>13</v>
      </c>
    </row>
    <row r="22" spans="1:37" x14ac:dyDescent="0.35">
      <c r="A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37" x14ac:dyDescent="0.35">
      <c r="A23" s="2" t="s">
        <v>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37" x14ac:dyDescent="0.35">
      <c r="A24" s="4" t="s">
        <v>492</v>
      </c>
      <c r="B24" s="24" t="s">
        <v>337</v>
      </c>
      <c r="C24" s="67"/>
      <c r="D24" s="3">
        <v>250000</v>
      </c>
      <c r="F24" s="3"/>
      <c r="G24" s="3"/>
      <c r="H24" s="3"/>
      <c r="I24" s="3"/>
      <c r="K24" s="3"/>
      <c r="L24" s="3"/>
      <c r="M24" s="3"/>
      <c r="P24" s="3"/>
      <c r="Q24" s="3"/>
      <c r="R24" s="3"/>
      <c r="S24" s="3"/>
      <c r="T24" s="3"/>
      <c r="U24" s="3"/>
      <c r="V24" s="3" t="s">
        <v>13</v>
      </c>
      <c r="W24" s="3"/>
      <c r="AJ24" s="3" t="s">
        <v>13</v>
      </c>
      <c r="AK24" s="3">
        <f>SUM($F24:AI24)</f>
        <v>0</v>
      </c>
    </row>
    <row r="25" spans="1:37" x14ac:dyDescent="0.35">
      <c r="A25" s="4" t="s">
        <v>494</v>
      </c>
      <c r="B25" s="24" t="s">
        <v>337</v>
      </c>
      <c r="C25" s="67"/>
      <c r="D25" s="3">
        <v>500000</v>
      </c>
      <c r="F25" s="3"/>
      <c r="G25" s="3"/>
      <c r="H25" s="3"/>
      <c r="I25" s="3"/>
      <c r="K25" s="3"/>
      <c r="L25" s="3"/>
      <c r="M25" s="3"/>
      <c r="P25" s="3"/>
      <c r="Q25" s="3"/>
      <c r="R25" s="3"/>
      <c r="S25" s="3"/>
      <c r="T25" s="3"/>
      <c r="U25" s="3"/>
      <c r="V25" s="3"/>
      <c r="W25" s="3"/>
      <c r="AJ25" s="3" t="s">
        <v>13</v>
      </c>
      <c r="AK25" s="3">
        <f>SUM($F25:AI25)</f>
        <v>0</v>
      </c>
    </row>
    <row r="26" spans="1:37" x14ac:dyDescent="0.35">
      <c r="A26" s="4" t="s">
        <v>495</v>
      </c>
      <c r="B26" s="24" t="s">
        <v>337</v>
      </c>
      <c r="C26" s="67"/>
      <c r="D26" s="3">
        <v>500000</v>
      </c>
      <c r="F26" s="3"/>
      <c r="G26" s="3"/>
      <c r="H26" s="3"/>
      <c r="I26" s="3"/>
      <c r="K26" s="3"/>
      <c r="L26" s="3"/>
      <c r="M26" s="104" t="s">
        <v>13</v>
      </c>
      <c r="P26" s="3"/>
      <c r="Q26" s="3"/>
      <c r="R26" s="3"/>
      <c r="S26" s="3"/>
      <c r="T26" s="3"/>
      <c r="U26" s="3"/>
      <c r="V26" s="3"/>
      <c r="W26" s="3"/>
      <c r="AJ26" s="3" t="s">
        <v>13</v>
      </c>
      <c r="AK26" s="3">
        <f>SUM($F26:AI26)</f>
        <v>0</v>
      </c>
    </row>
    <row r="27" spans="1:37" x14ac:dyDescent="0.35">
      <c r="A27" s="4" t="s">
        <v>541</v>
      </c>
      <c r="B27" s="24" t="s">
        <v>337</v>
      </c>
      <c r="C27" s="67"/>
      <c r="D27" s="3">
        <v>500000</v>
      </c>
      <c r="F27" s="3"/>
      <c r="G27" s="3"/>
      <c r="H27" s="3"/>
      <c r="I27" s="3"/>
      <c r="K27" s="3"/>
      <c r="L27" s="3"/>
      <c r="M27" s="3"/>
      <c r="P27" s="3"/>
      <c r="Q27" s="3"/>
      <c r="R27" s="3"/>
      <c r="S27" s="3"/>
      <c r="T27" s="3"/>
      <c r="U27" s="3"/>
      <c r="V27" s="3"/>
      <c r="W27" s="3"/>
      <c r="AJ27" s="3" t="s">
        <v>13</v>
      </c>
      <c r="AK27" s="3">
        <f>SUM($F27:AI27)</f>
        <v>0</v>
      </c>
    </row>
    <row r="28" spans="1:37" x14ac:dyDescent="0.35">
      <c r="A28" s="4" t="s">
        <v>576</v>
      </c>
      <c r="B28" s="24" t="s">
        <v>337</v>
      </c>
      <c r="C28" s="67"/>
      <c r="D28" s="3">
        <v>500000</v>
      </c>
      <c r="H28" t="s">
        <v>13</v>
      </c>
      <c r="I28" t="s">
        <v>13</v>
      </c>
      <c r="L28" s="3"/>
      <c r="M28" s="3"/>
      <c r="P28" s="3"/>
      <c r="Q28" s="3"/>
      <c r="AJ28" s="3" t="s">
        <v>13</v>
      </c>
      <c r="AK28" s="3">
        <f>SUM($F28:AI28)</f>
        <v>0</v>
      </c>
    </row>
    <row r="29" spans="1:37" x14ac:dyDescent="0.35">
      <c r="A29" s="4" t="s">
        <v>629</v>
      </c>
      <c r="B29" s="24" t="s">
        <v>337</v>
      </c>
      <c r="C29" s="67"/>
      <c r="D29" s="3">
        <v>500000</v>
      </c>
      <c r="L29" s="3"/>
      <c r="M29" s="3"/>
      <c r="P29" s="3"/>
      <c r="Q29" s="3"/>
      <c r="AG29" s="3"/>
      <c r="AJ29" s="3" t="s">
        <v>13</v>
      </c>
      <c r="AK29" s="3">
        <f>SUM($F29:AI29)</f>
        <v>0</v>
      </c>
    </row>
    <row r="30" spans="1:37" x14ac:dyDescent="0.35">
      <c r="A30" s="4" t="s">
        <v>646</v>
      </c>
      <c r="B30" s="24" t="s">
        <v>337</v>
      </c>
      <c r="C30" s="67"/>
      <c r="D30" s="3">
        <v>250000</v>
      </c>
      <c r="H30" t="s">
        <v>13</v>
      </c>
      <c r="J30" t="s">
        <v>13</v>
      </c>
      <c r="L30" s="3"/>
      <c r="M30" s="3"/>
      <c r="P30" s="3"/>
      <c r="Q30" s="3"/>
      <c r="AG30" s="3"/>
      <c r="AJ30" s="3"/>
      <c r="AK30" s="3">
        <f>SUM($F30:AI30)</f>
        <v>0</v>
      </c>
    </row>
    <row r="31" spans="1:37" x14ac:dyDescent="0.35">
      <c r="A31" t="s">
        <v>1133</v>
      </c>
      <c r="B31" t="s">
        <v>337</v>
      </c>
      <c r="C31" s="5" t="s">
        <v>13</v>
      </c>
      <c r="D31" s="3">
        <f ca="1">+'MAR-21'!AK19*0.17+('ABR-21'!AJ18+'MAY-21'!AK16+'JUN-21'!AK14+'JUL-21'!AK28+'AGO-21'!AK22+'SEP-21'!AK14)*0.17</f>
        <v>277507.09333333338</v>
      </c>
      <c r="G31" s="3" t="s">
        <v>13</v>
      </c>
      <c r="H31" t="s">
        <v>13</v>
      </c>
      <c r="L31" s="3"/>
      <c r="M31" s="3"/>
      <c r="P31" s="3"/>
      <c r="Q31" s="3"/>
      <c r="AG31" s="3"/>
      <c r="AK31" s="3">
        <f>SUM($F31:AI31)</f>
        <v>0</v>
      </c>
    </row>
    <row r="32" spans="1:37" x14ac:dyDescent="0.35">
      <c r="A32" s="4" t="s">
        <v>948</v>
      </c>
      <c r="C32" s="5"/>
      <c r="D32" s="3">
        <v>600000</v>
      </c>
      <c r="G32" s="3"/>
      <c r="L32" s="3"/>
      <c r="M32" s="3"/>
      <c r="P32" s="3"/>
      <c r="Q32" s="3"/>
      <c r="AG32" s="3"/>
      <c r="AK32" s="3"/>
    </row>
    <row r="33" spans="1:37" x14ac:dyDescent="0.35">
      <c r="A33" s="4" t="s">
        <v>549</v>
      </c>
      <c r="B33" s="24" t="s">
        <v>78</v>
      </c>
      <c r="C33" s="67">
        <v>44195</v>
      </c>
      <c r="D33" s="3">
        <v>240975</v>
      </c>
      <c r="E33" s="15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Y33" s="3"/>
      <c r="AF33" s="3"/>
      <c r="AG33" s="3"/>
      <c r="AK33" s="3">
        <f>SUM($F33:AI33)</f>
        <v>0</v>
      </c>
    </row>
    <row r="34" spans="1:37" x14ac:dyDescent="0.35">
      <c r="A34" s="4" t="s">
        <v>603</v>
      </c>
      <c r="B34" s="24" t="s">
        <v>245</v>
      </c>
      <c r="C34" s="67">
        <v>44235</v>
      </c>
      <c r="D34" s="3">
        <f>2216970-'MAR-21'!$H$45</f>
        <v>1816970</v>
      </c>
      <c r="E34" s="153" t="s">
        <v>13</v>
      </c>
      <c r="F34" s="3"/>
      <c r="G34" s="3" t="s">
        <v>13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Y34" s="3"/>
      <c r="AF34" s="3"/>
      <c r="AG34" s="3"/>
      <c r="AJ34" s="3" t="s">
        <v>13</v>
      </c>
      <c r="AK34" s="3">
        <f>SUM($F34:AI34)</f>
        <v>0</v>
      </c>
    </row>
    <row r="35" spans="1:37" x14ac:dyDescent="0.35">
      <c r="A35" s="4" t="s">
        <v>779</v>
      </c>
      <c r="B35" s="24"/>
      <c r="C35" s="5">
        <v>44439</v>
      </c>
      <c r="D35" s="3">
        <f>+(14.4*2)*925/9+1304+935</f>
        <v>5199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>+(14.4*2)*925/9+1304+935</f>
        <v>5199</v>
      </c>
      <c r="S35" s="3"/>
      <c r="T35" s="3"/>
      <c r="U35" s="3"/>
      <c r="V35" s="3"/>
      <c r="W35" s="3"/>
      <c r="Y35" s="3"/>
      <c r="AF35" s="3"/>
      <c r="AG35" s="3"/>
      <c r="AJ35" s="3" t="s">
        <v>13</v>
      </c>
      <c r="AK35" s="3">
        <f>SUM($F35:AI35)</f>
        <v>5199</v>
      </c>
    </row>
    <row r="36" spans="1:37" x14ac:dyDescent="0.35">
      <c r="A36" s="4" t="s">
        <v>753</v>
      </c>
      <c r="B36" s="24"/>
      <c r="C36" s="5">
        <v>44446</v>
      </c>
      <c r="D36" s="3">
        <f>+(28.5*2)*950/9+1989+2999+1010*2</f>
        <v>13024.666666666668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>+(28.5*2)*950/9+1989+2999+1010*2</f>
        <v>13024.666666666668</v>
      </c>
      <c r="S36" s="3"/>
      <c r="T36" s="3"/>
      <c r="U36" s="3"/>
      <c r="V36" s="3"/>
      <c r="W36" s="3"/>
      <c r="Y36" s="3"/>
      <c r="AK36" s="3">
        <f>SUM($F36:AI36)</f>
        <v>13024.666666666668</v>
      </c>
    </row>
    <row r="37" spans="1:37" x14ac:dyDescent="0.35">
      <c r="A37" s="4" t="s">
        <v>781</v>
      </c>
      <c r="B37" s="24" t="s">
        <v>782</v>
      </c>
      <c r="C37" s="5"/>
      <c r="D37" s="3">
        <v>58000</v>
      </c>
      <c r="F37" s="3"/>
      <c r="G37" s="3"/>
      <c r="H37" s="3"/>
      <c r="I37" s="3"/>
      <c r="J37" s="3"/>
      <c r="K37" s="3"/>
      <c r="L37" s="3">
        <v>58000</v>
      </c>
      <c r="M37" s="3"/>
      <c r="N37" s="3"/>
      <c r="O37" s="3"/>
      <c r="P37" s="3"/>
      <c r="Q37" s="3"/>
      <c r="R37" s="3" t="s">
        <v>13</v>
      </c>
      <c r="S37" s="3"/>
      <c r="T37" s="3"/>
      <c r="U37" s="3"/>
      <c r="V37" s="3"/>
      <c r="W37" s="3"/>
      <c r="Y37" s="3"/>
      <c r="AK37" s="3">
        <f>SUM($F37:AI37)</f>
        <v>58000</v>
      </c>
    </row>
    <row r="38" spans="1:37" x14ac:dyDescent="0.35">
      <c r="A38" s="4" t="s">
        <v>745</v>
      </c>
      <c r="B38" s="24"/>
      <c r="C38" s="5">
        <v>44450</v>
      </c>
      <c r="D38" s="3">
        <v>5000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v>5000</v>
      </c>
      <c r="S38" s="3"/>
      <c r="T38" s="3"/>
      <c r="U38" s="3"/>
      <c r="V38" s="3"/>
      <c r="W38" s="3"/>
      <c r="Y38" s="3"/>
      <c r="AK38" s="3">
        <f>SUM($F38:AI38)</f>
        <v>5000</v>
      </c>
    </row>
    <row r="39" spans="1:37" x14ac:dyDescent="0.35">
      <c r="B39" s="24"/>
      <c r="C39" s="5"/>
      <c r="D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Y39" s="3"/>
    </row>
    <row r="40" spans="1:37" x14ac:dyDescent="0.35">
      <c r="A40" s="4"/>
      <c r="B40" s="24"/>
      <c r="C40" s="5"/>
      <c r="D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</row>
    <row r="41" spans="1:37" x14ac:dyDescent="0.35">
      <c r="A41" s="2" t="s">
        <v>9</v>
      </c>
      <c r="F41" s="3">
        <f>SUM(F24:F40)</f>
        <v>0</v>
      </c>
      <c r="G41" s="3">
        <f t="shared" ref="G41:AI41" si="2">SUM(G24:G40)</f>
        <v>0</v>
      </c>
      <c r="H41" s="3">
        <f t="shared" si="2"/>
        <v>0</v>
      </c>
      <c r="I41" s="3">
        <f t="shared" si="2"/>
        <v>0</v>
      </c>
      <c r="J41" s="3">
        <f t="shared" si="2"/>
        <v>0</v>
      </c>
      <c r="K41" s="3">
        <f t="shared" si="2"/>
        <v>0</v>
      </c>
      <c r="L41" s="3">
        <f t="shared" si="2"/>
        <v>58000</v>
      </c>
      <c r="M41" s="3">
        <f t="shared" si="2"/>
        <v>0</v>
      </c>
      <c r="N41" s="3">
        <f t="shared" si="2"/>
        <v>0</v>
      </c>
      <c r="O41" s="3">
        <f t="shared" si="2"/>
        <v>0</v>
      </c>
      <c r="P41" s="3">
        <f t="shared" si="2"/>
        <v>0</v>
      </c>
      <c r="Q41" s="3">
        <f t="shared" si="2"/>
        <v>0</v>
      </c>
      <c r="R41" s="3">
        <f t="shared" si="2"/>
        <v>23223.666666666668</v>
      </c>
      <c r="S41" s="3">
        <f t="shared" si="2"/>
        <v>0</v>
      </c>
      <c r="T41" s="3">
        <f t="shared" si="2"/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3">
        <f t="shared" si="2"/>
        <v>0</v>
      </c>
      <c r="Y41" s="3">
        <f t="shared" si="2"/>
        <v>0</v>
      </c>
      <c r="Z41" s="3">
        <f t="shared" si="2"/>
        <v>0</v>
      </c>
      <c r="AA41" s="3">
        <f t="shared" si="2"/>
        <v>0</v>
      </c>
      <c r="AB41" s="3">
        <f t="shared" si="2"/>
        <v>0</v>
      </c>
      <c r="AC41" s="3">
        <f t="shared" si="2"/>
        <v>0</v>
      </c>
      <c r="AD41" s="3">
        <f t="shared" si="2"/>
        <v>0</v>
      </c>
      <c r="AE41" s="3">
        <f t="shared" si="2"/>
        <v>0</v>
      </c>
      <c r="AF41" s="3">
        <f t="shared" si="2"/>
        <v>0</v>
      </c>
      <c r="AG41" s="3">
        <f t="shared" si="2"/>
        <v>0</v>
      </c>
      <c r="AH41" s="3">
        <f t="shared" si="2"/>
        <v>0</v>
      </c>
      <c r="AI41" s="3">
        <f t="shared" si="2"/>
        <v>0</v>
      </c>
      <c r="AJ41" s="3" t="s">
        <v>13</v>
      </c>
      <c r="AK41" s="3" t="s">
        <v>13</v>
      </c>
    </row>
    <row r="42" spans="1:37" x14ac:dyDescent="0.35">
      <c r="A42" t="s">
        <v>8</v>
      </c>
      <c r="F42" s="3">
        <f>+F21+F3-F41</f>
        <v>83423.970336134254</v>
      </c>
      <c r="G42" s="3">
        <f t="shared" ref="G42:AI42" si="3">+G3+G21-G41</f>
        <v>83423.970336134254</v>
      </c>
      <c r="H42" s="3">
        <f t="shared" si="3"/>
        <v>83423.970336134254</v>
      </c>
      <c r="I42" s="3">
        <f t="shared" si="3"/>
        <v>83423.970336134254</v>
      </c>
      <c r="J42" s="3">
        <f t="shared" si="3"/>
        <v>83423.970336134254</v>
      </c>
      <c r="K42" s="3">
        <f t="shared" si="3"/>
        <v>83423.970336134254</v>
      </c>
      <c r="L42" s="3">
        <f t="shared" si="3"/>
        <v>25423.970336134254</v>
      </c>
      <c r="M42" s="3">
        <f t="shared" si="3"/>
        <v>25423.970336134254</v>
      </c>
      <c r="N42" s="3">
        <f t="shared" si="3"/>
        <v>25423.970336134254</v>
      </c>
      <c r="O42" s="3">
        <f t="shared" si="3"/>
        <v>74449.970336134254</v>
      </c>
      <c r="P42" s="3">
        <f t="shared" si="3"/>
        <v>74449.970336134254</v>
      </c>
      <c r="Q42" s="3">
        <f t="shared" si="3"/>
        <v>74449.970336134254</v>
      </c>
      <c r="R42" s="3">
        <f t="shared" si="3"/>
        <v>64792.303669467583</v>
      </c>
      <c r="S42" s="3">
        <f t="shared" si="3"/>
        <v>64792.303669467583</v>
      </c>
      <c r="T42" s="3">
        <f t="shared" si="3"/>
        <v>64792.303669467583</v>
      </c>
      <c r="U42" s="3">
        <f t="shared" si="3"/>
        <v>64792.303669467583</v>
      </c>
      <c r="V42" s="3">
        <f t="shared" si="3"/>
        <v>64792.303669467583</v>
      </c>
      <c r="W42" s="3">
        <f t="shared" si="3"/>
        <v>64792.303669467583</v>
      </c>
      <c r="X42" s="3">
        <f t="shared" si="3"/>
        <v>64792.303669467583</v>
      </c>
      <c r="Y42" s="3">
        <f t="shared" si="3"/>
        <v>64792.303669467583</v>
      </c>
      <c r="Z42" s="3">
        <f t="shared" si="3"/>
        <v>64792.303669467583</v>
      </c>
      <c r="AA42" s="3">
        <f t="shared" si="3"/>
        <v>64792.303669467583</v>
      </c>
      <c r="AB42" s="3">
        <f t="shared" si="3"/>
        <v>64792.303669467583</v>
      </c>
      <c r="AC42" s="3">
        <f t="shared" si="3"/>
        <v>64792.303669467583</v>
      </c>
      <c r="AD42" s="3">
        <f t="shared" si="3"/>
        <v>64792.303669467583</v>
      </c>
      <c r="AE42" s="3">
        <f t="shared" si="3"/>
        <v>64792.303669467583</v>
      </c>
      <c r="AF42" s="3">
        <f t="shared" si="3"/>
        <v>64792.303669467583</v>
      </c>
      <c r="AG42" s="3">
        <f t="shared" si="3"/>
        <v>64792.303669467583</v>
      </c>
      <c r="AH42" s="3">
        <f t="shared" si="3"/>
        <v>64792.303669467583</v>
      </c>
      <c r="AI42" s="3">
        <f t="shared" si="3"/>
        <v>64792.303669467583</v>
      </c>
      <c r="AJ42" s="3" t="s">
        <v>13</v>
      </c>
      <c r="AK42" s="3" t="s">
        <v>13</v>
      </c>
    </row>
    <row r="43" spans="1:37" x14ac:dyDescent="0.35">
      <c r="F43" s="3"/>
      <c r="G43" s="3"/>
      <c r="H43" s="3"/>
      <c r="I43" s="3" t="s">
        <v>13</v>
      </c>
      <c r="J43" s="3"/>
      <c r="K43" s="3"/>
      <c r="L43" s="3"/>
      <c r="M43" s="3"/>
      <c r="N43" s="3"/>
      <c r="O43" s="3"/>
      <c r="P43" s="3" t="s">
        <v>13</v>
      </c>
      <c r="Q43" s="3"/>
      <c r="R43" s="3"/>
      <c r="S43" s="3"/>
      <c r="T43" s="3" t="s">
        <v>13</v>
      </c>
      <c r="U43" s="3"/>
      <c r="V43" s="3"/>
      <c r="W43" s="3"/>
      <c r="Y43" s="3" t="s">
        <v>13</v>
      </c>
      <c r="AA43" s="3" t="s">
        <v>13</v>
      </c>
      <c r="AB43" s="3" t="s">
        <v>13</v>
      </c>
    </row>
    <row r="44" spans="1:37" x14ac:dyDescent="0.35">
      <c r="B44" t="s">
        <v>13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 t="s">
        <v>13</v>
      </c>
      <c r="Q44" s="3" t="s">
        <v>13</v>
      </c>
      <c r="R44" s="3"/>
      <c r="S44" s="3"/>
      <c r="T44" s="3"/>
      <c r="U44" s="3" t="s">
        <v>13</v>
      </c>
      <c r="V44" s="3"/>
      <c r="W44" s="3"/>
      <c r="AB44" s="3" t="s">
        <v>13</v>
      </c>
    </row>
    <row r="45" spans="1:37" x14ac:dyDescent="0.3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13</v>
      </c>
      <c r="U45" s="3"/>
      <c r="V45" s="3"/>
      <c r="W45" s="3"/>
      <c r="AB45" s="3" t="s">
        <v>13</v>
      </c>
    </row>
    <row r="46" spans="1:37" x14ac:dyDescent="0.3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 t="s">
        <v>13</v>
      </c>
      <c r="AB46" s="3" t="s">
        <v>13</v>
      </c>
    </row>
    <row r="47" spans="1:37" x14ac:dyDescent="0.35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AB47" s="3" t="s">
        <v>13</v>
      </c>
    </row>
    <row r="48" spans="1:37" x14ac:dyDescent="0.35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AB48" s="3" t="s">
        <v>13</v>
      </c>
    </row>
    <row r="49" spans="6:6" x14ac:dyDescent="0.35">
      <c r="F49" s="3"/>
    </row>
    <row r="50" spans="6:6" x14ac:dyDescent="0.35">
      <c r="F50" s="3"/>
    </row>
    <row r="51" spans="6:6" x14ac:dyDescent="0.35">
      <c r="F51" s="3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AL56"/>
  <sheetViews>
    <sheetView topLeftCell="A28" workbookViewId="0">
      <selection activeCell="A35" sqref="A35"/>
    </sheetView>
  </sheetViews>
  <sheetFormatPr baseColWidth="10" defaultColWidth="11.08984375" defaultRowHeight="14.5" x14ac:dyDescent="0.35"/>
  <cols>
    <col min="1" max="1" width="39" customWidth="1"/>
    <col min="2" max="2" width="11.1796875" customWidth="1"/>
    <col min="3" max="4" width="13.26953125" customWidth="1"/>
    <col min="5" max="5" width="10.8164062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44470</v>
      </c>
      <c r="G2" s="1">
        <v>44471</v>
      </c>
      <c r="H2" s="1">
        <v>44472</v>
      </c>
      <c r="I2" s="1">
        <v>44473</v>
      </c>
      <c r="J2" s="1">
        <v>44474</v>
      </c>
      <c r="K2" s="1">
        <v>44475</v>
      </c>
      <c r="L2" s="1">
        <v>44476</v>
      </c>
      <c r="M2" s="1">
        <v>44477</v>
      </c>
      <c r="N2" s="1">
        <v>44478</v>
      </c>
      <c r="O2" s="1">
        <v>44479</v>
      </c>
      <c r="P2" s="1">
        <v>44480</v>
      </c>
      <c r="Q2" s="1">
        <v>44481</v>
      </c>
      <c r="R2" s="1">
        <v>44482</v>
      </c>
      <c r="S2" s="1">
        <v>44483</v>
      </c>
      <c r="T2" s="1">
        <v>44484</v>
      </c>
      <c r="U2" s="1">
        <v>44485</v>
      </c>
      <c r="V2" s="1">
        <v>44486</v>
      </c>
      <c r="W2" s="1">
        <v>44487</v>
      </c>
      <c r="X2" s="1">
        <v>44488</v>
      </c>
      <c r="Y2" s="1">
        <v>44489</v>
      </c>
      <c r="Z2" s="1">
        <v>44490</v>
      </c>
      <c r="AA2" s="1">
        <v>44491</v>
      </c>
      <c r="AB2" s="1">
        <v>44492</v>
      </c>
      <c r="AC2" s="1">
        <v>44493</v>
      </c>
      <c r="AD2" s="1">
        <v>44494</v>
      </c>
      <c r="AE2" s="1">
        <v>44495</v>
      </c>
      <c r="AF2" s="1">
        <v>44496</v>
      </c>
      <c r="AG2" s="1">
        <v>44497</v>
      </c>
      <c r="AH2" s="1">
        <v>44498</v>
      </c>
      <c r="AI2" s="1">
        <v>44499</v>
      </c>
      <c r="AJ2" s="1">
        <v>44500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+'SEP-21'!AI42</f>
        <v>64792.303669467583</v>
      </c>
      <c r="G3" s="3">
        <f t="shared" ref="G3:AG3" si="0">+F44</f>
        <v>64792.303669467583</v>
      </c>
      <c r="H3" s="3">
        <f t="shared" si="0"/>
        <v>64792.303669467583</v>
      </c>
      <c r="I3" s="3">
        <f t="shared" si="0"/>
        <v>64792.303669467583</v>
      </c>
      <c r="J3" s="3">
        <f t="shared" si="0"/>
        <v>64792.303669467583</v>
      </c>
      <c r="K3" s="3">
        <f t="shared" si="0"/>
        <v>64792.303669467583</v>
      </c>
      <c r="L3" s="3">
        <f t="shared" si="0"/>
        <v>7285.3036694675829</v>
      </c>
      <c r="M3" s="3">
        <f t="shared" si="0"/>
        <v>7285.3036694675829</v>
      </c>
      <c r="N3" s="3">
        <f t="shared" si="0"/>
        <v>7285.3036694675829</v>
      </c>
      <c r="O3" s="3">
        <f t="shared" si="0"/>
        <v>7285.3036694675829</v>
      </c>
      <c r="P3" s="3">
        <f t="shared" si="0"/>
        <v>7285.3036694675829</v>
      </c>
      <c r="Q3" s="3">
        <f t="shared" si="0"/>
        <v>7285.3036694675829</v>
      </c>
      <c r="R3" s="3">
        <f t="shared" si="0"/>
        <v>7271.3036694675829</v>
      </c>
      <c r="S3" s="3">
        <f t="shared" si="0"/>
        <v>173871.30366946757</v>
      </c>
      <c r="T3" s="3">
        <f t="shared" si="0"/>
        <v>89468.770336134243</v>
      </c>
      <c r="U3" s="3">
        <f t="shared" si="0"/>
        <v>89468.770336134243</v>
      </c>
      <c r="V3" s="3">
        <f t="shared" si="0"/>
        <v>89468.770336134243</v>
      </c>
      <c r="W3" s="3">
        <f t="shared" si="0"/>
        <v>89468.770336134243</v>
      </c>
      <c r="X3" s="3">
        <f t="shared" si="0"/>
        <v>89468.770336134243</v>
      </c>
      <c r="Y3" s="3">
        <f t="shared" si="0"/>
        <v>89468.770336134243</v>
      </c>
      <c r="Z3" s="3">
        <f t="shared" si="0"/>
        <v>66263.770336134243</v>
      </c>
      <c r="AA3" s="3">
        <f t="shared" si="0"/>
        <v>66263.770336134243</v>
      </c>
      <c r="AB3" s="3">
        <f t="shared" si="0"/>
        <v>66263.770336134243</v>
      </c>
      <c r="AC3" s="3">
        <f t="shared" si="0"/>
        <v>66263.770336134243</v>
      </c>
      <c r="AD3" s="3">
        <f t="shared" si="0"/>
        <v>66263.770336134243</v>
      </c>
      <c r="AE3" s="3">
        <f t="shared" si="0"/>
        <v>66263.770336134243</v>
      </c>
      <c r="AF3" s="3">
        <f t="shared" si="0"/>
        <v>66263.770336134243</v>
      </c>
      <c r="AG3" s="3">
        <f t="shared" si="0"/>
        <v>77112.770336134243</v>
      </c>
      <c r="AH3" s="3">
        <f>+AG44</f>
        <v>77112.770336134243</v>
      </c>
      <c r="AI3" s="3">
        <f>+AH44</f>
        <v>77112.770336134243</v>
      </c>
      <c r="AJ3" s="3">
        <f>+AI44</f>
        <v>77112.770336134243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J5" s="3" t="s">
        <v>13</v>
      </c>
      <c r="AK5" s="3">
        <f>SUM($F5:AI5)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J6" s="3" t="s">
        <v>13</v>
      </c>
      <c r="AK6" s="3">
        <f>SUM($F6:AI6)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J7" s="3" t="s">
        <v>13</v>
      </c>
      <c r="AK7" s="3">
        <f>SUM($F7:AI7)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J8" s="3" t="s">
        <v>13</v>
      </c>
      <c r="AK8" s="3">
        <f>SUM($F8:AI8)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J9" s="3" t="s">
        <v>13</v>
      </c>
      <c r="AK9" s="3">
        <f>SUM($F9:AI9)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J10" s="3" t="s">
        <v>13</v>
      </c>
      <c r="AK10" s="3">
        <f>SUM($F10:AI10)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J11" s="3" t="s">
        <v>13</v>
      </c>
      <c r="AK11" s="3">
        <f>SUM($F11:AI11)</f>
        <v>0</v>
      </c>
      <c r="AL11" s="3" t="s">
        <v>13</v>
      </c>
    </row>
    <row r="12" spans="1:38" x14ac:dyDescent="0.35">
      <c r="A12" t="s">
        <v>805</v>
      </c>
      <c r="B12" t="s">
        <v>804</v>
      </c>
      <c r="C12" s="5">
        <v>44481</v>
      </c>
      <c r="D12" s="3">
        <v>166600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v>166600</v>
      </c>
      <c r="S12" s="3"/>
      <c r="T12" s="3"/>
      <c r="U12" s="3"/>
      <c r="V12" s="3"/>
      <c r="W12" s="3"/>
      <c r="AA12" s="3"/>
      <c r="AK12" s="3">
        <f>SUM($F12:AI12)</f>
        <v>166600</v>
      </c>
    </row>
    <row r="13" spans="1:38" x14ac:dyDescent="0.35">
      <c r="A13" t="s">
        <v>812</v>
      </c>
      <c r="B13" t="s">
        <v>898</v>
      </c>
      <c r="C13" s="5">
        <v>44489</v>
      </c>
      <c r="D13" s="3">
        <v>21182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AA13" s="3"/>
      <c r="AF13" s="3">
        <v>21182</v>
      </c>
      <c r="AK13" s="3">
        <f>SUM($F13:AI13)</f>
        <v>21182</v>
      </c>
    </row>
    <row r="14" spans="1:38" s="237" customFormat="1" x14ac:dyDescent="0.35">
      <c r="A14" s="237" t="s">
        <v>385</v>
      </c>
      <c r="C14" s="5">
        <v>43980</v>
      </c>
      <c r="D14" s="237">
        <v>10465</v>
      </c>
      <c r="J14" s="238"/>
      <c r="AG14" s="237" t="s">
        <v>13</v>
      </c>
      <c r="AK14" s="3">
        <f>SUM($F14:AI14)</f>
        <v>0</v>
      </c>
    </row>
    <row r="15" spans="1:38" x14ac:dyDescent="0.35">
      <c r="A15" t="s">
        <v>60</v>
      </c>
      <c r="D15" s="3">
        <v>0</v>
      </c>
      <c r="F15" s="3" t="s">
        <v>13</v>
      </c>
      <c r="G15" s="3" t="s">
        <v>13</v>
      </c>
      <c r="H15" s="3"/>
      <c r="I15" s="3"/>
      <c r="J15" s="3"/>
      <c r="K15" s="3" t="s">
        <v>13</v>
      </c>
      <c r="M15" s="3"/>
      <c r="N15" s="3"/>
      <c r="O15" s="3" t="s">
        <v>13</v>
      </c>
      <c r="P15" s="3"/>
      <c r="Q15" s="3"/>
      <c r="R15" s="3" t="s">
        <v>13</v>
      </c>
      <c r="S15" s="3"/>
      <c r="T15" s="3"/>
      <c r="U15" s="3"/>
      <c r="V15" s="3"/>
      <c r="W15" s="3"/>
      <c r="Y15" t="s">
        <v>13</v>
      </c>
    </row>
    <row r="16" spans="1:38" x14ac:dyDescent="0.35">
      <c r="A16" t="s">
        <v>1</v>
      </c>
      <c r="F16" s="3"/>
      <c r="G16" s="3" t="s">
        <v>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7" x14ac:dyDescent="0.35">
      <c r="A17" t="s">
        <v>478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 t="s">
        <v>13</v>
      </c>
      <c r="S17" s="3"/>
      <c r="T17" s="3"/>
      <c r="U17" s="3"/>
      <c r="V17" s="3"/>
      <c r="W17" s="3"/>
    </row>
    <row r="18" spans="1:37" x14ac:dyDescent="0.35"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7" x14ac:dyDescent="0.35">
      <c r="A19" s="2" t="s">
        <v>6</v>
      </c>
      <c r="F19" s="3">
        <f t="shared" ref="F19:AJ19" si="1">SUM(F5:F18)</f>
        <v>0</v>
      </c>
      <c r="G19" s="3">
        <f t="shared" si="1"/>
        <v>0</v>
      </c>
      <c r="H19" s="3">
        <f t="shared" si="1"/>
        <v>0</v>
      </c>
      <c r="I19" s="3">
        <f t="shared" si="1"/>
        <v>0</v>
      </c>
      <c r="J19" s="3">
        <f t="shared" si="1"/>
        <v>0</v>
      </c>
      <c r="K19" s="3">
        <f t="shared" si="1"/>
        <v>0</v>
      </c>
      <c r="L19" s="3">
        <f t="shared" si="1"/>
        <v>0</v>
      </c>
      <c r="M19" s="3">
        <f t="shared" si="1"/>
        <v>0</v>
      </c>
      <c r="N19" s="3">
        <f t="shared" si="1"/>
        <v>0</v>
      </c>
      <c r="O19" s="3">
        <f t="shared" si="1"/>
        <v>0</v>
      </c>
      <c r="P19" s="3">
        <f t="shared" si="1"/>
        <v>0</v>
      </c>
      <c r="Q19" s="3">
        <f t="shared" si="1"/>
        <v>0</v>
      </c>
      <c r="R19" s="3">
        <f t="shared" si="1"/>
        <v>166600</v>
      </c>
      <c r="S19" s="3">
        <f t="shared" si="1"/>
        <v>0</v>
      </c>
      <c r="T19" s="3">
        <f t="shared" si="1"/>
        <v>0</v>
      </c>
      <c r="U19" s="3">
        <f t="shared" si="1"/>
        <v>0</v>
      </c>
      <c r="V19" s="3">
        <f t="shared" si="1"/>
        <v>0</v>
      </c>
      <c r="W19" s="3">
        <f t="shared" si="1"/>
        <v>0</v>
      </c>
      <c r="X19" s="3">
        <f t="shared" si="1"/>
        <v>0</v>
      </c>
      <c r="Y19" s="3">
        <f t="shared" si="1"/>
        <v>0</v>
      </c>
      <c r="Z19" s="3">
        <f t="shared" si="1"/>
        <v>0</v>
      </c>
      <c r="AA19" s="3">
        <f t="shared" si="1"/>
        <v>0</v>
      </c>
      <c r="AB19" s="3">
        <f t="shared" si="1"/>
        <v>0</v>
      </c>
      <c r="AC19" s="3">
        <f t="shared" si="1"/>
        <v>0</v>
      </c>
      <c r="AD19" s="3">
        <f t="shared" si="1"/>
        <v>0</v>
      </c>
      <c r="AE19" s="3">
        <f t="shared" si="1"/>
        <v>0</v>
      </c>
      <c r="AF19" s="3">
        <f t="shared" si="1"/>
        <v>21182</v>
      </c>
      <c r="AG19" s="3">
        <f t="shared" si="1"/>
        <v>0</v>
      </c>
      <c r="AH19" s="3">
        <f t="shared" si="1"/>
        <v>0</v>
      </c>
      <c r="AI19" s="3">
        <f t="shared" si="1"/>
        <v>0</v>
      </c>
      <c r="AJ19" s="3">
        <f t="shared" si="1"/>
        <v>0</v>
      </c>
      <c r="AK19" s="72">
        <f>SUM(AK5:AK14)</f>
        <v>187782</v>
      </c>
    </row>
    <row r="20" spans="1:37" x14ac:dyDescent="0.35">
      <c r="A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7" x14ac:dyDescent="0.35">
      <c r="A21" s="2" t="s">
        <v>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7" x14ac:dyDescent="0.35">
      <c r="A22" s="4" t="s">
        <v>492</v>
      </c>
      <c r="B22" s="24" t="s">
        <v>337</v>
      </c>
      <c r="C22" s="67"/>
      <c r="D22" s="3">
        <v>250000</v>
      </c>
      <c r="F22" s="3"/>
      <c r="G22" s="3"/>
      <c r="H22" s="3"/>
      <c r="I22" s="3"/>
      <c r="K22" s="3"/>
      <c r="L22" s="3"/>
      <c r="M22" s="3"/>
      <c r="P22" s="3"/>
      <c r="Q22" s="3"/>
      <c r="R22" s="3"/>
      <c r="S22" s="3"/>
      <c r="T22" s="3"/>
      <c r="U22" s="3"/>
      <c r="V22" s="3" t="s">
        <v>13</v>
      </c>
      <c r="W22" s="3"/>
      <c r="AJ22" s="3" t="s">
        <v>13</v>
      </c>
      <c r="AK22" s="3">
        <f>SUM($F22:AI22)</f>
        <v>0</v>
      </c>
    </row>
    <row r="23" spans="1:37" x14ac:dyDescent="0.35">
      <c r="A23" s="4" t="s">
        <v>494</v>
      </c>
      <c r="B23" s="24" t="s">
        <v>337</v>
      </c>
      <c r="C23" s="67"/>
      <c r="D23" s="3">
        <v>500000</v>
      </c>
      <c r="F23" s="3"/>
      <c r="G23" s="3"/>
      <c r="H23" s="3"/>
      <c r="I23" s="3"/>
      <c r="K23" s="3"/>
      <c r="L23" s="3"/>
      <c r="M23" s="3"/>
      <c r="P23" s="3"/>
      <c r="Q23" s="3"/>
      <c r="R23" s="3"/>
      <c r="S23" s="3"/>
      <c r="T23" s="3"/>
      <c r="U23" s="3"/>
      <c r="V23" s="3"/>
      <c r="W23" s="3"/>
      <c r="AJ23" s="3" t="s">
        <v>13</v>
      </c>
      <c r="AK23" s="3">
        <f>SUM($F23:AI23)</f>
        <v>0</v>
      </c>
    </row>
    <row r="24" spans="1:37" x14ac:dyDescent="0.35">
      <c r="A24" s="4" t="s">
        <v>495</v>
      </c>
      <c r="B24" s="24" t="s">
        <v>337</v>
      </c>
      <c r="C24" s="67"/>
      <c r="D24" s="3">
        <v>500000</v>
      </c>
      <c r="F24" s="3"/>
      <c r="G24" s="3"/>
      <c r="H24" s="3"/>
      <c r="I24" s="3"/>
      <c r="K24" s="3"/>
      <c r="L24" s="3"/>
      <c r="M24" s="104" t="s">
        <v>13</v>
      </c>
      <c r="P24" s="3"/>
      <c r="Q24" s="3"/>
      <c r="R24" s="3"/>
      <c r="S24" s="3"/>
      <c r="T24" s="3"/>
      <c r="U24" s="3"/>
      <c r="V24" s="3"/>
      <c r="W24" s="3"/>
      <c r="AJ24" s="3" t="s">
        <v>13</v>
      </c>
      <c r="AK24" s="3">
        <f>SUM($F24:AI24)</f>
        <v>0</v>
      </c>
    </row>
    <row r="25" spans="1:37" x14ac:dyDescent="0.35">
      <c r="A25" s="4" t="s">
        <v>541</v>
      </c>
      <c r="B25" s="24" t="s">
        <v>337</v>
      </c>
      <c r="C25" s="67"/>
      <c r="D25" s="3">
        <v>500000</v>
      </c>
      <c r="F25" s="3"/>
      <c r="G25" s="3"/>
      <c r="H25" s="3"/>
      <c r="I25" s="3"/>
      <c r="K25" s="3"/>
      <c r="L25" s="3"/>
      <c r="M25" s="3"/>
      <c r="P25" s="3"/>
      <c r="Q25" s="3"/>
      <c r="R25" s="3"/>
      <c r="S25" s="3"/>
      <c r="T25" s="3"/>
      <c r="U25" s="3"/>
      <c r="V25" s="3"/>
      <c r="W25" s="3"/>
      <c r="AJ25" s="3" t="s">
        <v>13</v>
      </c>
      <c r="AK25" s="3">
        <f>SUM($F25:AI25)</f>
        <v>0</v>
      </c>
    </row>
    <row r="26" spans="1:37" x14ac:dyDescent="0.35">
      <c r="A26" s="4" t="s">
        <v>576</v>
      </c>
      <c r="B26" s="24" t="s">
        <v>337</v>
      </c>
      <c r="C26" s="67"/>
      <c r="D26" s="3">
        <v>500000</v>
      </c>
      <c r="H26" t="s">
        <v>13</v>
      </c>
      <c r="I26" t="s">
        <v>13</v>
      </c>
      <c r="L26" s="3"/>
      <c r="M26" s="3"/>
      <c r="P26" s="3"/>
      <c r="Q26" s="3"/>
      <c r="AJ26" s="3" t="s">
        <v>13</v>
      </c>
      <c r="AK26" s="3">
        <f>SUM($F26:AI26)</f>
        <v>0</v>
      </c>
    </row>
    <row r="27" spans="1:37" x14ac:dyDescent="0.35">
      <c r="A27" s="4" t="s">
        <v>629</v>
      </c>
      <c r="B27" s="24" t="s">
        <v>337</v>
      </c>
      <c r="C27" s="67"/>
      <c r="D27" s="3">
        <v>500000</v>
      </c>
      <c r="L27" s="3"/>
      <c r="M27" s="3"/>
      <c r="P27" s="3"/>
      <c r="Q27" s="3"/>
      <c r="AG27" s="3"/>
      <c r="AJ27" s="3" t="s">
        <v>13</v>
      </c>
      <c r="AK27" s="3">
        <f>SUM($F27:AI27)</f>
        <v>0</v>
      </c>
    </row>
    <row r="28" spans="1:37" x14ac:dyDescent="0.35">
      <c r="A28" s="4" t="s">
        <v>646</v>
      </c>
      <c r="B28" s="24" t="s">
        <v>337</v>
      </c>
      <c r="C28" s="67"/>
      <c r="D28" s="3">
        <v>250000</v>
      </c>
      <c r="H28" t="s">
        <v>13</v>
      </c>
      <c r="J28" t="s">
        <v>13</v>
      </c>
      <c r="L28" s="3"/>
      <c r="M28" s="3"/>
      <c r="P28" s="3"/>
      <c r="Q28" s="3"/>
      <c r="AG28" s="3"/>
      <c r="AJ28" s="3"/>
      <c r="AK28" s="3">
        <f>SUM($F28:AI28)</f>
        <v>0</v>
      </c>
    </row>
    <row r="29" spans="1:37" x14ac:dyDescent="0.35">
      <c r="A29" t="s">
        <v>1133</v>
      </c>
      <c r="B29" t="s">
        <v>337</v>
      </c>
      <c r="C29" s="5" t="s">
        <v>13</v>
      </c>
      <c r="D29" s="3">
        <f ca="1">+'MAR-21'!AK19*0.17+('ABR-21'!AJ18+'MAY-21'!AK16+'JUN-21'!AK14+'JUL-21'!AK28+'AGO-21'!AK22+'SEP-21'!AK14)*0.17</f>
        <v>277507.09333333338</v>
      </c>
      <c r="G29" s="3" t="s">
        <v>13</v>
      </c>
      <c r="H29" t="s">
        <v>13</v>
      </c>
      <c r="L29" s="3"/>
      <c r="M29" s="3"/>
      <c r="P29" s="3"/>
      <c r="Q29" s="3"/>
      <c r="AG29" s="3"/>
      <c r="AK29" s="3">
        <f>SUM($F29:AI29)</f>
        <v>0</v>
      </c>
    </row>
    <row r="30" spans="1:37" x14ac:dyDescent="0.35">
      <c r="A30" s="4" t="s">
        <v>949</v>
      </c>
      <c r="C30" s="5"/>
      <c r="D30" s="3">
        <v>1200000</v>
      </c>
      <c r="G30" s="3"/>
      <c r="L30" s="3"/>
      <c r="M30" s="3"/>
      <c r="P30" s="3"/>
      <c r="Q30" s="3"/>
      <c r="AG30" s="3"/>
      <c r="AK30" s="3"/>
    </row>
    <row r="31" spans="1:37" x14ac:dyDescent="0.35">
      <c r="A31" s="4" t="s">
        <v>549</v>
      </c>
      <c r="B31" s="24" t="s">
        <v>78</v>
      </c>
      <c r="C31" s="67">
        <v>44195</v>
      </c>
      <c r="D31" s="3">
        <v>240975</v>
      </c>
      <c r="E31" s="15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Y31" s="3"/>
      <c r="AF31" s="3"/>
      <c r="AG31" s="3"/>
      <c r="AK31" s="3">
        <f>SUM($F31:AI31)</f>
        <v>0</v>
      </c>
    </row>
    <row r="32" spans="1:37" x14ac:dyDescent="0.35">
      <c r="A32" s="4" t="s">
        <v>603</v>
      </c>
      <c r="B32" s="24" t="s">
        <v>245</v>
      </c>
      <c r="C32" s="67">
        <v>44235</v>
      </c>
      <c r="D32" s="3">
        <f>2216970-'MAR-21'!$H$45</f>
        <v>1816970</v>
      </c>
      <c r="E32" s="153" t="s">
        <v>13</v>
      </c>
      <c r="F32" s="3"/>
      <c r="G32" s="3" t="s">
        <v>13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/>
      <c r="AF32" s="3"/>
      <c r="AG32" s="3"/>
      <c r="AJ32" s="3" t="s">
        <v>13</v>
      </c>
      <c r="AK32" s="3">
        <f>SUM($F32:AI32)</f>
        <v>0</v>
      </c>
    </row>
    <row r="33" spans="1:38" x14ac:dyDescent="0.35">
      <c r="A33" s="4" t="s">
        <v>799</v>
      </c>
      <c r="B33" s="24" t="s">
        <v>798</v>
      </c>
      <c r="C33" s="67">
        <v>44475</v>
      </c>
      <c r="D33" s="3">
        <v>41888</v>
      </c>
      <c r="E33" s="153" t="s">
        <v>401</v>
      </c>
      <c r="F33" s="3"/>
      <c r="G33" s="3"/>
      <c r="H33" s="3"/>
      <c r="I33" s="3"/>
      <c r="J33" s="3"/>
      <c r="K33" s="3">
        <v>41888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Y33" s="3"/>
      <c r="AF33" s="3"/>
      <c r="AG33" s="3"/>
      <c r="AJ33" s="3"/>
      <c r="AK33" s="3">
        <f>SUM($F33:AI33)</f>
        <v>41888</v>
      </c>
    </row>
    <row r="34" spans="1:38" x14ac:dyDescent="0.35">
      <c r="A34" s="4" t="s">
        <v>801</v>
      </c>
      <c r="B34" s="24" t="s">
        <v>800</v>
      </c>
      <c r="C34" s="67">
        <v>44475</v>
      </c>
      <c r="D34" s="3">
        <v>15619</v>
      </c>
      <c r="E34" s="153" t="s">
        <v>401</v>
      </c>
      <c r="F34" s="3"/>
      <c r="G34" s="3"/>
      <c r="H34" s="3"/>
      <c r="I34" s="3"/>
      <c r="J34" s="3"/>
      <c r="K34" s="3">
        <v>15619</v>
      </c>
      <c r="L34" s="3"/>
      <c r="M34" s="3"/>
      <c r="N34" s="3"/>
      <c r="O34" s="3"/>
      <c r="Q34" s="3"/>
      <c r="R34" s="3"/>
      <c r="S34" s="3"/>
      <c r="T34" s="3"/>
      <c r="U34" s="3"/>
      <c r="V34" s="3"/>
      <c r="W34" s="3"/>
      <c r="Y34" s="3"/>
      <c r="AF34" s="3"/>
      <c r="AG34" s="3"/>
      <c r="AJ34" s="3"/>
      <c r="AK34" s="3">
        <f>SUM($F34:AI34)</f>
        <v>15619</v>
      </c>
    </row>
    <row r="35" spans="1:38" x14ac:dyDescent="0.35">
      <c r="A35" s="4" t="s">
        <v>802</v>
      </c>
      <c r="B35" s="24" t="s">
        <v>803</v>
      </c>
      <c r="C35" s="67">
        <v>44476</v>
      </c>
      <c r="D35" s="3">
        <v>16050</v>
      </c>
      <c r="E35" s="153" t="s">
        <v>4</v>
      </c>
      <c r="F35" s="3"/>
      <c r="G35" s="3"/>
      <c r="H35" s="3"/>
      <c r="I35" s="3"/>
      <c r="J35" s="3"/>
      <c r="K35" s="3"/>
      <c r="M35" s="3"/>
      <c r="N35" s="3"/>
      <c r="O35" s="3"/>
      <c r="Q35" s="3"/>
      <c r="R35" s="3"/>
      <c r="S35" s="3">
        <v>16050</v>
      </c>
      <c r="U35" s="3"/>
      <c r="V35" s="3"/>
      <c r="W35" s="3"/>
      <c r="Y35" s="3"/>
      <c r="AF35" s="3"/>
      <c r="AG35" s="3"/>
      <c r="AJ35" s="3"/>
      <c r="AK35" s="3">
        <f>SUM($F35:AI35)</f>
        <v>16050</v>
      </c>
    </row>
    <row r="36" spans="1:38" x14ac:dyDescent="0.35">
      <c r="A36" s="4" t="s">
        <v>806</v>
      </c>
      <c r="B36" s="24"/>
      <c r="C36" s="67">
        <v>44481</v>
      </c>
      <c r="D36" s="3">
        <v>14</v>
      </c>
      <c r="E36" s="15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>
        <v>14</v>
      </c>
      <c r="R36" s="3"/>
      <c r="T36" s="3"/>
      <c r="U36" s="3"/>
      <c r="V36" s="3"/>
      <c r="W36" s="3"/>
      <c r="Y36" s="3"/>
      <c r="AF36" s="3"/>
      <c r="AG36" s="3"/>
      <c r="AJ36" s="3"/>
      <c r="AK36" s="3">
        <f>SUM($F36:AI36)</f>
        <v>14</v>
      </c>
    </row>
    <row r="37" spans="1:38" x14ac:dyDescent="0.35">
      <c r="A37" s="4" t="s">
        <v>506</v>
      </c>
      <c r="B37" s="24"/>
      <c r="C37" s="5">
        <v>44477</v>
      </c>
      <c r="D37" s="3">
        <f>+(25.1*2)*984/9+2432*2</f>
        <v>10352.533333333333</v>
      </c>
      <c r="E37" s="15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>
        <f>+(25.1*2)*984/9+2432*2</f>
        <v>10352.533333333333</v>
      </c>
      <c r="T37" s="3"/>
      <c r="U37" s="3"/>
      <c r="V37" s="3"/>
      <c r="W37" s="3"/>
      <c r="Y37" s="3"/>
      <c r="AF37" s="3"/>
      <c r="AG37" s="3"/>
      <c r="AJ37" s="3"/>
      <c r="AK37" s="3">
        <f>SUM($F37:AI37)</f>
        <v>10352.533333333333</v>
      </c>
    </row>
    <row r="38" spans="1:38" x14ac:dyDescent="0.35">
      <c r="A38" s="4" t="s">
        <v>781</v>
      </c>
      <c r="B38" s="24" t="s">
        <v>827</v>
      </c>
      <c r="C38" s="5">
        <v>44530</v>
      </c>
      <c r="D38" s="3">
        <v>58000</v>
      </c>
      <c r="E38" s="153" t="s">
        <v>401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>
        <v>58000</v>
      </c>
      <c r="T38" s="3"/>
      <c r="U38" s="3"/>
      <c r="V38" s="3"/>
      <c r="W38" s="3"/>
      <c r="Y38" s="3"/>
      <c r="AF38" s="3"/>
      <c r="AG38" s="3"/>
      <c r="AJ38" s="3"/>
      <c r="AK38" s="3">
        <f>SUM($F38:AI38)</f>
        <v>58000</v>
      </c>
    </row>
    <row r="39" spans="1:38" x14ac:dyDescent="0.35">
      <c r="A39" s="4" t="s">
        <v>808</v>
      </c>
      <c r="B39" s="24"/>
      <c r="C39" s="67">
        <v>44489</v>
      </c>
      <c r="D39" s="3">
        <f>+((8.8+11+16.2)*950/9)+601+601+331</f>
        <v>5333</v>
      </c>
      <c r="E39" s="15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Y39" s="3"/>
      <c r="AF39" s="3">
        <f>+(8.8+11+16.2)*950/9+601+601+331</f>
        <v>5333</v>
      </c>
      <c r="AG39" s="3"/>
      <c r="AJ39" s="3"/>
      <c r="AK39" s="3">
        <f>SUM($F39:AI39)</f>
        <v>5333</v>
      </c>
    </row>
    <row r="40" spans="1:38" x14ac:dyDescent="0.35">
      <c r="A40" s="4" t="s">
        <v>809</v>
      </c>
      <c r="B40" s="24"/>
      <c r="C40" s="5">
        <v>44489</v>
      </c>
      <c r="D40" s="3">
        <v>5000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  <c r="AF40" s="3">
        <v>5000</v>
      </c>
      <c r="AK40" s="3">
        <f>SUM($F40:AI40)</f>
        <v>5000</v>
      </c>
    </row>
    <row r="41" spans="1:38" x14ac:dyDescent="0.35">
      <c r="A41" s="4" t="s">
        <v>810</v>
      </c>
      <c r="B41" s="24" t="s">
        <v>811</v>
      </c>
      <c r="C41" s="5"/>
      <c r="D41" s="3">
        <v>23205</v>
      </c>
      <c r="E41" t="s">
        <v>401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>
        <v>23205</v>
      </c>
      <c r="AK41" s="3">
        <f>SUM($F41:AI41)</f>
        <v>23205</v>
      </c>
    </row>
    <row r="42" spans="1:38" x14ac:dyDescent="0.35">
      <c r="A42" s="4"/>
      <c r="B42" s="24"/>
      <c r="C42" s="5"/>
      <c r="D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K42" s="72">
        <f>SUM(AK22:AK41)</f>
        <v>175461.53333333333</v>
      </c>
      <c r="AL42" s="3">
        <f>+AK19-AK42+F3</f>
        <v>77112.770336134257</v>
      </c>
    </row>
    <row r="43" spans="1:38" x14ac:dyDescent="0.35">
      <c r="A43" s="2" t="s">
        <v>9</v>
      </c>
      <c r="F43" s="3">
        <f>SUM(F22:F42)</f>
        <v>0</v>
      </c>
      <c r="G43" s="3">
        <f t="shared" ref="G43:AI43" si="2">SUM(G22:G42)</f>
        <v>0</v>
      </c>
      <c r="H43" s="3">
        <f t="shared" si="2"/>
        <v>0</v>
      </c>
      <c r="I43" s="3">
        <f t="shared" si="2"/>
        <v>0</v>
      </c>
      <c r="J43" s="3">
        <f t="shared" si="2"/>
        <v>0</v>
      </c>
      <c r="K43" s="3">
        <f t="shared" si="2"/>
        <v>57507</v>
      </c>
      <c r="L43" s="3">
        <f t="shared" si="2"/>
        <v>0</v>
      </c>
      <c r="M43" s="3">
        <f t="shared" si="2"/>
        <v>0</v>
      </c>
      <c r="N43" s="3">
        <f t="shared" si="2"/>
        <v>0</v>
      </c>
      <c r="O43" s="3">
        <f t="shared" si="2"/>
        <v>0</v>
      </c>
      <c r="P43" s="3">
        <f t="shared" si="2"/>
        <v>0</v>
      </c>
      <c r="Q43" s="3">
        <f t="shared" si="2"/>
        <v>14</v>
      </c>
      <c r="R43" s="3">
        <f t="shared" si="2"/>
        <v>0</v>
      </c>
      <c r="S43" s="3">
        <f t="shared" si="2"/>
        <v>84402.533333333326</v>
      </c>
      <c r="T43" s="3">
        <f t="shared" si="2"/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3">
        <f t="shared" si="2"/>
        <v>0</v>
      </c>
      <c r="Y43" s="3">
        <f t="shared" si="2"/>
        <v>23205</v>
      </c>
      <c r="Z43" s="3">
        <f t="shared" si="2"/>
        <v>0</v>
      </c>
      <c r="AA43" s="3">
        <f t="shared" si="2"/>
        <v>0</v>
      </c>
      <c r="AB43" s="3">
        <f t="shared" si="2"/>
        <v>0</v>
      </c>
      <c r="AC43" s="3">
        <f t="shared" si="2"/>
        <v>0</v>
      </c>
      <c r="AD43" s="3">
        <f t="shared" si="2"/>
        <v>0</v>
      </c>
      <c r="AE43" s="3">
        <f t="shared" si="2"/>
        <v>0</v>
      </c>
      <c r="AF43" s="3">
        <f t="shared" si="2"/>
        <v>10333</v>
      </c>
      <c r="AG43" s="3">
        <f t="shared" si="2"/>
        <v>0</v>
      </c>
      <c r="AH43" s="3">
        <f t="shared" si="2"/>
        <v>0</v>
      </c>
      <c r="AI43" s="3">
        <f t="shared" si="2"/>
        <v>0</v>
      </c>
      <c r="AJ43" s="3">
        <f>SUM(AJ22:AJ42)</f>
        <v>0</v>
      </c>
      <c r="AK43" s="3" t="s">
        <v>13</v>
      </c>
    </row>
    <row r="44" spans="1:38" x14ac:dyDescent="0.35">
      <c r="A44" t="s">
        <v>8</v>
      </c>
      <c r="F44" s="3">
        <f>+F19+F3-F43</f>
        <v>64792.303669467583</v>
      </c>
      <c r="G44" s="3">
        <f t="shared" ref="G44:AJ44" si="3">+G3+G19-G43</f>
        <v>64792.303669467583</v>
      </c>
      <c r="H44" s="3">
        <f t="shared" si="3"/>
        <v>64792.303669467583</v>
      </c>
      <c r="I44" s="3">
        <f t="shared" si="3"/>
        <v>64792.303669467583</v>
      </c>
      <c r="J44" s="3">
        <f t="shared" si="3"/>
        <v>64792.303669467583</v>
      </c>
      <c r="K44" s="3">
        <f t="shared" si="3"/>
        <v>7285.3036694675829</v>
      </c>
      <c r="L44" s="3">
        <f t="shared" si="3"/>
        <v>7285.3036694675829</v>
      </c>
      <c r="M44" s="3">
        <f t="shared" si="3"/>
        <v>7285.3036694675829</v>
      </c>
      <c r="N44" s="3">
        <f t="shared" si="3"/>
        <v>7285.3036694675829</v>
      </c>
      <c r="O44" s="3">
        <f t="shared" si="3"/>
        <v>7285.3036694675829</v>
      </c>
      <c r="P44" s="3">
        <f t="shared" si="3"/>
        <v>7285.3036694675829</v>
      </c>
      <c r="Q44" s="3">
        <f t="shared" si="3"/>
        <v>7271.3036694675829</v>
      </c>
      <c r="R44" s="3">
        <f t="shared" si="3"/>
        <v>173871.30366946757</v>
      </c>
      <c r="S44" s="3">
        <f t="shared" si="3"/>
        <v>89468.770336134243</v>
      </c>
      <c r="T44" s="3">
        <f t="shared" si="3"/>
        <v>89468.770336134243</v>
      </c>
      <c r="U44" s="3">
        <f t="shared" si="3"/>
        <v>89468.770336134243</v>
      </c>
      <c r="V44" s="3">
        <f t="shared" si="3"/>
        <v>89468.770336134243</v>
      </c>
      <c r="W44" s="3">
        <f t="shared" si="3"/>
        <v>89468.770336134243</v>
      </c>
      <c r="X44" s="3">
        <f t="shared" si="3"/>
        <v>89468.770336134243</v>
      </c>
      <c r="Y44" s="3">
        <f t="shared" si="3"/>
        <v>66263.770336134243</v>
      </c>
      <c r="Z44" s="3">
        <f t="shared" si="3"/>
        <v>66263.770336134243</v>
      </c>
      <c r="AA44" s="3">
        <f t="shared" si="3"/>
        <v>66263.770336134243</v>
      </c>
      <c r="AB44" s="3">
        <f t="shared" si="3"/>
        <v>66263.770336134243</v>
      </c>
      <c r="AC44" s="3">
        <f t="shared" si="3"/>
        <v>66263.770336134243</v>
      </c>
      <c r="AD44" s="3">
        <f t="shared" si="3"/>
        <v>66263.770336134243</v>
      </c>
      <c r="AE44" s="3">
        <f t="shared" si="3"/>
        <v>66263.770336134243</v>
      </c>
      <c r="AF44" s="3">
        <f t="shared" si="3"/>
        <v>77112.770336134243</v>
      </c>
      <c r="AG44" s="3">
        <f t="shared" si="3"/>
        <v>77112.770336134243</v>
      </c>
      <c r="AH44" s="3">
        <f t="shared" si="3"/>
        <v>77112.770336134243</v>
      </c>
      <c r="AI44" s="3">
        <f t="shared" si="3"/>
        <v>77112.770336134243</v>
      </c>
      <c r="AJ44" s="3">
        <f t="shared" si="3"/>
        <v>77112.770336134243</v>
      </c>
      <c r="AK44" s="3" t="s">
        <v>13</v>
      </c>
    </row>
    <row r="45" spans="1:38" x14ac:dyDescent="0.35">
      <c r="F45" s="3"/>
      <c r="G45" s="3"/>
      <c r="H45" s="3"/>
      <c r="I45" s="3" t="s">
        <v>13</v>
      </c>
      <c r="J45" s="3"/>
      <c r="K45" s="3"/>
      <c r="L45" s="3"/>
      <c r="M45" s="3"/>
      <c r="N45" s="3"/>
      <c r="O45" s="3"/>
      <c r="P45" s="3" t="s">
        <v>13</v>
      </c>
      <c r="Q45" s="3"/>
      <c r="R45" s="3"/>
      <c r="S45" s="3"/>
      <c r="T45" s="3" t="s">
        <v>13</v>
      </c>
      <c r="U45" s="3"/>
      <c r="V45" s="3"/>
      <c r="W45" s="3"/>
      <c r="Y45" s="3" t="s">
        <v>13</v>
      </c>
      <c r="AA45" s="3" t="s">
        <v>13</v>
      </c>
      <c r="AB45" s="3" t="s">
        <v>13</v>
      </c>
    </row>
    <row r="46" spans="1:38" x14ac:dyDescent="0.35">
      <c r="B46" t="s">
        <v>13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 t="s">
        <v>13</v>
      </c>
      <c r="Q46" s="3" t="s">
        <v>13</v>
      </c>
      <c r="R46" s="3" t="s">
        <v>13</v>
      </c>
      <c r="S46" s="3"/>
      <c r="T46" s="3"/>
      <c r="U46" s="3" t="s">
        <v>13</v>
      </c>
      <c r="V46" s="3"/>
      <c r="W46" s="3"/>
      <c r="AB46" s="3" t="s">
        <v>13</v>
      </c>
    </row>
    <row r="47" spans="1:38" x14ac:dyDescent="0.35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S47" s="3"/>
      <c r="T47" s="3" t="s">
        <v>13</v>
      </c>
      <c r="U47" s="3"/>
      <c r="V47" s="3"/>
      <c r="W47" s="3"/>
      <c r="AB47" s="3" t="s">
        <v>13</v>
      </c>
    </row>
    <row r="48" spans="1:38" x14ac:dyDescent="0.35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S48" s="3"/>
      <c r="T48" s="3"/>
      <c r="U48" s="3"/>
      <c r="V48" s="3"/>
      <c r="W48" s="3" t="s">
        <v>13</v>
      </c>
      <c r="AB48" s="3" t="s">
        <v>13</v>
      </c>
    </row>
    <row r="49" spans="6:28" x14ac:dyDescent="0.35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AB49" s="3" t="s">
        <v>13</v>
      </c>
    </row>
    <row r="50" spans="6:28" x14ac:dyDescent="0.35"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AB50" s="3" t="s">
        <v>13</v>
      </c>
    </row>
    <row r="51" spans="6:28" x14ac:dyDescent="0.35">
      <c r="F51" s="3"/>
    </row>
    <row r="52" spans="6:28" x14ac:dyDescent="0.35">
      <c r="F52" s="3"/>
    </row>
    <row r="53" spans="6:28" x14ac:dyDescent="0.35">
      <c r="F53" s="3"/>
    </row>
    <row r="54" spans="6:28" x14ac:dyDescent="0.35">
      <c r="F54" s="3"/>
    </row>
    <row r="55" spans="6:28" x14ac:dyDescent="0.35">
      <c r="F55" s="3"/>
    </row>
    <row r="56" spans="6:28" x14ac:dyDescent="0.35">
      <c r="F56" s="3"/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AL52"/>
  <sheetViews>
    <sheetView workbookViewId="0"/>
  </sheetViews>
  <sheetFormatPr baseColWidth="10" defaultColWidth="11.08984375" defaultRowHeight="14.5" x14ac:dyDescent="0.35"/>
  <cols>
    <col min="1" max="1" width="39" customWidth="1"/>
    <col min="2" max="2" width="11.1796875" customWidth="1"/>
    <col min="3" max="4" width="13.26953125" customWidth="1"/>
    <col min="5" max="5" width="10.81640625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44501</v>
      </c>
      <c r="G2" s="1">
        <v>44502</v>
      </c>
      <c r="H2" s="1">
        <v>44503</v>
      </c>
      <c r="I2" s="1">
        <v>44504</v>
      </c>
      <c r="J2" s="1">
        <v>44505</v>
      </c>
      <c r="K2" s="1">
        <v>44506</v>
      </c>
      <c r="L2" s="1">
        <v>44507</v>
      </c>
      <c r="M2" s="1">
        <v>44508</v>
      </c>
      <c r="N2" s="1">
        <v>44509</v>
      </c>
      <c r="O2" s="1">
        <v>44510</v>
      </c>
      <c r="P2" s="1">
        <v>44511</v>
      </c>
      <c r="Q2" s="1">
        <v>44512</v>
      </c>
      <c r="R2" s="1">
        <v>44513</v>
      </c>
      <c r="S2" s="1">
        <v>44514</v>
      </c>
      <c r="T2" s="1">
        <v>44515</v>
      </c>
      <c r="U2" s="1">
        <v>44516</v>
      </c>
      <c r="V2" s="1">
        <v>44517</v>
      </c>
      <c r="W2" s="1">
        <v>44518</v>
      </c>
      <c r="X2" s="1">
        <v>44519</v>
      </c>
      <c r="Y2" s="1">
        <v>44520</v>
      </c>
      <c r="Z2" s="1">
        <v>44521</v>
      </c>
      <c r="AA2" s="1">
        <v>44522</v>
      </c>
      <c r="AB2" s="1">
        <v>44523</v>
      </c>
      <c r="AC2" s="1">
        <v>44524</v>
      </c>
      <c r="AD2" s="1">
        <v>44525</v>
      </c>
      <c r="AE2" s="1">
        <v>44526</v>
      </c>
      <c r="AF2" s="1">
        <v>44527</v>
      </c>
      <c r="AG2" s="1">
        <v>44528</v>
      </c>
      <c r="AH2" s="1">
        <v>44529</v>
      </c>
      <c r="AI2" s="1">
        <v>44530</v>
      </c>
      <c r="AJ2" s="1" t="s">
        <v>13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+'OCT-21'!AJ44</f>
        <v>77112.770336134243</v>
      </c>
      <c r="G3" s="3">
        <f t="shared" ref="G3:AG3" si="0">+F40</f>
        <v>77112.770336134243</v>
      </c>
      <c r="H3" s="3">
        <f t="shared" si="0"/>
        <v>77112.770336134243</v>
      </c>
      <c r="I3" s="3">
        <f t="shared" si="0"/>
        <v>77112.770336134243</v>
      </c>
      <c r="J3" s="3">
        <f t="shared" si="0"/>
        <v>77112.770336134243</v>
      </c>
      <c r="K3" s="3">
        <f t="shared" si="0"/>
        <v>-0.22966386575717479</v>
      </c>
      <c r="L3" s="3">
        <f t="shared" si="0"/>
        <v>-0.22966386575717479</v>
      </c>
      <c r="M3" s="3">
        <f t="shared" si="0"/>
        <v>-0.22966386575717479</v>
      </c>
      <c r="N3" s="3">
        <f t="shared" si="0"/>
        <v>-0.22966386575717479</v>
      </c>
      <c r="O3" s="3">
        <f t="shared" si="0"/>
        <v>-0.22966386575717479</v>
      </c>
      <c r="P3" s="3">
        <f t="shared" si="0"/>
        <v>802.77033613424283</v>
      </c>
      <c r="Q3" s="3">
        <f t="shared" si="0"/>
        <v>802.77033613424283</v>
      </c>
      <c r="R3" s="3">
        <f t="shared" si="0"/>
        <v>802.77033613424283</v>
      </c>
      <c r="S3" s="3">
        <f t="shared" si="0"/>
        <v>802.77033613424283</v>
      </c>
      <c r="T3" s="3">
        <f t="shared" si="0"/>
        <v>802.77033613424283</v>
      </c>
      <c r="U3" s="3">
        <f t="shared" si="0"/>
        <v>802.77033613424283</v>
      </c>
      <c r="V3" s="3">
        <f t="shared" si="0"/>
        <v>802.77033613424283</v>
      </c>
      <c r="W3" s="3">
        <f t="shared" si="0"/>
        <v>802.77033613424283</v>
      </c>
      <c r="X3" s="3">
        <f t="shared" si="0"/>
        <v>802.77033613424283</v>
      </c>
      <c r="Y3" s="3">
        <f t="shared" si="0"/>
        <v>802.77033613424283</v>
      </c>
      <c r="Z3" s="3">
        <f t="shared" si="0"/>
        <v>802.77033613424283</v>
      </c>
      <c r="AA3" s="3">
        <f t="shared" si="0"/>
        <v>802.77033613424283</v>
      </c>
      <c r="AB3" s="3">
        <f t="shared" si="0"/>
        <v>802.77033613424283</v>
      </c>
      <c r="AC3" s="3">
        <f t="shared" si="0"/>
        <v>802.77033613424283</v>
      </c>
      <c r="AD3" s="3">
        <f t="shared" si="0"/>
        <v>802.77033613424283</v>
      </c>
      <c r="AE3" s="3">
        <f t="shared" si="0"/>
        <v>802.77033613424283</v>
      </c>
      <c r="AF3" s="3">
        <f t="shared" si="0"/>
        <v>802.77033613424283</v>
      </c>
      <c r="AG3" s="3">
        <f t="shared" si="0"/>
        <v>802.77033613424283</v>
      </c>
      <c r="AH3" s="3">
        <f>+AG40</f>
        <v>802.77033613424283</v>
      </c>
      <c r="AI3" s="3">
        <f>+AH40</f>
        <v>802.77033613424283</v>
      </c>
      <c r="AJ3" s="3" t="s">
        <v>13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J5" s="3" t="s">
        <v>13</v>
      </c>
      <c r="AK5" s="3">
        <f>SUM($F5:AI5)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J6" s="3" t="s">
        <v>13</v>
      </c>
      <c r="AK6" s="3">
        <f>SUM($F6:AI6)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J7" s="3" t="s">
        <v>13</v>
      </c>
      <c r="AK7" s="3">
        <f>SUM($F7:AI7)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J8" s="3" t="s">
        <v>13</v>
      </c>
      <c r="AK8" s="3">
        <f>SUM($F8:AI8)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J9" s="3" t="s">
        <v>13</v>
      </c>
      <c r="AK9" s="3">
        <f>SUM($F9:AI9)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J10" s="3" t="s">
        <v>13</v>
      </c>
      <c r="AK10" s="3">
        <f>SUM($F10:AI10)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J11" s="3" t="s">
        <v>13</v>
      </c>
      <c r="AK11" s="3">
        <f>SUM($F11:AI11)</f>
        <v>0</v>
      </c>
      <c r="AL11" s="3" t="s">
        <v>13</v>
      </c>
    </row>
    <row r="12" spans="1:38" x14ac:dyDescent="0.35">
      <c r="A12" t="s">
        <v>820</v>
      </c>
      <c r="C12" s="5"/>
      <c r="D12" s="3">
        <v>79236</v>
      </c>
      <c r="F12" s="3"/>
      <c r="G12" s="3"/>
      <c r="H12" s="3"/>
      <c r="I12" s="3"/>
      <c r="J12" s="3">
        <v>79236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AJ12" s="3"/>
      <c r="AK12" s="3">
        <f>SUM($F12:AI12)</f>
        <v>79236</v>
      </c>
      <c r="AL12" s="3"/>
    </row>
    <row r="13" spans="1:38" x14ac:dyDescent="0.35">
      <c r="A13" t="s">
        <v>822</v>
      </c>
      <c r="C13" s="5"/>
      <c r="D13" s="3">
        <v>1000</v>
      </c>
      <c r="F13" s="3"/>
      <c r="G13" s="3"/>
      <c r="H13" s="3"/>
      <c r="I13" s="3"/>
      <c r="J13" s="3"/>
      <c r="K13" s="3"/>
      <c r="L13" s="3"/>
      <c r="M13" s="3"/>
      <c r="N13" s="3"/>
      <c r="O13" s="3">
        <v>1000</v>
      </c>
      <c r="P13" s="3"/>
      <c r="Q13" s="3"/>
      <c r="R13" s="3"/>
      <c r="S13" s="3"/>
      <c r="T13" s="3"/>
      <c r="U13" s="3"/>
      <c r="V13" s="3"/>
      <c r="W13" s="3"/>
      <c r="AJ13" s="3"/>
      <c r="AK13" s="3">
        <f>SUM($F13:AI13)</f>
        <v>1000</v>
      </c>
      <c r="AL13" s="3"/>
    </row>
    <row r="14" spans="1:38" s="237" customFormat="1" x14ac:dyDescent="0.35">
      <c r="A14" s="237" t="s">
        <v>385</v>
      </c>
      <c r="C14" s="5">
        <v>43980</v>
      </c>
      <c r="D14" s="237">
        <v>10465</v>
      </c>
      <c r="J14" s="238"/>
      <c r="AG14" s="237" t="s">
        <v>13</v>
      </c>
      <c r="AK14" s="3">
        <f>SUM($F14:AI14)</f>
        <v>0</v>
      </c>
    </row>
    <row r="15" spans="1:38" x14ac:dyDescent="0.35">
      <c r="A15" t="s">
        <v>60</v>
      </c>
      <c r="D15" s="3">
        <v>0</v>
      </c>
      <c r="F15" s="3" t="s">
        <v>13</v>
      </c>
      <c r="G15" s="3" t="s">
        <v>13</v>
      </c>
      <c r="H15" s="3"/>
      <c r="I15" s="3"/>
      <c r="J15" s="3"/>
      <c r="K15" s="3" t="s">
        <v>13</v>
      </c>
      <c r="M15" s="3"/>
      <c r="N15" s="3"/>
      <c r="O15" s="3" t="s">
        <v>13</v>
      </c>
      <c r="P15" s="3"/>
      <c r="Q15" s="3"/>
      <c r="R15" s="3" t="s">
        <v>13</v>
      </c>
      <c r="S15" s="3"/>
      <c r="T15" s="3"/>
      <c r="U15" s="3"/>
      <c r="V15" s="3"/>
      <c r="W15" s="3"/>
      <c r="Y15" t="s">
        <v>13</v>
      </c>
      <c r="AK15" s="72">
        <f>SUM(AK5:AK14)</f>
        <v>80236</v>
      </c>
    </row>
    <row r="16" spans="1:38" x14ac:dyDescent="0.35">
      <c r="A16" t="s">
        <v>1</v>
      </c>
      <c r="F16" s="3"/>
      <c r="G16" s="3" t="s">
        <v>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7" x14ac:dyDescent="0.35">
      <c r="A17" t="s">
        <v>478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 t="s">
        <v>13</v>
      </c>
      <c r="S17" s="3"/>
      <c r="T17" s="3"/>
      <c r="U17" s="3"/>
      <c r="V17" s="3"/>
      <c r="W17" s="3"/>
    </row>
    <row r="18" spans="1:37" x14ac:dyDescent="0.35"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7" x14ac:dyDescent="0.35">
      <c r="A19" s="2" t="s">
        <v>6</v>
      </c>
      <c r="F19" s="3">
        <f t="shared" ref="F19:AI19" si="1">SUM(F5:F18)</f>
        <v>0</v>
      </c>
      <c r="G19" s="3">
        <f t="shared" si="1"/>
        <v>0</v>
      </c>
      <c r="H19" s="3">
        <f t="shared" si="1"/>
        <v>0</v>
      </c>
      <c r="I19" s="3">
        <f t="shared" si="1"/>
        <v>0</v>
      </c>
      <c r="J19" s="3">
        <f t="shared" si="1"/>
        <v>79236</v>
      </c>
      <c r="K19" s="3">
        <f t="shared" si="1"/>
        <v>0</v>
      </c>
      <c r="L19" s="3">
        <f t="shared" si="1"/>
        <v>0</v>
      </c>
      <c r="M19" s="3">
        <f t="shared" si="1"/>
        <v>0</v>
      </c>
      <c r="N19" s="3">
        <f t="shared" si="1"/>
        <v>0</v>
      </c>
      <c r="O19" s="3">
        <f t="shared" si="1"/>
        <v>1000</v>
      </c>
      <c r="P19" s="3">
        <f t="shared" si="1"/>
        <v>0</v>
      </c>
      <c r="Q19" s="3">
        <f t="shared" si="1"/>
        <v>0</v>
      </c>
      <c r="R19" s="3">
        <f t="shared" si="1"/>
        <v>0</v>
      </c>
      <c r="S19" s="3">
        <f t="shared" si="1"/>
        <v>0</v>
      </c>
      <c r="T19" s="3">
        <f t="shared" si="1"/>
        <v>0</v>
      </c>
      <c r="U19" s="3">
        <f t="shared" si="1"/>
        <v>0</v>
      </c>
      <c r="V19" s="3">
        <f t="shared" si="1"/>
        <v>0</v>
      </c>
      <c r="W19" s="3">
        <f t="shared" si="1"/>
        <v>0</v>
      </c>
      <c r="X19" s="3">
        <f t="shared" si="1"/>
        <v>0</v>
      </c>
      <c r="Y19" s="3">
        <f t="shared" si="1"/>
        <v>0</v>
      </c>
      <c r="Z19" s="3">
        <f t="shared" si="1"/>
        <v>0</v>
      </c>
      <c r="AA19" s="3">
        <f t="shared" si="1"/>
        <v>0</v>
      </c>
      <c r="AB19" s="3">
        <f t="shared" si="1"/>
        <v>0</v>
      </c>
      <c r="AC19" s="3">
        <f t="shared" si="1"/>
        <v>0</v>
      </c>
      <c r="AD19" s="3">
        <f t="shared" si="1"/>
        <v>0</v>
      </c>
      <c r="AE19" s="3">
        <f t="shared" si="1"/>
        <v>0</v>
      </c>
      <c r="AF19" s="3">
        <f t="shared" si="1"/>
        <v>0</v>
      </c>
      <c r="AG19" s="3">
        <f t="shared" si="1"/>
        <v>0</v>
      </c>
      <c r="AH19" s="3">
        <f t="shared" si="1"/>
        <v>0</v>
      </c>
      <c r="AI19" s="3">
        <f t="shared" si="1"/>
        <v>0</v>
      </c>
      <c r="AJ19" s="3" t="s">
        <v>13</v>
      </c>
    </row>
    <row r="20" spans="1:37" x14ac:dyDescent="0.35">
      <c r="A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37" x14ac:dyDescent="0.35">
      <c r="A21" s="2" t="s">
        <v>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37" x14ac:dyDescent="0.35">
      <c r="A22" s="4" t="s">
        <v>492</v>
      </c>
      <c r="B22" s="24" t="s">
        <v>337</v>
      </c>
      <c r="C22" s="67"/>
      <c r="D22" s="3">
        <v>250000</v>
      </c>
      <c r="F22" s="3"/>
      <c r="G22" s="3"/>
      <c r="H22" s="3"/>
      <c r="I22" s="3"/>
      <c r="K22" s="3"/>
      <c r="L22" s="3"/>
      <c r="M22" s="3"/>
      <c r="P22" s="3"/>
      <c r="Q22" s="3"/>
      <c r="R22" s="3"/>
      <c r="S22" s="3"/>
      <c r="T22" s="3"/>
      <c r="U22" s="3"/>
      <c r="V22" s="3" t="s">
        <v>13</v>
      </c>
      <c r="W22" s="3"/>
      <c r="AJ22" s="3" t="s">
        <v>13</v>
      </c>
      <c r="AK22" s="3">
        <f>SUM($F22:AI22)</f>
        <v>0</v>
      </c>
    </row>
    <row r="23" spans="1:37" x14ac:dyDescent="0.35">
      <c r="A23" s="4" t="s">
        <v>494</v>
      </c>
      <c r="B23" s="24" t="s">
        <v>337</v>
      </c>
      <c r="C23" s="67"/>
      <c r="D23" s="3">
        <v>500000</v>
      </c>
      <c r="F23" s="3"/>
      <c r="G23" s="3"/>
      <c r="H23" s="3"/>
      <c r="I23" s="3"/>
      <c r="K23" s="3"/>
      <c r="L23" s="3"/>
      <c r="M23" s="3"/>
      <c r="P23" s="3"/>
      <c r="Q23" s="3"/>
      <c r="R23" s="3"/>
      <c r="S23" s="3"/>
      <c r="T23" s="3"/>
      <c r="U23" s="3"/>
      <c r="V23" s="3"/>
      <c r="W23" s="3"/>
      <c r="AJ23" s="3" t="s">
        <v>13</v>
      </c>
      <c r="AK23" s="3">
        <f>SUM($F23:AI23)</f>
        <v>0</v>
      </c>
    </row>
    <row r="24" spans="1:37" x14ac:dyDescent="0.35">
      <c r="A24" s="4" t="s">
        <v>495</v>
      </c>
      <c r="B24" s="24" t="s">
        <v>337</v>
      </c>
      <c r="C24" s="67"/>
      <c r="D24" s="3">
        <v>500000</v>
      </c>
      <c r="F24" s="3"/>
      <c r="G24" s="3"/>
      <c r="H24" s="3"/>
      <c r="I24" s="3"/>
      <c r="K24" s="3"/>
      <c r="L24" s="3"/>
      <c r="M24" s="104" t="s">
        <v>13</v>
      </c>
      <c r="P24" s="3"/>
      <c r="Q24" s="3"/>
      <c r="R24" s="3"/>
      <c r="S24" s="3"/>
      <c r="T24" s="3"/>
      <c r="U24" s="3"/>
      <c r="V24" s="3"/>
      <c r="W24" s="3"/>
      <c r="AJ24" s="3" t="s">
        <v>13</v>
      </c>
      <c r="AK24" s="3">
        <f>SUM($F24:AI24)</f>
        <v>0</v>
      </c>
    </row>
    <row r="25" spans="1:37" x14ac:dyDescent="0.35">
      <c r="A25" s="4" t="s">
        <v>541</v>
      </c>
      <c r="B25" s="24" t="s">
        <v>337</v>
      </c>
      <c r="C25" s="67"/>
      <c r="D25" s="3">
        <v>500000</v>
      </c>
      <c r="F25" s="3"/>
      <c r="G25" s="3"/>
      <c r="H25" s="3"/>
      <c r="I25" s="3"/>
      <c r="K25" s="3"/>
      <c r="L25" s="3"/>
      <c r="M25" s="3"/>
      <c r="P25" s="3"/>
      <c r="Q25" s="3"/>
      <c r="R25" s="3"/>
      <c r="S25" s="3"/>
      <c r="T25" s="3"/>
      <c r="U25" s="3"/>
      <c r="V25" s="3"/>
      <c r="W25" s="3"/>
      <c r="AJ25" s="3" t="s">
        <v>13</v>
      </c>
      <c r="AK25" s="3">
        <f>SUM($F25:AI25)</f>
        <v>0</v>
      </c>
    </row>
    <row r="26" spans="1:37" x14ac:dyDescent="0.35">
      <c r="A26" s="4" t="s">
        <v>576</v>
      </c>
      <c r="B26" s="24" t="s">
        <v>337</v>
      </c>
      <c r="C26" s="67"/>
      <c r="D26" s="3">
        <v>500000</v>
      </c>
      <c r="H26" t="s">
        <v>13</v>
      </c>
      <c r="I26" t="s">
        <v>13</v>
      </c>
      <c r="L26" s="3"/>
      <c r="M26" s="3"/>
      <c r="P26" s="3"/>
      <c r="Q26" s="3"/>
      <c r="AJ26" s="3" t="s">
        <v>13</v>
      </c>
      <c r="AK26" s="3">
        <f>SUM($F26:AI26)</f>
        <v>0</v>
      </c>
    </row>
    <row r="27" spans="1:37" x14ac:dyDescent="0.35">
      <c r="A27" s="4" t="s">
        <v>629</v>
      </c>
      <c r="B27" s="24" t="s">
        <v>337</v>
      </c>
      <c r="C27" s="67"/>
      <c r="D27" s="3">
        <v>500000</v>
      </c>
      <c r="L27" s="3"/>
      <c r="M27" s="3"/>
      <c r="P27" s="3"/>
      <c r="Q27" s="3"/>
      <c r="AG27" s="3"/>
      <c r="AJ27" s="3" t="s">
        <v>13</v>
      </c>
      <c r="AK27" s="3">
        <f>SUM($F27:AI27)</f>
        <v>0</v>
      </c>
    </row>
    <row r="28" spans="1:37" x14ac:dyDescent="0.35">
      <c r="A28" s="4" t="s">
        <v>646</v>
      </c>
      <c r="B28" s="24" t="s">
        <v>337</v>
      </c>
      <c r="C28" s="67"/>
      <c r="D28" s="3">
        <v>250000</v>
      </c>
      <c r="H28" t="s">
        <v>13</v>
      </c>
      <c r="J28" t="s">
        <v>13</v>
      </c>
      <c r="L28" s="3"/>
      <c r="M28" s="3"/>
      <c r="P28" s="3"/>
      <c r="Q28" s="3"/>
      <c r="AG28" s="3"/>
      <c r="AJ28" s="3"/>
      <c r="AK28" s="3">
        <f>SUM($F28:AI28)</f>
        <v>0</v>
      </c>
    </row>
    <row r="29" spans="1:37" x14ac:dyDescent="0.35">
      <c r="A29" t="s">
        <v>1133</v>
      </c>
      <c r="B29" t="s">
        <v>337</v>
      </c>
      <c r="C29" s="5" t="s">
        <v>13</v>
      </c>
      <c r="D29" s="3">
        <f ca="1">+'MAR-21'!AK19*0.17+('ABR-21'!AJ18+'MAY-21'!AK16+'JUN-21'!AK14+'JUL-21'!AK28+'AGO-21'!AK22+'SEP-21'!AK14)*0.17</f>
        <v>277507.09333333338</v>
      </c>
      <c r="G29" s="3" t="s">
        <v>13</v>
      </c>
      <c r="H29" t="s">
        <v>13</v>
      </c>
      <c r="L29" s="3"/>
      <c r="M29" s="3"/>
      <c r="P29" s="3"/>
      <c r="Q29" s="3"/>
      <c r="AG29" s="3"/>
      <c r="AK29" s="3">
        <f>SUM($F29:AI29)</f>
        <v>0</v>
      </c>
    </row>
    <row r="30" spans="1:37" x14ac:dyDescent="0.35">
      <c r="A30" s="4" t="s">
        <v>950</v>
      </c>
      <c r="C30" s="5"/>
      <c r="D30" s="3">
        <v>1800000</v>
      </c>
      <c r="G30" s="3"/>
      <c r="L30" s="3"/>
      <c r="M30" s="3"/>
      <c r="P30" s="3"/>
      <c r="Q30" s="3"/>
      <c r="AG30" s="3"/>
      <c r="AK30" s="3"/>
    </row>
    <row r="31" spans="1:37" x14ac:dyDescent="0.35">
      <c r="A31" s="4" t="s">
        <v>821</v>
      </c>
      <c r="C31" s="5"/>
      <c r="D31" s="3">
        <v>156349</v>
      </c>
      <c r="G31" s="3"/>
      <c r="J31" s="3">
        <v>156349</v>
      </c>
      <c r="L31" s="3"/>
      <c r="M31" s="3"/>
      <c r="P31" s="3"/>
      <c r="Q31" s="3"/>
      <c r="AG31" s="3"/>
      <c r="AK31" s="3"/>
    </row>
    <row r="32" spans="1:37" x14ac:dyDescent="0.35">
      <c r="A32" s="4" t="s">
        <v>549</v>
      </c>
      <c r="B32" s="24" t="s">
        <v>78</v>
      </c>
      <c r="C32" s="67">
        <v>44195</v>
      </c>
      <c r="D32" s="3">
        <v>240975</v>
      </c>
      <c r="E32" s="15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/>
      <c r="AF32" s="3"/>
      <c r="AG32" s="3"/>
      <c r="AK32" s="3">
        <f>SUM($F32:AI32)</f>
        <v>0</v>
      </c>
    </row>
    <row r="33" spans="1:38" x14ac:dyDescent="0.35">
      <c r="A33" s="4" t="s">
        <v>603</v>
      </c>
      <c r="B33" s="24" t="s">
        <v>245</v>
      </c>
      <c r="C33" s="67">
        <v>44235</v>
      </c>
      <c r="D33" s="3">
        <f>2216970-'MAR-21'!$H$45</f>
        <v>1816970</v>
      </c>
      <c r="E33" s="153" t="s">
        <v>13</v>
      </c>
      <c r="F33" s="3"/>
      <c r="G33" s="3" t="s">
        <v>13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Y33" s="3"/>
      <c r="AF33" s="3"/>
      <c r="AG33" s="3"/>
      <c r="AJ33" s="3" t="s">
        <v>13</v>
      </c>
      <c r="AK33" s="3">
        <f>SUM($F33:AI33)</f>
        <v>0</v>
      </c>
    </row>
    <row r="34" spans="1:38" x14ac:dyDescent="0.35">
      <c r="A34" s="4" t="s">
        <v>823</v>
      </c>
      <c r="B34" s="24"/>
      <c r="C34" s="67">
        <v>44510</v>
      </c>
      <c r="D34" s="3">
        <v>197</v>
      </c>
      <c r="E34" s="153" t="s">
        <v>13</v>
      </c>
      <c r="F34" s="3"/>
      <c r="G34" s="3"/>
      <c r="H34" s="3"/>
      <c r="I34" s="3"/>
      <c r="J34" s="3"/>
      <c r="K34" s="3"/>
      <c r="L34" s="3"/>
      <c r="M34" s="3"/>
      <c r="N34" s="3"/>
      <c r="O34" s="3">
        <v>197</v>
      </c>
      <c r="P34" s="3"/>
      <c r="Q34" s="3"/>
      <c r="R34" s="3"/>
      <c r="S34" s="3"/>
      <c r="T34" s="3"/>
      <c r="U34" s="3"/>
      <c r="V34" s="3"/>
      <c r="W34" s="3"/>
      <c r="Y34" s="3"/>
      <c r="AF34" s="3"/>
      <c r="AG34" s="3"/>
      <c r="AJ34" s="3"/>
      <c r="AK34" s="3"/>
    </row>
    <row r="35" spans="1:38" x14ac:dyDescent="0.35">
      <c r="A35" s="4" t="s">
        <v>828</v>
      </c>
      <c r="B35" s="24"/>
      <c r="C35" s="67">
        <v>44522</v>
      </c>
      <c r="D35" s="71">
        <f>4.69*835</f>
        <v>3916.1500000000005</v>
      </c>
      <c r="E35" s="153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Y35" s="3"/>
      <c r="AF35" s="3"/>
      <c r="AG35" s="3"/>
      <c r="AJ35" s="3"/>
      <c r="AK35" s="3"/>
    </row>
    <row r="36" spans="1:38" x14ac:dyDescent="0.35">
      <c r="A36" s="4" t="s">
        <v>380</v>
      </c>
      <c r="B36" s="24"/>
      <c r="C36" s="5">
        <v>44524</v>
      </c>
      <c r="D36" s="3">
        <v>9990</v>
      </c>
      <c r="E36" s="153" t="s">
        <v>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/>
      <c r="AC36" s="3" t="s">
        <v>13</v>
      </c>
      <c r="AK36" s="72">
        <f>SUM(AK22:AK33)</f>
        <v>0</v>
      </c>
      <c r="AL36" s="3">
        <f>+AK15-AK36+F3</f>
        <v>157348.77033613424</v>
      </c>
    </row>
    <row r="37" spans="1:38" x14ac:dyDescent="0.35">
      <c r="A37" s="4" t="s">
        <v>834</v>
      </c>
      <c r="B37" s="24"/>
      <c r="C37" s="5">
        <v>44870</v>
      </c>
      <c r="D37" s="3">
        <v>79236</v>
      </c>
      <c r="E37" s="153" t="s">
        <v>503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Y37" s="3"/>
      <c r="AC37" s="3"/>
      <c r="AK37" s="72"/>
      <c r="AL37" s="3"/>
    </row>
    <row r="38" spans="1:38" x14ac:dyDescent="0.35">
      <c r="A38" s="4" t="s">
        <v>834</v>
      </c>
      <c r="B38" s="24"/>
      <c r="C38" s="5">
        <v>44875</v>
      </c>
      <c r="D38" s="3">
        <v>1000</v>
      </c>
      <c r="E38" s="153" t="s">
        <v>503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Y38" s="3"/>
      <c r="AC38" s="3"/>
      <c r="AK38" s="72"/>
      <c r="AL38" s="3"/>
    </row>
    <row r="39" spans="1:38" x14ac:dyDescent="0.35">
      <c r="A39" s="2" t="s">
        <v>9</v>
      </c>
      <c r="F39" s="3">
        <f t="shared" ref="F39:AI39" si="2">SUM(F22:F36)</f>
        <v>0</v>
      </c>
      <c r="G39" s="3">
        <f t="shared" si="2"/>
        <v>0</v>
      </c>
      <c r="H39" s="3">
        <f t="shared" si="2"/>
        <v>0</v>
      </c>
      <c r="I39" s="3">
        <f t="shared" si="2"/>
        <v>0</v>
      </c>
      <c r="J39" s="3">
        <f t="shared" si="2"/>
        <v>156349</v>
      </c>
      <c r="K39" s="3">
        <f t="shared" si="2"/>
        <v>0</v>
      </c>
      <c r="L39" s="3">
        <f t="shared" si="2"/>
        <v>0</v>
      </c>
      <c r="M39" s="3">
        <f t="shared" si="2"/>
        <v>0</v>
      </c>
      <c r="N39" s="3">
        <f t="shared" si="2"/>
        <v>0</v>
      </c>
      <c r="O39" s="3">
        <f t="shared" si="2"/>
        <v>197</v>
      </c>
      <c r="P39" s="3">
        <f t="shared" si="2"/>
        <v>0</v>
      </c>
      <c r="Q39" s="3">
        <f t="shared" si="2"/>
        <v>0</v>
      </c>
      <c r="R39" s="3">
        <f t="shared" si="2"/>
        <v>0</v>
      </c>
      <c r="S39" s="3">
        <f t="shared" si="2"/>
        <v>0</v>
      </c>
      <c r="T39" s="3">
        <f t="shared" si="2"/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3">
        <f t="shared" si="2"/>
        <v>0</v>
      </c>
      <c r="Y39" s="3">
        <f t="shared" si="2"/>
        <v>0</v>
      </c>
      <c r="Z39" s="3">
        <f t="shared" si="2"/>
        <v>0</v>
      </c>
      <c r="AA39" s="3">
        <f t="shared" si="2"/>
        <v>0</v>
      </c>
      <c r="AB39" s="3">
        <f t="shared" si="2"/>
        <v>0</v>
      </c>
      <c r="AC39" s="3">
        <f t="shared" si="2"/>
        <v>0</v>
      </c>
      <c r="AD39" s="3">
        <f t="shared" si="2"/>
        <v>0</v>
      </c>
      <c r="AE39" s="3">
        <f t="shared" si="2"/>
        <v>0</v>
      </c>
      <c r="AF39" s="3">
        <f t="shared" si="2"/>
        <v>0</v>
      </c>
      <c r="AG39" s="3">
        <f t="shared" si="2"/>
        <v>0</v>
      </c>
      <c r="AH39" s="3">
        <f t="shared" si="2"/>
        <v>0</v>
      </c>
      <c r="AI39" s="3">
        <f t="shared" si="2"/>
        <v>0</v>
      </c>
      <c r="AJ39" s="3" t="s">
        <v>13</v>
      </c>
      <c r="AK39" s="3" t="s">
        <v>13</v>
      </c>
    </row>
    <row r="40" spans="1:38" x14ac:dyDescent="0.35">
      <c r="A40" t="s">
        <v>8</v>
      </c>
      <c r="F40" s="3">
        <f>+F19+F3-F39</f>
        <v>77112.770336134243</v>
      </c>
      <c r="G40" s="3">
        <f t="shared" ref="G40:AI40" si="3">+G3+G19-G39</f>
        <v>77112.770336134243</v>
      </c>
      <c r="H40" s="3">
        <f t="shared" si="3"/>
        <v>77112.770336134243</v>
      </c>
      <c r="I40" s="3">
        <f t="shared" si="3"/>
        <v>77112.770336134243</v>
      </c>
      <c r="J40" s="3">
        <f t="shared" si="3"/>
        <v>-0.22966386575717479</v>
      </c>
      <c r="K40" s="3">
        <f t="shared" si="3"/>
        <v>-0.22966386575717479</v>
      </c>
      <c r="L40" s="3">
        <f t="shared" si="3"/>
        <v>-0.22966386575717479</v>
      </c>
      <c r="M40" s="3">
        <f t="shared" si="3"/>
        <v>-0.22966386575717479</v>
      </c>
      <c r="N40" s="3">
        <f t="shared" si="3"/>
        <v>-0.22966386575717479</v>
      </c>
      <c r="O40" s="3">
        <f t="shared" si="3"/>
        <v>802.77033613424283</v>
      </c>
      <c r="P40" s="3">
        <f t="shared" si="3"/>
        <v>802.77033613424283</v>
      </c>
      <c r="Q40" s="3">
        <f t="shared" si="3"/>
        <v>802.77033613424283</v>
      </c>
      <c r="R40" s="3">
        <f t="shared" si="3"/>
        <v>802.77033613424283</v>
      </c>
      <c r="S40" s="3">
        <f t="shared" si="3"/>
        <v>802.77033613424283</v>
      </c>
      <c r="T40" s="3">
        <f t="shared" si="3"/>
        <v>802.77033613424283</v>
      </c>
      <c r="U40" s="3">
        <f t="shared" si="3"/>
        <v>802.77033613424283</v>
      </c>
      <c r="V40" s="3">
        <f t="shared" si="3"/>
        <v>802.77033613424283</v>
      </c>
      <c r="W40" s="3">
        <f t="shared" si="3"/>
        <v>802.77033613424283</v>
      </c>
      <c r="X40" s="3">
        <f t="shared" si="3"/>
        <v>802.77033613424283</v>
      </c>
      <c r="Y40" s="3">
        <f t="shared" si="3"/>
        <v>802.77033613424283</v>
      </c>
      <c r="Z40" s="3">
        <f t="shared" si="3"/>
        <v>802.77033613424283</v>
      </c>
      <c r="AA40" s="3">
        <f t="shared" si="3"/>
        <v>802.77033613424283</v>
      </c>
      <c r="AB40" s="3">
        <f t="shared" si="3"/>
        <v>802.77033613424283</v>
      </c>
      <c r="AC40" s="3">
        <f t="shared" si="3"/>
        <v>802.77033613424283</v>
      </c>
      <c r="AD40" s="3">
        <f t="shared" si="3"/>
        <v>802.77033613424283</v>
      </c>
      <c r="AE40" s="3">
        <f t="shared" si="3"/>
        <v>802.77033613424283</v>
      </c>
      <c r="AF40" s="3">
        <f t="shared" si="3"/>
        <v>802.77033613424283</v>
      </c>
      <c r="AG40" s="3">
        <f t="shared" si="3"/>
        <v>802.77033613424283</v>
      </c>
      <c r="AH40" s="3">
        <f t="shared" si="3"/>
        <v>802.77033613424283</v>
      </c>
      <c r="AI40" s="3">
        <f t="shared" si="3"/>
        <v>802.77033613424283</v>
      </c>
      <c r="AJ40" s="3" t="s">
        <v>13</v>
      </c>
      <c r="AK40" s="3" t="s">
        <v>13</v>
      </c>
    </row>
    <row r="41" spans="1:38" x14ac:dyDescent="0.35">
      <c r="F41" s="3"/>
      <c r="G41" s="3"/>
      <c r="H41" s="3"/>
      <c r="I41" s="3" t="s">
        <v>13</v>
      </c>
      <c r="J41" s="3"/>
      <c r="K41" s="3"/>
      <c r="L41" s="3"/>
      <c r="M41" s="3"/>
      <c r="N41" s="3"/>
      <c r="O41" s="3"/>
      <c r="P41" s="3" t="s">
        <v>13</v>
      </c>
      <c r="Q41" s="3"/>
      <c r="R41" s="3"/>
      <c r="S41" s="3"/>
      <c r="T41" s="3" t="s">
        <v>13</v>
      </c>
      <c r="U41" s="3"/>
      <c r="V41" s="3"/>
      <c r="W41" s="3"/>
      <c r="Y41" s="3" t="s">
        <v>13</v>
      </c>
      <c r="AA41" s="3" t="s">
        <v>13</v>
      </c>
      <c r="AB41" s="3" t="s">
        <v>13</v>
      </c>
    </row>
    <row r="42" spans="1:38" x14ac:dyDescent="0.35">
      <c r="B42" t="s">
        <v>13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 t="s">
        <v>13</v>
      </c>
      <c r="Q42" s="3" t="s">
        <v>13</v>
      </c>
      <c r="R42" s="3" t="s">
        <v>13</v>
      </c>
      <c r="S42" s="3"/>
      <c r="T42" s="3"/>
      <c r="U42" s="3" t="s">
        <v>13</v>
      </c>
      <c r="V42" s="3"/>
      <c r="W42" s="3"/>
      <c r="AB42" s="3" t="s">
        <v>13</v>
      </c>
    </row>
    <row r="43" spans="1:38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S43" s="3"/>
      <c r="T43" s="3" t="s">
        <v>13</v>
      </c>
      <c r="U43" s="3"/>
      <c r="V43" s="3"/>
      <c r="W43" s="3"/>
      <c r="AB43" s="3" t="s">
        <v>13</v>
      </c>
    </row>
    <row r="44" spans="1:38" x14ac:dyDescent="0.35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S44" s="3"/>
      <c r="T44" s="3"/>
      <c r="U44" s="3"/>
      <c r="V44" s="3"/>
      <c r="W44" s="3" t="s">
        <v>13</v>
      </c>
      <c r="AB44" s="3" t="s">
        <v>13</v>
      </c>
    </row>
    <row r="45" spans="1:38" x14ac:dyDescent="0.3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AB45" s="3" t="s">
        <v>13</v>
      </c>
    </row>
    <row r="46" spans="1:38" x14ac:dyDescent="0.3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AB46" s="3" t="s">
        <v>13</v>
      </c>
    </row>
    <row r="47" spans="1:38" x14ac:dyDescent="0.35">
      <c r="F47" s="3"/>
    </row>
    <row r="48" spans="1:38" x14ac:dyDescent="0.35">
      <c r="F48" s="3"/>
    </row>
    <row r="49" spans="6:6" x14ac:dyDescent="0.35">
      <c r="F49" s="3"/>
    </row>
    <row r="50" spans="6:6" x14ac:dyDescent="0.35">
      <c r="F50" s="3"/>
    </row>
    <row r="51" spans="6:6" x14ac:dyDescent="0.35">
      <c r="F51" s="3"/>
    </row>
    <row r="52" spans="6:6" x14ac:dyDescent="0.35">
      <c r="F52" s="3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AL50"/>
  <sheetViews>
    <sheetView workbookViewId="0"/>
  </sheetViews>
  <sheetFormatPr baseColWidth="10" defaultColWidth="11.08984375" defaultRowHeight="14.5" x14ac:dyDescent="0.35"/>
  <cols>
    <col min="1" max="1" width="39" customWidth="1"/>
    <col min="2" max="2" width="11.1796875" customWidth="1"/>
    <col min="3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44531</v>
      </c>
      <c r="G2" s="1">
        <v>44532</v>
      </c>
      <c r="H2" s="1">
        <v>44533</v>
      </c>
      <c r="I2" s="1">
        <v>44534</v>
      </c>
      <c r="J2" s="1">
        <v>44535</v>
      </c>
      <c r="K2" s="1">
        <v>44536</v>
      </c>
      <c r="L2" s="1">
        <v>44537</v>
      </c>
      <c r="M2" s="1">
        <v>44538</v>
      </c>
      <c r="N2" s="1">
        <v>44539</v>
      </c>
      <c r="O2" s="1">
        <v>44540</v>
      </c>
      <c r="P2" s="1">
        <v>44541</v>
      </c>
      <c r="Q2" s="1">
        <v>44542</v>
      </c>
      <c r="R2" s="1">
        <v>44543</v>
      </c>
      <c r="S2" s="1">
        <v>44544</v>
      </c>
      <c r="T2" s="1">
        <v>44545</v>
      </c>
      <c r="U2" s="1">
        <v>44546</v>
      </c>
      <c r="V2" s="1">
        <v>44547</v>
      </c>
      <c r="W2" s="1">
        <v>44548</v>
      </c>
      <c r="X2" s="1">
        <v>44549</v>
      </c>
      <c r="Y2" s="1">
        <v>44550</v>
      </c>
      <c r="Z2" s="1">
        <v>44551</v>
      </c>
      <c r="AA2" s="1">
        <v>44552</v>
      </c>
      <c r="AB2" s="1">
        <v>44553</v>
      </c>
      <c r="AC2" s="1">
        <v>44554</v>
      </c>
      <c r="AD2" s="1">
        <v>44555</v>
      </c>
      <c r="AE2" s="1">
        <v>44556</v>
      </c>
      <c r="AF2" s="1">
        <v>44557</v>
      </c>
      <c r="AG2" s="1">
        <v>44558</v>
      </c>
      <c r="AH2" s="1">
        <v>44559</v>
      </c>
      <c r="AI2" s="1">
        <v>44560</v>
      </c>
      <c r="AJ2" s="1">
        <v>44561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+'NOV-21'!AI40</f>
        <v>802.77033613424283</v>
      </c>
      <c r="G3" s="3">
        <f t="shared" ref="G3:AG3" si="0">+F38</f>
        <v>802.77033613424283</v>
      </c>
      <c r="H3" s="3">
        <f t="shared" si="0"/>
        <v>802.77033613424283</v>
      </c>
      <c r="I3" s="3">
        <f t="shared" si="0"/>
        <v>802.77033613424283</v>
      </c>
      <c r="J3" s="3">
        <f t="shared" si="0"/>
        <v>802.77033613424283</v>
      </c>
      <c r="K3" s="3">
        <f t="shared" si="0"/>
        <v>802.77033613424283</v>
      </c>
      <c r="L3" s="3">
        <f t="shared" si="0"/>
        <v>802.77033613424283</v>
      </c>
      <c r="M3" s="3">
        <f t="shared" si="0"/>
        <v>802.77033613424283</v>
      </c>
      <c r="N3" s="3">
        <f t="shared" si="0"/>
        <v>802.77033613424283</v>
      </c>
      <c r="O3" s="3">
        <f t="shared" si="0"/>
        <v>802.77033613424283</v>
      </c>
      <c r="P3" s="3">
        <f t="shared" si="0"/>
        <v>802.77033613424283</v>
      </c>
      <c r="Q3" s="3">
        <f t="shared" si="0"/>
        <v>802.77033613424283</v>
      </c>
      <c r="R3" s="3">
        <f t="shared" si="0"/>
        <v>802.77033613424283</v>
      </c>
      <c r="S3" s="3">
        <f t="shared" si="0"/>
        <v>802.77033613424283</v>
      </c>
      <c r="T3" s="3">
        <f t="shared" si="0"/>
        <v>802.77033613424283</v>
      </c>
      <c r="U3" s="3">
        <f t="shared" si="0"/>
        <v>802.77033613424283</v>
      </c>
      <c r="V3" s="3">
        <f t="shared" si="0"/>
        <v>802.77033613424283</v>
      </c>
      <c r="W3" s="3">
        <f t="shared" si="0"/>
        <v>802.77033613424283</v>
      </c>
      <c r="X3" s="3">
        <f t="shared" si="0"/>
        <v>802.77033613424283</v>
      </c>
      <c r="Y3" s="3">
        <f t="shared" si="0"/>
        <v>802.77033613424283</v>
      </c>
      <c r="Z3" s="3">
        <f t="shared" si="0"/>
        <v>802.77033613424283</v>
      </c>
      <c r="AA3" s="3">
        <f t="shared" si="0"/>
        <v>802.77033613424283</v>
      </c>
      <c r="AB3" s="3">
        <f t="shared" si="0"/>
        <v>802.77033613424283</v>
      </c>
      <c r="AC3" s="3">
        <f t="shared" si="0"/>
        <v>802.77033613424283</v>
      </c>
      <c r="AD3" s="3">
        <f t="shared" si="0"/>
        <v>802.77033613424283</v>
      </c>
      <c r="AE3" s="3">
        <f t="shared" si="0"/>
        <v>802.77033613424283</v>
      </c>
      <c r="AF3" s="3">
        <f t="shared" si="0"/>
        <v>802.77033613424283</v>
      </c>
      <c r="AG3" s="3">
        <f t="shared" si="0"/>
        <v>802.77033613424283</v>
      </c>
      <c r="AH3" s="3">
        <f>+AG38</f>
        <v>802.77033613424283</v>
      </c>
      <c r="AI3" s="3">
        <f>+AH38</f>
        <v>802.77033613424283</v>
      </c>
      <c r="AJ3" s="3">
        <f>+AI38</f>
        <v>802.77033613424283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K5" s="3">
        <f>SUM($F5:AI5)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K6" s="3">
        <f>SUM($F6:AI6)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K7" s="3">
        <f>SUM($F7:AI7)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K8" s="3">
        <f>SUM($F8:AI8)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K9" s="3">
        <f>SUM($F9:AI9)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K10" s="3">
        <f>SUM($F10:AI10)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K11" s="3">
        <f>SUM($F11:AI11)</f>
        <v>0</v>
      </c>
      <c r="AL11" s="3" t="s">
        <v>13</v>
      </c>
    </row>
    <row r="12" spans="1:38" s="237" customFormat="1" x14ac:dyDescent="0.35">
      <c r="A12" s="237" t="s">
        <v>385</v>
      </c>
      <c r="C12" s="5">
        <v>43980</v>
      </c>
      <c r="D12" s="237">
        <v>10465</v>
      </c>
      <c r="J12" s="238"/>
      <c r="AG12" s="237" t="s">
        <v>13</v>
      </c>
      <c r="AK12" s="3">
        <f>SUM($F12:AI12)</f>
        <v>0</v>
      </c>
    </row>
    <row r="13" spans="1:38" x14ac:dyDescent="0.35">
      <c r="A13" t="s">
        <v>60</v>
      </c>
      <c r="D13" s="3">
        <v>0</v>
      </c>
      <c r="F13" s="3" t="s">
        <v>13</v>
      </c>
      <c r="G13" s="3" t="s">
        <v>13</v>
      </c>
      <c r="H13" s="3"/>
      <c r="I13" s="3"/>
      <c r="J13" s="3"/>
      <c r="K13" s="3" t="s">
        <v>13</v>
      </c>
      <c r="M13" s="3"/>
      <c r="N13" s="3"/>
      <c r="O13" s="3" t="s">
        <v>13</v>
      </c>
      <c r="P13" s="3"/>
      <c r="Q13" s="3"/>
      <c r="R13" s="3" t="s">
        <v>13</v>
      </c>
      <c r="S13" s="3"/>
      <c r="T13" s="3"/>
      <c r="U13" s="3"/>
      <c r="V13" s="3"/>
      <c r="W13" s="3"/>
      <c r="Y13" t="s">
        <v>13</v>
      </c>
      <c r="AK13" s="72">
        <f>SUM(AK5:AK12)</f>
        <v>0</v>
      </c>
    </row>
    <row r="14" spans="1:38" x14ac:dyDescent="0.35">
      <c r="A14" t="s">
        <v>1</v>
      </c>
      <c r="F14" s="3"/>
      <c r="G14" s="3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38" x14ac:dyDescent="0.35">
      <c r="A15" t="s">
        <v>478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 t="s">
        <v>13</v>
      </c>
      <c r="S15" s="3"/>
      <c r="T15" s="3"/>
      <c r="U15" s="3"/>
      <c r="V15" s="3"/>
      <c r="W15" s="3"/>
    </row>
    <row r="16" spans="1:38" x14ac:dyDescent="0.35"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8" x14ac:dyDescent="0.35">
      <c r="A17" s="2" t="s">
        <v>6</v>
      </c>
      <c r="F17" s="3">
        <f t="shared" ref="F17:AI17" si="1">SUM(F5:F16)</f>
        <v>0</v>
      </c>
      <c r="G17" s="3">
        <f t="shared" si="1"/>
        <v>0</v>
      </c>
      <c r="H17" s="3">
        <f t="shared" si="1"/>
        <v>0</v>
      </c>
      <c r="I17" s="3">
        <f t="shared" si="1"/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0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0</v>
      </c>
      <c r="AJ17" s="3">
        <f>SUM(AJ5:AJ16)</f>
        <v>0</v>
      </c>
    </row>
    <row r="18" spans="1:38" x14ac:dyDescent="0.35">
      <c r="A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8" x14ac:dyDescent="0.35">
      <c r="A19" s="2" t="s">
        <v>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8" x14ac:dyDescent="0.35">
      <c r="A20" s="4" t="s">
        <v>492</v>
      </c>
      <c r="B20" s="24" t="s">
        <v>337</v>
      </c>
      <c r="C20" s="67"/>
      <c r="D20" s="3">
        <v>250000</v>
      </c>
      <c r="F20" s="3"/>
      <c r="G20" s="3"/>
      <c r="H20" s="3"/>
      <c r="I20" s="3"/>
      <c r="K20" s="3"/>
      <c r="L20" s="3"/>
      <c r="M20" s="3"/>
      <c r="P20" s="3"/>
      <c r="Q20" s="3"/>
      <c r="R20" s="3"/>
      <c r="S20" s="3"/>
      <c r="T20" s="3"/>
      <c r="U20" s="3"/>
      <c r="V20" s="3" t="s">
        <v>13</v>
      </c>
      <c r="W20" s="3"/>
      <c r="AK20" s="3">
        <f>SUM($F20:AI20)</f>
        <v>0</v>
      </c>
    </row>
    <row r="21" spans="1:38" x14ac:dyDescent="0.35">
      <c r="A21" s="4" t="s">
        <v>494</v>
      </c>
      <c r="B21" s="24" t="s">
        <v>337</v>
      </c>
      <c r="C21" s="67"/>
      <c r="D21" s="3">
        <v>500000</v>
      </c>
      <c r="F21" s="3"/>
      <c r="G21" s="3"/>
      <c r="H21" s="3"/>
      <c r="I21" s="3"/>
      <c r="K21" s="3"/>
      <c r="L21" s="3"/>
      <c r="M21" s="3"/>
      <c r="P21" s="3"/>
      <c r="Q21" s="3"/>
      <c r="R21" s="3"/>
      <c r="S21" s="3"/>
      <c r="T21" s="3"/>
      <c r="U21" s="3"/>
      <c r="V21" s="3"/>
      <c r="W21" s="3"/>
      <c r="AK21" s="3">
        <f>SUM($F21:AI21)</f>
        <v>0</v>
      </c>
    </row>
    <row r="22" spans="1:38" x14ac:dyDescent="0.35">
      <c r="A22" s="4" t="s">
        <v>495</v>
      </c>
      <c r="B22" s="24" t="s">
        <v>337</v>
      </c>
      <c r="C22" s="67"/>
      <c r="D22" s="3">
        <v>500000</v>
      </c>
      <c r="F22" s="3"/>
      <c r="G22" s="3"/>
      <c r="H22" s="3"/>
      <c r="I22" s="3"/>
      <c r="K22" s="3"/>
      <c r="L22" s="3"/>
      <c r="M22" s="104" t="s">
        <v>13</v>
      </c>
      <c r="P22" s="3"/>
      <c r="Q22" s="3"/>
      <c r="R22" s="3"/>
      <c r="S22" s="3"/>
      <c r="T22" s="3"/>
      <c r="U22" s="3"/>
      <c r="V22" s="3"/>
      <c r="W22" s="3"/>
      <c r="AK22" s="3">
        <f>SUM($F22:AI22)</f>
        <v>0</v>
      </c>
    </row>
    <row r="23" spans="1:38" x14ac:dyDescent="0.35">
      <c r="A23" s="4" t="s">
        <v>541</v>
      </c>
      <c r="B23" s="24" t="s">
        <v>337</v>
      </c>
      <c r="C23" s="67"/>
      <c r="D23" s="3">
        <v>500000</v>
      </c>
      <c r="F23" s="3"/>
      <c r="G23" s="3"/>
      <c r="H23" s="3"/>
      <c r="I23" s="3"/>
      <c r="K23" s="3"/>
      <c r="L23" s="3"/>
      <c r="M23" s="3"/>
      <c r="P23" s="3"/>
      <c r="Q23" s="3"/>
      <c r="R23" s="3"/>
      <c r="S23" s="3"/>
      <c r="T23" s="3"/>
      <c r="U23" s="3"/>
      <c r="V23" s="3"/>
      <c r="W23" s="3"/>
      <c r="AK23" s="3">
        <f>SUM($F23:AI23)</f>
        <v>0</v>
      </c>
    </row>
    <row r="24" spans="1:38" x14ac:dyDescent="0.35">
      <c r="A24" s="4" t="s">
        <v>576</v>
      </c>
      <c r="B24" s="24" t="s">
        <v>337</v>
      </c>
      <c r="C24" s="67"/>
      <c r="D24" s="3">
        <v>500000</v>
      </c>
      <c r="H24" t="s">
        <v>13</v>
      </c>
      <c r="I24" t="s">
        <v>13</v>
      </c>
      <c r="J24" t="s">
        <v>13</v>
      </c>
      <c r="L24" s="3"/>
      <c r="M24" s="3"/>
      <c r="P24" s="3"/>
      <c r="Q24" s="3"/>
      <c r="AK24" s="3">
        <f>SUM($F24:AI24)</f>
        <v>0</v>
      </c>
    </row>
    <row r="25" spans="1:38" x14ac:dyDescent="0.35">
      <c r="A25" s="4" t="s">
        <v>629</v>
      </c>
      <c r="B25" s="24" t="s">
        <v>337</v>
      </c>
      <c r="C25" s="67"/>
      <c r="D25" s="3">
        <v>500000</v>
      </c>
      <c r="J25" t="s">
        <v>13</v>
      </c>
      <c r="L25" s="3"/>
      <c r="M25" s="3"/>
      <c r="P25" s="3"/>
      <c r="Q25" s="3"/>
      <c r="AG25" s="3"/>
      <c r="AK25" s="3">
        <f>SUM($F25:AI25)</f>
        <v>0</v>
      </c>
    </row>
    <row r="26" spans="1:38" x14ac:dyDescent="0.35">
      <c r="A26" s="4" t="s">
        <v>646</v>
      </c>
      <c r="B26" s="24" t="s">
        <v>337</v>
      </c>
      <c r="C26" s="67"/>
      <c r="D26" s="3">
        <v>250000</v>
      </c>
      <c r="H26" t="s">
        <v>13</v>
      </c>
      <c r="J26" t="s">
        <v>13</v>
      </c>
      <c r="L26" s="3"/>
      <c r="M26" s="3"/>
      <c r="P26" s="3"/>
      <c r="Q26" s="3"/>
      <c r="AG26" s="3"/>
      <c r="AK26" s="3">
        <f>SUM($F26:AI26)</f>
        <v>0</v>
      </c>
    </row>
    <row r="27" spans="1:38" x14ac:dyDescent="0.35">
      <c r="A27" t="s">
        <v>1134</v>
      </c>
      <c r="B27" t="s">
        <v>337</v>
      </c>
      <c r="C27" s="5" t="s">
        <v>13</v>
      </c>
      <c r="D27" s="3">
        <f ca="1">+'MAR-21'!AK19*0.17+('ABR-21'!AJ18+'MAY-21'!AK16+'JUN-21'!AK14+'JUL-21'!AK28+'AGO-21'!AK22+'SEP-21'!AK14+'OCT-21'!AK19)*0.17</f>
        <v>309430.03333333333</v>
      </c>
      <c r="G27" s="3" t="s">
        <v>13</v>
      </c>
      <c r="H27" t="s">
        <v>13</v>
      </c>
      <c r="L27" s="3"/>
      <c r="M27" s="3"/>
      <c r="P27" s="3"/>
      <c r="Q27" s="3"/>
      <c r="AG27" s="3"/>
      <c r="AK27" s="3">
        <f>SUM($F27:AI27)</f>
        <v>0</v>
      </c>
    </row>
    <row r="28" spans="1:38" x14ac:dyDescent="0.35">
      <c r="A28" s="4" t="s">
        <v>951</v>
      </c>
      <c r="C28" s="5"/>
      <c r="D28" s="3">
        <v>2400000</v>
      </c>
      <c r="G28" s="3"/>
      <c r="L28" s="3"/>
      <c r="M28" s="3"/>
      <c r="P28" s="3"/>
      <c r="Q28" s="3"/>
      <c r="AG28" s="3"/>
      <c r="AK28" s="3"/>
    </row>
    <row r="29" spans="1:38" x14ac:dyDescent="0.35">
      <c r="A29" s="4" t="s">
        <v>603</v>
      </c>
      <c r="B29" s="24" t="s">
        <v>245</v>
      </c>
      <c r="C29" s="67">
        <v>44235</v>
      </c>
      <c r="D29" s="3">
        <f>-'MAR-21'!$H$45+870366</f>
        <v>470366</v>
      </c>
      <c r="E29" s="153" t="s">
        <v>832</v>
      </c>
      <c r="F29" s="3"/>
      <c r="G29" s="3" t="s">
        <v>13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Y29" s="3"/>
      <c r="AF29" s="3"/>
      <c r="AG29" s="3"/>
      <c r="AK29" s="3">
        <f>SUM($F29:AI29)</f>
        <v>0</v>
      </c>
    </row>
    <row r="30" spans="1:38" x14ac:dyDescent="0.35">
      <c r="A30" s="4" t="s">
        <v>828</v>
      </c>
      <c r="B30" s="24"/>
      <c r="C30" s="67">
        <v>44536</v>
      </c>
      <c r="D30" s="71">
        <f>49.02*835</f>
        <v>40931.700000000004</v>
      </c>
      <c r="E30" s="153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Y30" s="3"/>
      <c r="AF30" s="3"/>
      <c r="AG30" s="3"/>
      <c r="AK30" s="3"/>
    </row>
    <row r="31" spans="1:38" x14ac:dyDescent="0.35">
      <c r="A31" s="4" t="s">
        <v>828</v>
      </c>
      <c r="B31" s="24"/>
      <c r="C31" s="67">
        <v>44522</v>
      </c>
      <c r="D31" s="71">
        <f>4.69*835</f>
        <v>3916.1500000000005</v>
      </c>
      <c r="E31" s="153" t="s"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Y31" s="3"/>
      <c r="AK31" s="72">
        <f>SUM(AK20:AK29)</f>
        <v>0</v>
      </c>
      <c r="AL31" s="3">
        <f>+AK13-AK31+F3</f>
        <v>802.77033613424283</v>
      </c>
    </row>
    <row r="32" spans="1:38" x14ac:dyDescent="0.35">
      <c r="A32" s="4" t="s">
        <v>380</v>
      </c>
      <c r="B32" s="24" t="s">
        <v>208</v>
      </c>
      <c r="C32" s="5">
        <v>44524</v>
      </c>
      <c r="D32" s="3">
        <v>9990</v>
      </c>
      <c r="E32" s="153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/>
      <c r="AK32" s="72"/>
      <c r="AL32" s="3"/>
    </row>
    <row r="33" spans="1:38" x14ac:dyDescent="0.35">
      <c r="A33" s="4" t="s">
        <v>834</v>
      </c>
      <c r="B33" s="24"/>
      <c r="C33" s="5">
        <v>44870</v>
      </c>
      <c r="D33" s="3">
        <v>79236</v>
      </c>
      <c r="E33" s="153" t="s">
        <v>503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Y33" s="3"/>
      <c r="AK33" s="72"/>
      <c r="AL33" s="3"/>
    </row>
    <row r="34" spans="1:38" x14ac:dyDescent="0.35">
      <c r="A34" s="4" t="s">
        <v>834</v>
      </c>
      <c r="B34" s="24"/>
      <c r="C34" s="5">
        <v>44875</v>
      </c>
      <c r="D34" s="3">
        <v>1000</v>
      </c>
      <c r="E34" s="153" t="s">
        <v>503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Y34" s="3"/>
      <c r="AK34" s="72"/>
      <c r="AL34" s="3"/>
    </row>
    <row r="35" spans="1:38" x14ac:dyDescent="0.35">
      <c r="A35" s="4" t="s">
        <v>834</v>
      </c>
      <c r="B35" s="24"/>
      <c r="C35" s="67">
        <v>44918</v>
      </c>
      <c r="D35" s="3">
        <f>-'MAR-21'!$H$45+870366</f>
        <v>470366</v>
      </c>
      <c r="E35" s="153" t="s">
        <v>832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Y35" s="3"/>
      <c r="AK35" s="72"/>
      <c r="AL35" s="3"/>
    </row>
    <row r="36" spans="1:38" x14ac:dyDescent="0.35">
      <c r="A36" s="4"/>
      <c r="B36" s="24"/>
      <c r="C36" s="67"/>
      <c r="D36" s="67"/>
      <c r="E36" s="15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/>
      <c r="AK36" s="72"/>
      <c r="AL36" s="3"/>
    </row>
    <row r="37" spans="1:38" x14ac:dyDescent="0.35">
      <c r="A37" s="2" t="s">
        <v>9</v>
      </c>
      <c r="F37" s="3">
        <f t="shared" ref="F37:AJ37" si="2">SUM(F20:F31)</f>
        <v>0</v>
      </c>
      <c r="G37" s="3">
        <f t="shared" si="2"/>
        <v>0</v>
      </c>
      <c r="H37" s="3">
        <f t="shared" si="2"/>
        <v>0</v>
      </c>
      <c r="I37" s="3">
        <f t="shared" si="2"/>
        <v>0</v>
      </c>
      <c r="J37" s="3">
        <f t="shared" si="2"/>
        <v>0</v>
      </c>
      <c r="K37" s="3">
        <f t="shared" si="2"/>
        <v>0</v>
      </c>
      <c r="L37" s="3">
        <f t="shared" si="2"/>
        <v>0</v>
      </c>
      <c r="M37" s="3">
        <f t="shared" si="2"/>
        <v>0</v>
      </c>
      <c r="N37" s="3">
        <f t="shared" si="2"/>
        <v>0</v>
      </c>
      <c r="O37" s="3">
        <f t="shared" si="2"/>
        <v>0</v>
      </c>
      <c r="P37" s="3">
        <f t="shared" si="2"/>
        <v>0</v>
      </c>
      <c r="Q37" s="3">
        <f t="shared" si="2"/>
        <v>0</v>
      </c>
      <c r="R37" s="3">
        <f t="shared" si="2"/>
        <v>0</v>
      </c>
      <c r="S37" s="3">
        <f t="shared" si="2"/>
        <v>0</v>
      </c>
      <c r="T37" s="3">
        <f t="shared" si="2"/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3">
        <f t="shared" si="2"/>
        <v>0</v>
      </c>
      <c r="Y37" s="3">
        <f t="shared" si="2"/>
        <v>0</v>
      </c>
      <c r="Z37" s="3">
        <f t="shared" si="2"/>
        <v>0</v>
      </c>
      <c r="AA37" s="3">
        <f t="shared" si="2"/>
        <v>0</v>
      </c>
      <c r="AB37" s="3">
        <f t="shared" si="2"/>
        <v>0</v>
      </c>
      <c r="AC37" s="3">
        <f t="shared" si="2"/>
        <v>0</v>
      </c>
      <c r="AD37" s="3">
        <f t="shared" si="2"/>
        <v>0</v>
      </c>
      <c r="AE37" s="3">
        <f t="shared" si="2"/>
        <v>0</v>
      </c>
      <c r="AF37" s="3">
        <f t="shared" si="2"/>
        <v>0</v>
      </c>
      <c r="AG37" s="3">
        <f t="shared" si="2"/>
        <v>0</v>
      </c>
      <c r="AH37" s="3">
        <f t="shared" si="2"/>
        <v>0</v>
      </c>
      <c r="AI37" s="3">
        <f t="shared" si="2"/>
        <v>0</v>
      </c>
      <c r="AJ37" s="3">
        <f t="shared" si="2"/>
        <v>0</v>
      </c>
      <c r="AK37" s="3" t="s">
        <v>13</v>
      </c>
    </row>
    <row r="38" spans="1:38" x14ac:dyDescent="0.35">
      <c r="A38" t="s">
        <v>8</v>
      </c>
      <c r="F38" s="3">
        <f>+F17+F3-F37</f>
        <v>802.77033613424283</v>
      </c>
      <c r="G38" s="3">
        <f t="shared" ref="G38:AJ38" si="3">+G3+G17-G37</f>
        <v>802.77033613424283</v>
      </c>
      <c r="H38" s="3">
        <f t="shared" si="3"/>
        <v>802.77033613424283</v>
      </c>
      <c r="I38" s="3">
        <f t="shared" si="3"/>
        <v>802.77033613424283</v>
      </c>
      <c r="J38" s="3">
        <f t="shared" si="3"/>
        <v>802.77033613424283</v>
      </c>
      <c r="K38" s="3">
        <f t="shared" si="3"/>
        <v>802.77033613424283</v>
      </c>
      <c r="L38" s="3">
        <f t="shared" si="3"/>
        <v>802.77033613424283</v>
      </c>
      <c r="M38" s="3">
        <f t="shared" si="3"/>
        <v>802.77033613424283</v>
      </c>
      <c r="N38" s="3">
        <f t="shared" si="3"/>
        <v>802.77033613424283</v>
      </c>
      <c r="O38" s="3">
        <f t="shared" si="3"/>
        <v>802.77033613424283</v>
      </c>
      <c r="P38" s="3">
        <f t="shared" si="3"/>
        <v>802.77033613424283</v>
      </c>
      <c r="Q38" s="3">
        <f t="shared" si="3"/>
        <v>802.77033613424283</v>
      </c>
      <c r="R38" s="3">
        <f t="shared" si="3"/>
        <v>802.77033613424283</v>
      </c>
      <c r="S38" s="3">
        <f t="shared" si="3"/>
        <v>802.77033613424283</v>
      </c>
      <c r="T38" s="3">
        <f t="shared" si="3"/>
        <v>802.77033613424283</v>
      </c>
      <c r="U38" s="3">
        <f t="shared" si="3"/>
        <v>802.77033613424283</v>
      </c>
      <c r="V38" s="3">
        <f t="shared" si="3"/>
        <v>802.77033613424283</v>
      </c>
      <c r="W38" s="3">
        <f t="shared" si="3"/>
        <v>802.77033613424283</v>
      </c>
      <c r="X38" s="3">
        <f t="shared" si="3"/>
        <v>802.77033613424283</v>
      </c>
      <c r="Y38" s="3">
        <f t="shared" si="3"/>
        <v>802.77033613424283</v>
      </c>
      <c r="Z38" s="3">
        <f t="shared" si="3"/>
        <v>802.77033613424283</v>
      </c>
      <c r="AA38" s="3">
        <f t="shared" si="3"/>
        <v>802.77033613424283</v>
      </c>
      <c r="AB38" s="3">
        <f t="shared" si="3"/>
        <v>802.77033613424283</v>
      </c>
      <c r="AC38" s="3">
        <f t="shared" si="3"/>
        <v>802.77033613424283</v>
      </c>
      <c r="AD38" s="3">
        <f t="shared" si="3"/>
        <v>802.77033613424283</v>
      </c>
      <c r="AE38" s="3">
        <f t="shared" si="3"/>
        <v>802.77033613424283</v>
      </c>
      <c r="AF38" s="3">
        <f t="shared" si="3"/>
        <v>802.77033613424283</v>
      </c>
      <c r="AG38" s="3">
        <f t="shared" si="3"/>
        <v>802.77033613424283</v>
      </c>
      <c r="AH38" s="3">
        <f t="shared" si="3"/>
        <v>802.77033613424283</v>
      </c>
      <c r="AI38" s="3">
        <f t="shared" si="3"/>
        <v>802.77033613424283</v>
      </c>
      <c r="AJ38" s="3">
        <f t="shared" si="3"/>
        <v>802.77033613424283</v>
      </c>
      <c r="AK38" s="3" t="s">
        <v>13</v>
      </c>
    </row>
    <row r="39" spans="1:38" x14ac:dyDescent="0.35">
      <c r="F39" s="3"/>
      <c r="G39" s="3"/>
      <c r="H39" s="3"/>
      <c r="I39" s="3" t="s">
        <v>13</v>
      </c>
      <c r="J39" s="3"/>
      <c r="K39" s="3"/>
      <c r="L39" s="3"/>
      <c r="M39" s="3"/>
      <c r="N39" s="3"/>
      <c r="O39" s="3"/>
      <c r="P39" s="3" t="s">
        <v>13</v>
      </c>
      <c r="Q39" s="3"/>
      <c r="R39" s="3"/>
      <c r="S39" s="3"/>
      <c r="T39" s="3" t="s">
        <v>13</v>
      </c>
      <c r="U39" s="3"/>
      <c r="V39" s="3"/>
      <c r="W39" s="3"/>
      <c r="Y39" s="3" t="s">
        <v>13</v>
      </c>
      <c r="AA39" s="3" t="s">
        <v>13</v>
      </c>
      <c r="AB39" s="3" t="s">
        <v>13</v>
      </c>
    </row>
    <row r="40" spans="1:38" x14ac:dyDescent="0.35">
      <c r="B40" t="s">
        <v>13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 t="s">
        <v>13</v>
      </c>
      <c r="Q40" s="3" t="s">
        <v>13</v>
      </c>
      <c r="R40" s="3" t="s">
        <v>13</v>
      </c>
      <c r="S40" s="3"/>
      <c r="T40" s="3"/>
      <c r="U40" s="3" t="s">
        <v>13</v>
      </c>
      <c r="V40" s="3"/>
      <c r="W40" s="3"/>
      <c r="AB40" s="3" t="s">
        <v>13</v>
      </c>
    </row>
    <row r="41" spans="1:38" x14ac:dyDescent="0.3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S41" s="3"/>
      <c r="T41" s="3" t="s">
        <v>13</v>
      </c>
      <c r="U41" s="3"/>
      <c r="V41" s="3"/>
      <c r="W41" s="3"/>
      <c r="AB41" s="3" t="s">
        <v>13</v>
      </c>
    </row>
    <row r="42" spans="1:38" x14ac:dyDescent="0.3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S42" s="3"/>
      <c r="T42" s="3"/>
      <c r="U42" s="3"/>
      <c r="V42" s="3"/>
      <c r="W42" s="3" t="s">
        <v>13</v>
      </c>
      <c r="AB42" s="3" t="s">
        <v>13</v>
      </c>
    </row>
    <row r="43" spans="1:38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AB43" s="3" t="s">
        <v>13</v>
      </c>
    </row>
    <row r="44" spans="1:38" x14ac:dyDescent="0.35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AB44" s="3" t="s">
        <v>13</v>
      </c>
    </row>
    <row r="45" spans="1:38" x14ac:dyDescent="0.35">
      <c r="F45" s="3"/>
    </row>
    <row r="46" spans="1:38" x14ac:dyDescent="0.35">
      <c r="F46" s="3"/>
    </row>
    <row r="47" spans="1:38" x14ac:dyDescent="0.35">
      <c r="F47" s="3"/>
    </row>
    <row r="48" spans="1:38" x14ac:dyDescent="0.35">
      <c r="F48" s="3"/>
    </row>
    <row r="49" spans="6:6" x14ac:dyDescent="0.35">
      <c r="F49" s="3"/>
    </row>
    <row r="50" spans="6:6" x14ac:dyDescent="0.35">
      <c r="F50" s="3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AL52"/>
  <sheetViews>
    <sheetView topLeftCell="A22" workbookViewId="0">
      <selection activeCell="A35" sqref="A35"/>
    </sheetView>
  </sheetViews>
  <sheetFormatPr baseColWidth="10" defaultColWidth="11.08984375" defaultRowHeight="14.5" x14ac:dyDescent="0.35"/>
  <cols>
    <col min="1" max="1" width="42.1796875" customWidth="1"/>
    <col min="2" max="2" width="11.1796875" customWidth="1"/>
    <col min="3" max="4" width="13.26953125" customWidth="1"/>
    <col min="5" max="5" width="14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  <col min="38" max="38" width="11.08984375" style="6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44562</v>
      </c>
      <c r="G2" s="1">
        <v>44563</v>
      </c>
      <c r="H2" s="1">
        <v>44564</v>
      </c>
      <c r="I2" s="1">
        <v>44565</v>
      </c>
      <c r="J2" s="1">
        <v>44566</v>
      </c>
      <c r="K2" s="1">
        <v>44567</v>
      </c>
      <c r="L2" s="1">
        <v>44568</v>
      </c>
      <c r="M2" s="1">
        <v>44569</v>
      </c>
      <c r="N2" s="1">
        <v>44570</v>
      </c>
      <c r="O2" s="1">
        <v>44571</v>
      </c>
      <c r="P2" s="1">
        <v>44572</v>
      </c>
      <c r="Q2" s="1">
        <v>44573</v>
      </c>
      <c r="R2" s="1">
        <v>44574</v>
      </c>
      <c r="S2" s="1">
        <v>44575</v>
      </c>
      <c r="T2" s="1">
        <v>44576</v>
      </c>
      <c r="U2" s="1">
        <v>44577</v>
      </c>
      <c r="V2" s="1">
        <v>44578</v>
      </c>
      <c r="W2" s="1">
        <v>44579</v>
      </c>
      <c r="X2" s="1">
        <v>44580</v>
      </c>
      <c r="Y2" s="1">
        <v>44581</v>
      </c>
      <c r="Z2" s="1">
        <v>44582</v>
      </c>
      <c r="AA2" s="1">
        <v>44583</v>
      </c>
      <c r="AB2" s="1">
        <v>44584</v>
      </c>
      <c r="AC2" s="1">
        <v>44585</v>
      </c>
      <c r="AD2" s="1">
        <v>44586</v>
      </c>
      <c r="AE2" s="1">
        <v>44587</v>
      </c>
      <c r="AF2" s="1">
        <v>44588</v>
      </c>
      <c r="AG2" s="1">
        <v>44589</v>
      </c>
      <c r="AH2" s="1">
        <v>44590</v>
      </c>
      <c r="AI2" s="1">
        <v>44591</v>
      </c>
      <c r="AJ2" s="1">
        <v>44592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+'DIC-21'!AJ38</f>
        <v>802.77033613424283</v>
      </c>
      <c r="G3" s="3">
        <f t="shared" ref="G3:AG3" si="0">+F40</f>
        <v>802.77033613424283</v>
      </c>
      <c r="H3" s="3">
        <f t="shared" si="0"/>
        <v>802.77033613424283</v>
      </c>
      <c r="I3" s="3">
        <f t="shared" si="0"/>
        <v>802.77033613424283</v>
      </c>
      <c r="J3" s="3">
        <f t="shared" si="0"/>
        <v>802.77033613424283</v>
      </c>
      <c r="K3" s="3">
        <f t="shared" si="0"/>
        <v>802.77033613424283</v>
      </c>
      <c r="L3" s="3">
        <f t="shared" si="0"/>
        <v>802.77033613424283</v>
      </c>
      <c r="M3" s="3">
        <f t="shared" si="0"/>
        <v>802.77033613424283</v>
      </c>
      <c r="N3" s="3">
        <f t="shared" si="0"/>
        <v>802.77033613424283</v>
      </c>
      <c r="O3" s="3">
        <f t="shared" si="0"/>
        <v>802.77033613424283</v>
      </c>
      <c r="P3" s="3">
        <f t="shared" si="0"/>
        <v>802.77033613424283</v>
      </c>
      <c r="Q3" s="3">
        <f t="shared" si="0"/>
        <v>802.77033613424283</v>
      </c>
      <c r="R3" s="3">
        <f t="shared" si="0"/>
        <v>802.77033613424283</v>
      </c>
      <c r="S3" s="3">
        <f t="shared" si="0"/>
        <v>802.77033613424283</v>
      </c>
      <c r="T3" s="3">
        <f t="shared" si="0"/>
        <v>802.77033613424283</v>
      </c>
      <c r="U3" s="3">
        <f t="shared" si="0"/>
        <v>802.77033613424283</v>
      </c>
      <c r="V3" s="3">
        <f t="shared" si="0"/>
        <v>802.77033613424283</v>
      </c>
      <c r="W3" s="3">
        <f t="shared" si="0"/>
        <v>802.77033613424283</v>
      </c>
      <c r="X3" s="3">
        <f t="shared" si="0"/>
        <v>802.77033613424283</v>
      </c>
      <c r="Y3" s="3">
        <f t="shared" si="0"/>
        <v>802.77033613424283</v>
      </c>
      <c r="Z3" s="3">
        <f t="shared" si="0"/>
        <v>802.77033613424283</v>
      </c>
      <c r="AA3" s="3">
        <f t="shared" si="0"/>
        <v>802.77033613424283</v>
      </c>
      <c r="AB3" s="3">
        <f t="shared" si="0"/>
        <v>802.77033613424283</v>
      </c>
      <c r="AC3" s="3">
        <f t="shared" si="0"/>
        <v>802.77033613424283</v>
      </c>
      <c r="AD3" s="3">
        <f t="shared" si="0"/>
        <v>802.77033613424283</v>
      </c>
      <c r="AE3" s="3">
        <f t="shared" si="0"/>
        <v>802.77033613424283</v>
      </c>
      <c r="AF3" s="3">
        <f t="shared" si="0"/>
        <v>802.77033613424283</v>
      </c>
      <c r="AG3" s="3">
        <f t="shared" si="0"/>
        <v>802.77033613424283</v>
      </c>
      <c r="AH3" s="3">
        <f>+AG40</f>
        <v>802.77033613424283</v>
      </c>
      <c r="AI3" s="3">
        <f>+AH40</f>
        <v>802.77033613424283</v>
      </c>
      <c r="AJ3" s="3">
        <f>+AI40</f>
        <v>802.77033613424283</v>
      </c>
      <c r="AK3" s="3" t="s">
        <v>13</v>
      </c>
      <c r="AL3" s="6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AH4" s="3" t="s">
        <v>13</v>
      </c>
      <c r="AL4" s="6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AK5" s="3">
        <f>SUM($F5:AI5)</f>
        <v>0</v>
      </c>
      <c r="AL5" s="22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AK6" s="3">
        <f>SUM($F6:AI6)</f>
        <v>0</v>
      </c>
      <c r="AL6" s="22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AK7" s="3">
        <f>SUM($F7:AI7)</f>
        <v>0</v>
      </c>
      <c r="AL7" s="22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AK8" s="3">
        <f>SUM($F8:AI8)</f>
        <v>0</v>
      </c>
      <c r="AL8" s="22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AC9" t="s">
        <v>13</v>
      </c>
      <c r="AK9" s="3">
        <f>SUM($F9:AI9)</f>
        <v>0</v>
      </c>
      <c r="AL9" s="22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U10" s="3"/>
      <c r="V10" s="3"/>
      <c r="W10" s="3"/>
      <c r="AK10" s="3">
        <f>SUM($F10:AI10)</f>
        <v>0</v>
      </c>
      <c r="AL10" s="22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AK11" s="3">
        <f>SUM($F11:AI11)</f>
        <v>0</v>
      </c>
      <c r="AL11" s="22" t="s">
        <v>13</v>
      </c>
    </row>
    <row r="12" spans="1:38" s="237" customFormat="1" x14ac:dyDescent="0.35">
      <c r="A12" s="237" t="s">
        <v>385</v>
      </c>
      <c r="C12" s="5">
        <v>43980</v>
      </c>
      <c r="D12" s="237">
        <v>10465</v>
      </c>
      <c r="J12" s="238"/>
      <c r="AG12" s="237" t="s">
        <v>13</v>
      </c>
      <c r="AK12" s="3">
        <f>SUM($F12:AI12)</f>
        <v>0</v>
      </c>
      <c r="AL12" s="326"/>
    </row>
    <row r="13" spans="1:38" s="237" customFormat="1" x14ac:dyDescent="0.35">
      <c r="A13" s="237" t="s">
        <v>837</v>
      </c>
      <c r="C13" s="5">
        <v>44579</v>
      </c>
      <c r="D13" s="264">
        <f>+D37</f>
        <v>1000</v>
      </c>
      <c r="J13" s="238"/>
      <c r="W13" s="237">
        <v>14074</v>
      </c>
      <c r="AK13" s="3">
        <f>SUM($F13:AI13)</f>
        <v>14074</v>
      </c>
      <c r="AL13" s="326"/>
    </row>
    <row r="14" spans="1:38" x14ac:dyDescent="0.35">
      <c r="A14" t="s">
        <v>60</v>
      </c>
      <c r="D14" s="3">
        <v>0</v>
      </c>
      <c r="F14" s="3" t="s">
        <v>13</v>
      </c>
      <c r="G14" s="3" t="s">
        <v>13</v>
      </c>
      <c r="H14" s="3"/>
      <c r="I14" s="3"/>
      <c r="J14" s="3"/>
      <c r="K14" s="3" t="s">
        <v>13</v>
      </c>
      <c r="M14" s="3"/>
      <c r="N14" s="3"/>
      <c r="O14" s="3" t="s">
        <v>13</v>
      </c>
      <c r="P14" s="3"/>
      <c r="Q14" s="3"/>
      <c r="R14" s="3" t="s">
        <v>13</v>
      </c>
      <c r="S14" s="3"/>
      <c r="T14" s="3"/>
      <c r="U14" s="3"/>
      <c r="V14" s="3"/>
      <c r="W14" s="3"/>
      <c r="Y14" t="s">
        <v>13</v>
      </c>
      <c r="AK14" s="72">
        <f>SUM(AK5:AK12)</f>
        <v>0</v>
      </c>
    </row>
    <row r="15" spans="1:38" x14ac:dyDescent="0.35">
      <c r="A15" t="s">
        <v>1</v>
      </c>
      <c r="F15" s="3"/>
      <c r="G15" s="3" t="s">
        <v>13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38" x14ac:dyDescent="0.35"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38" x14ac:dyDescent="0.35">
      <c r="A17" s="2" t="s">
        <v>6</v>
      </c>
      <c r="F17" s="3">
        <f t="shared" ref="F17:AJ17" si="1">SUM(F5:F16)</f>
        <v>0</v>
      </c>
      <c r="G17" s="3">
        <f t="shared" si="1"/>
        <v>0</v>
      </c>
      <c r="H17" s="3">
        <f t="shared" si="1"/>
        <v>0</v>
      </c>
      <c r="I17" s="3">
        <f t="shared" si="1"/>
        <v>0</v>
      </c>
      <c r="J17" s="3">
        <f t="shared" si="1"/>
        <v>0</v>
      </c>
      <c r="K17" s="3">
        <f t="shared" si="1"/>
        <v>0</v>
      </c>
      <c r="L17" s="3">
        <f t="shared" si="1"/>
        <v>0</v>
      </c>
      <c r="M17" s="3">
        <f t="shared" si="1"/>
        <v>0</v>
      </c>
      <c r="N17" s="3">
        <f t="shared" si="1"/>
        <v>0</v>
      </c>
      <c r="O17" s="3">
        <f t="shared" si="1"/>
        <v>0</v>
      </c>
      <c r="P17" s="3">
        <f t="shared" si="1"/>
        <v>0</v>
      </c>
      <c r="Q17" s="3">
        <f t="shared" si="1"/>
        <v>0</v>
      </c>
      <c r="R17" s="3">
        <f t="shared" si="1"/>
        <v>0</v>
      </c>
      <c r="S17" s="3">
        <f t="shared" si="1"/>
        <v>0</v>
      </c>
      <c r="T17" s="3">
        <f t="shared" si="1"/>
        <v>0</v>
      </c>
      <c r="U17" s="3">
        <f t="shared" si="1"/>
        <v>0</v>
      </c>
      <c r="V17" s="3">
        <f t="shared" si="1"/>
        <v>0</v>
      </c>
      <c r="W17" s="3">
        <f t="shared" si="1"/>
        <v>14074</v>
      </c>
      <c r="X17" s="3">
        <f t="shared" si="1"/>
        <v>0</v>
      </c>
      <c r="Y17" s="3">
        <f t="shared" si="1"/>
        <v>0</v>
      </c>
      <c r="Z17" s="3">
        <f t="shared" si="1"/>
        <v>0</v>
      </c>
      <c r="AA17" s="3">
        <f t="shared" si="1"/>
        <v>0</v>
      </c>
      <c r="AB17" s="3">
        <f t="shared" si="1"/>
        <v>0</v>
      </c>
      <c r="AC17" s="3">
        <f t="shared" si="1"/>
        <v>0</v>
      </c>
      <c r="AD17" s="3">
        <f t="shared" si="1"/>
        <v>0</v>
      </c>
      <c r="AE17" s="3">
        <f t="shared" si="1"/>
        <v>0</v>
      </c>
      <c r="AF17" s="3">
        <f t="shared" si="1"/>
        <v>0</v>
      </c>
      <c r="AG17" s="3">
        <f t="shared" si="1"/>
        <v>0</v>
      </c>
      <c r="AH17" s="3">
        <f t="shared" si="1"/>
        <v>0</v>
      </c>
      <c r="AI17" s="3">
        <f t="shared" si="1"/>
        <v>0</v>
      </c>
      <c r="AJ17" s="3">
        <f t="shared" si="1"/>
        <v>0</v>
      </c>
    </row>
    <row r="18" spans="1:38" x14ac:dyDescent="0.35">
      <c r="A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38" x14ac:dyDescent="0.35">
      <c r="A19" s="2" t="s">
        <v>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38" x14ac:dyDescent="0.35">
      <c r="A20" s="4" t="s">
        <v>492</v>
      </c>
      <c r="B20" s="24" t="s">
        <v>337</v>
      </c>
      <c r="C20" s="67"/>
      <c r="D20" s="3">
        <v>250000</v>
      </c>
      <c r="F20" s="3"/>
      <c r="G20" s="3"/>
      <c r="H20" s="3"/>
      <c r="I20" s="3"/>
      <c r="K20" s="3"/>
      <c r="L20" s="3"/>
      <c r="M20" s="3"/>
      <c r="P20" s="3"/>
      <c r="Q20" s="3"/>
      <c r="R20" s="3"/>
      <c r="S20" s="3"/>
      <c r="T20" s="3"/>
      <c r="U20" s="3"/>
      <c r="V20" s="3" t="s">
        <v>13</v>
      </c>
      <c r="W20" s="3"/>
      <c r="AK20" s="3">
        <f>SUM($F20:AI20)</f>
        <v>0</v>
      </c>
    </row>
    <row r="21" spans="1:38" x14ac:dyDescent="0.35">
      <c r="A21" s="4" t="s">
        <v>494</v>
      </c>
      <c r="B21" s="24" t="s">
        <v>337</v>
      </c>
      <c r="C21" s="67"/>
      <c r="D21" s="3">
        <v>500000</v>
      </c>
      <c r="F21" s="3"/>
      <c r="G21" s="3"/>
      <c r="H21" s="3"/>
      <c r="I21" s="3"/>
      <c r="K21" s="3"/>
      <c r="L21" s="3"/>
      <c r="M21" s="3"/>
      <c r="P21" s="3"/>
      <c r="Q21" s="3"/>
      <c r="R21" s="3"/>
      <c r="S21" s="3"/>
      <c r="T21" s="3"/>
      <c r="U21" s="3"/>
      <c r="V21" s="3"/>
      <c r="W21" s="3"/>
      <c r="AK21" s="3">
        <f>SUM($F21:AI21)</f>
        <v>0</v>
      </c>
    </row>
    <row r="22" spans="1:38" x14ac:dyDescent="0.35">
      <c r="A22" s="4" t="s">
        <v>495</v>
      </c>
      <c r="B22" s="24" t="s">
        <v>337</v>
      </c>
      <c r="C22" s="67"/>
      <c r="D22" s="3">
        <v>500000</v>
      </c>
      <c r="F22" s="3"/>
      <c r="G22" s="3"/>
      <c r="H22" s="3"/>
      <c r="I22" s="3"/>
      <c r="K22" s="3"/>
      <c r="L22" s="3"/>
      <c r="M22" s="104" t="s">
        <v>13</v>
      </c>
      <c r="P22" s="3"/>
      <c r="Q22" s="3"/>
      <c r="R22" s="3"/>
      <c r="S22" s="3"/>
      <c r="T22" s="3"/>
      <c r="U22" s="3"/>
      <c r="V22" s="3"/>
      <c r="W22" s="3"/>
      <c r="AK22" s="3">
        <f>SUM($F22:AI22)</f>
        <v>0</v>
      </c>
    </row>
    <row r="23" spans="1:38" x14ac:dyDescent="0.35">
      <c r="A23" s="4" t="s">
        <v>541</v>
      </c>
      <c r="B23" s="24" t="s">
        <v>337</v>
      </c>
      <c r="C23" s="67"/>
      <c r="D23" s="3">
        <v>500000</v>
      </c>
      <c r="F23" s="3"/>
      <c r="G23" s="3"/>
      <c r="H23" s="3"/>
      <c r="I23" s="3"/>
      <c r="K23" s="3"/>
      <c r="L23" s="3"/>
      <c r="M23" s="3"/>
      <c r="P23" s="3"/>
      <c r="Q23" s="3"/>
      <c r="R23" s="3"/>
      <c r="S23" s="3"/>
      <c r="T23" s="3"/>
      <c r="U23" s="3"/>
      <c r="V23" s="3"/>
      <c r="W23" s="3"/>
      <c r="AK23" s="3">
        <f>SUM($F23:AI23)</f>
        <v>0</v>
      </c>
    </row>
    <row r="24" spans="1:38" x14ac:dyDescent="0.35">
      <c r="A24" s="4" t="s">
        <v>576</v>
      </c>
      <c r="B24" s="24" t="s">
        <v>337</v>
      </c>
      <c r="C24" s="67"/>
      <c r="D24" s="3">
        <v>500000</v>
      </c>
      <c r="H24" t="s">
        <v>13</v>
      </c>
      <c r="I24" t="s">
        <v>13</v>
      </c>
      <c r="J24" t="s">
        <v>13</v>
      </c>
      <c r="L24" s="3"/>
      <c r="M24" s="3"/>
      <c r="P24" s="3"/>
      <c r="Q24" s="3"/>
      <c r="AK24" s="3">
        <f>SUM($F24:AI24)</f>
        <v>0</v>
      </c>
    </row>
    <row r="25" spans="1:38" x14ac:dyDescent="0.35">
      <c r="A25" s="4" t="s">
        <v>629</v>
      </c>
      <c r="B25" s="24" t="s">
        <v>337</v>
      </c>
      <c r="C25" s="67"/>
      <c r="D25" s="3">
        <v>500000</v>
      </c>
      <c r="J25" t="s">
        <v>13</v>
      </c>
      <c r="L25" s="3"/>
      <c r="M25" s="3"/>
      <c r="P25" s="3"/>
      <c r="Q25" s="3"/>
      <c r="AG25" s="3"/>
      <c r="AK25" s="3">
        <f>SUM($F25:AI25)</f>
        <v>0</v>
      </c>
    </row>
    <row r="26" spans="1:38" x14ac:dyDescent="0.35">
      <c r="A26" s="4" t="s">
        <v>646</v>
      </c>
      <c r="B26" s="24" t="s">
        <v>337</v>
      </c>
      <c r="C26" s="67"/>
      <c r="D26" s="3">
        <v>250000</v>
      </c>
      <c r="H26" t="s">
        <v>13</v>
      </c>
      <c r="J26" t="s">
        <v>13</v>
      </c>
      <c r="L26" s="3"/>
      <c r="M26" s="3"/>
      <c r="P26" s="3"/>
      <c r="Q26" s="3"/>
      <c r="AG26" s="3"/>
      <c r="AK26" s="3">
        <f>SUM($F26:AI26)</f>
        <v>0</v>
      </c>
    </row>
    <row r="27" spans="1:38" x14ac:dyDescent="0.35">
      <c r="A27" t="s">
        <v>1136</v>
      </c>
      <c r="B27" t="s">
        <v>337</v>
      </c>
      <c r="C27" s="5" t="s">
        <v>13</v>
      </c>
      <c r="D27" s="3">
        <f ca="1">+'MAR-21'!AK19*0.17+('ABR-21'!AJ18+'MAY-21'!AK16+'JUN-21'!AK14+'JUL-21'!AK28+'AGO-21'!AK22+'SEP-21'!AK14+'OCT-21'!AK19)*0.17</f>
        <v>309430.03333333333</v>
      </c>
      <c r="G27" s="3" t="s">
        <v>13</v>
      </c>
      <c r="H27" t="s">
        <v>13</v>
      </c>
      <c r="L27" s="3"/>
      <c r="M27" s="3"/>
      <c r="P27" s="3"/>
      <c r="Q27" s="3"/>
      <c r="AG27" s="3"/>
      <c r="AK27" s="3">
        <f>SUM($F27:AI27)</f>
        <v>0</v>
      </c>
    </row>
    <row r="28" spans="1:38" x14ac:dyDescent="0.35">
      <c r="A28" s="4" t="s">
        <v>952</v>
      </c>
      <c r="C28" s="5"/>
      <c r="D28" s="3">
        <v>2400000</v>
      </c>
      <c r="G28" s="3"/>
      <c r="L28" s="3"/>
      <c r="M28" s="3"/>
      <c r="P28" s="3"/>
      <c r="Q28" s="3"/>
      <c r="AG28" s="3"/>
      <c r="AK28" s="3">
        <f>SUM($F28:AI28)</f>
        <v>0</v>
      </c>
    </row>
    <row r="29" spans="1:38" x14ac:dyDescent="0.35">
      <c r="A29" s="4" t="s">
        <v>953</v>
      </c>
      <c r="C29" s="5"/>
      <c r="D29" s="3">
        <v>600000</v>
      </c>
      <c r="G29" s="3"/>
      <c r="L29" s="3"/>
      <c r="M29" s="3"/>
      <c r="P29" s="3"/>
      <c r="Q29" s="3"/>
      <c r="AG29" s="3"/>
      <c r="AK29" s="3">
        <f>SUM($F29:AI29)</f>
        <v>0</v>
      </c>
    </row>
    <row r="30" spans="1:38" x14ac:dyDescent="0.35">
      <c r="A30" s="4" t="s">
        <v>603</v>
      </c>
      <c r="B30" s="24" t="s">
        <v>245</v>
      </c>
      <c r="C30" s="67">
        <v>44235</v>
      </c>
      <c r="D30" s="3">
        <f>-'MAR-21'!$H$45+870366</f>
        <v>470366</v>
      </c>
      <c r="E30" s="153" t="s">
        <v>832</v>
      </c>
      <c r="F30" s="3"/>
      <c r="G30" s="3" t="s">
        <v>13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Y30" s="3"/>
      <c r="AF30" s="3"/>
      <c r="AG30" s="3"/>
      <c r="AK30" s="3">
        <f>SUM($F30:AI30)</f>
        <v>0</v>
      </c>
    </row>
    <row r="31" spans="1:38" x14ac:dyDescent="0.35">
      <c r="A31" s="4" t="s">
        <v>828</v>
      </c>
      <c r="B31" s="24"/>
      <c r="C31" s="67">
        <v>44522</v>
      </c>
      <c r="D31" s="71">
        <f>4.69*835</f>
        <v>3916.1500000000005</v>
      </c>
      <c r="E31" s="153" t="s"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Y31" s="3"/>
      <c r="AK31" s="3">
        <f>SUM($F31:AI31)</f>
        <v>0</v>
      </c>
    </row>
    <row r="32" spans="1:38" x14ac:dyDescent="0.35">
      <c r="A32" s="4" t="s">
        <v>380</v>
      </c>
      <c r="B32" s="24" t="s">
        <v>208</v>
      </c>
      <c r="C32" s="5">
        <v>44524</v>
      </c>
      <c r="D32" s="3">
        <v>9990</v>
      </c>
      <c r="E32" s="153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/>
      <c r="AK32" s="3">
        <f>SUM($F32:AI32)</f>
        <v>0</v>
      </c>
      <c r="AL32" s="22" t="s">
        <v>13</v>
      </c>
    </row>
    <row r="33" spans="1:38" x14ac:dyDescent="0.35">
      <c r="A33" s="4" t="s">
        <v>828</v>
      </c>
      <c r="B33" s="24"/>
      <c r="C33" s="67">
        <v>44536</v>
      </c>
      <c r="D33" s="71">
        <f>49.02*835</f>
        <v>40931.700000000004</v>
      </c>
      <c r="E33" s="153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Y33" s="3"/>
      <c r="AF33" s="3"/>
      <c r="AG33" s="3"/>
      <c r="AK33" s="3">
        <f>SUM($F33:AI33)</f>
        <v>0</v>
      </c>
      <c r="AL33" s="22"/>
    </row>
    <row r="34" spans="1:38" x14ac:dyDescent="0.35">
      <c r="A34" s="4" t="s">
        <v>835</v>
      </c>
      <c r="B34" s="24"/>
      <c r="C34" s="67">
        <v>44579</v>
      </c>
      <c r="D34" s="3">
        <v>14074</v>
      </c>
      <c r="E34" s="153" t="s">
        <v>836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>
        <v>14074</v>
      </c>
      <c r="Y34" s="3"/>
      <c r="AK34" s="3">
        <f>SUM($F34:AI34)</f>
        <v>14074</v>
      </c>
      <c r="AL34" s="22" t="s">
        <v>1557</v>
      </c>
    </row>
    <row r="35" spans="1:38" x14ac:dyDescent="0.35">
      <c r="A35" s="4" t="s">
        <v>839</v>
      </c>
      <c r="B35" s="24" t="s">
        <v>838</v>
      </c>
      <c r="C35" s="67">
        <v>44579</v>
      </c>
      <c r="D35" s="3">
        <v>9720</v>
      </c>
      <c r="E35" s="153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 t="s">
        <v>13</v>
      </c>
      <c r="Y35" s="3"/>
      <c r="AK35" s="3">
        <f>SUM($F35:AI35)</f>
        <v>0</v>
      </c>
      <c r="AL35" s="22"/>
    </row>
    <row r="36" spans="1:38" x14ac:dyDescent="0.35">
      <c r="A36" s="4" t="s">
        <v>834</v>
      </c>
      <c r="B36" s="24"/>
      <c r="C36" s="5">
        <v>44870</v>
      </c>
      <c r="D36" s="3">
        <v>79236</v>
      </c>
      <c r="E36" s="153" t="s">
        <v>503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/>
      <c r="AK36" s="3">
        <f>SUM($F36:AI36)</f>
        <v>0</v>
      </c>
      <c r="AL36" s="22"/>
    </row>
    <row r="37" spans="1:38" x14ac:dyDescent="0.35">
      <c r="A37" s="4" t="s">
        <v>834</v>
      </c>
      <c r="B37" s="24"/>
      <c r="C37" s="5">
        <v>44875</v>
      </c>
      <c r="D37" s="3">
        <v>1000</v>
      </c>
      <c r="E37" s="153" t="s">
        <v>503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Y37" s="3"/>
      <c r="AK37" s="3">
        <f>SUM($F37:AI37)</f>
        <v>0</v>
      </c>
      <c r="AL37" s="22"/>
    </row>
    <row r="38" spans="1:38" x14ac:dyDescent="0.35">
      <c r="A38" s="4"/>
      <c r="B38" s="24"/>
      <c r="C38" s="67"/>
      <c r="D38" s="3"/>
      <c r="E38" s="15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Y38" s="3"/>
      <c r="AK38" s="3">
        <f>SUM($F38:AI38)</f>
        <v>0</v>
      </c>
      <c r="AL38" s="22"/>
    </row>
    <row r="39" spans="1:38" x14ac:dyDescent="0.35">
      <c r="A39" s="2" t="s">
        <v>9</v>
      </c>
      <c r="F39" s="3">
        <f t="shared" ref="F39:AK39" si="2">SUM(F20:F38)</f>
        <v>0</v>
      </c>
      <c r="G39" s="3">
        <f t="shared" si="2"/>
        <v>0</v>
      </c>
      <c r="H39" s="3">
        <f t="shared" si="2"/>
        <v>0</v>
      </c>
      <c r="I39" s="3">
        <f t="shared" si="2"/>
        <v>0</v>
      </c>
      <c r="J39" s="3">
        <f t="shared" si="2"/>
        <v>0</v>
      </c>
      <c r="K39" s="3">
        <f t="shared" si="2"/>
        <v>0</v>
      </c>
      <c r="L39" s="3">
        <f t="shared" si="2"/>
        <v>0</v>
      </c>
      <c r="M39" s="3">
        <f t="shared" si="2"/>
        <v>0</v>
      </c>
      <c r="N39" s="3">
        <f t="shared" si="2"/>
        <v>0</v>
      </c>
      <c r="O39" s="3">
        <f t="shared" si="2"/>
        <v>0</v>
      </c>
      <c r="P39" s="3">
        <f t="shared" si="2"/>
        <v>0</v>
      </c>
      <c r="Q39" s="3">
        <f t="shared" si="2"/>
        <v>0</v>
      </c>
      <c r="R39" s="3">
        <f t="shared" si="2"/>
        <v>0</v>
      </c>
      <c r="S39" s="3">
        <f t="shared" si="2"/>
        <v>0</v>
      </c>
      <c r="T39" s="3">
        <f t="shared" si="2"/>
        <v>0</v>
      </c>
      <c r="U39" s="3">
        <f t="shared" si="2"/>
        <v>0</v>
      </c>
      <c r="V39" s="3">
        <f t="shared" si="2"/>
        <v>0</v>
      </c>
      <c r="W39" s="3">
        <f t="shared" si="2"/>
        <v>14074</v>
      </c>
      <c r="X39" s="3">
        <f t="shared" si="2"/>
        <v>0</v>
      </c>
      <c r="Y39" s="3">
        <f t="shared" si="2"/>
        <v>0</v>
      </c>
      <c r="Z39" s="3">
        <f t="shared" si="2"/>
        <v>0</v>
      </c>
      <c r="AA39" s="3">
        <f t="shared" si="2"/>
        <v>0</v>
      </c>
      <c r="AB39" s="3">
        <f t="shared" si="2"/>
        <v>0</v>
      </c>
      <c r="AC39" s="3">
        <f t="shared" si="2"/>
        <v>0</v>
      </c>
      <c r="AD39" s="3">
        <f t="shared" si="2"/>
        <v>0</v>
      </c>
      <c r="AE39" s="3">
        <f t="shared" si="2"/>
        <v>0</v>
      </c>
      <c r="AF39" s="3">
        <f t="shared" si="2"/>
        <v>0</v>
      </c>
      <c r="AG39" s="3">
        <f t="shared" si="2"/>
        <v>0</v>
      </c>
      <c r="AH39" s="3">
        <f t="shared" si="2"/>
        <v>0</v>
      </c>
      <c r="AI39" s="3">
        <f t="shared" si="2"/>
        <v>0</v>
      </c>
      <c r="AJ39" s="3">
        <f t="shared" si="2"/>
        <v>0</v>
      </c>
      <c r="AK39" s="72">
        <f t="shared" si="2"/>
        <v>14074</v>
      </c>
    </row>
    <row r="40" spans="1:38" x14ac:dyDescent="0.35">
      <c r="A40" t="s">
        <v>8</v>
      </c>
      <c r="F40" s="3">
        <f>+F17+F3-F39</f>
        <v>802.77033613424283</v>
      </c>
      <c r="G40" s="3">
        <f t="shared" ref="G40:AJ40" si="3">+G3+G17-G39</f>
        <v>802.77033613424283</v>
      </c>
      <c r="H40" s="3">
        <f t="shared" si="3"/>
        <v>802.77033613424283</v>
      </c>
      <c r="I40" s="3">
        <f t="shared" si="3"/>
        <v>802.77033613424283</v>
      </c>
      <c r="J40" s="3">
        <f t="shared" si="3"/>
        <v>802.77033613424283</v>
      </c>
      <c r="K40" s="3">
        <f t="shared" si="3"/>
        <v>802.77033613424283</v>
      </c>
      <c r="L40" s="3">
        <f t="shared" si="3"/>
        <v>802.77033613424283</v>
      </c>
      <c r="M40" s="3">
        <f t="shared" si="3"/>
        <v>802.77033613424283</v>
      </c>
      <c r="N40" s="3">
        <f t="shared" si="3"/>
        <v>802.77033613424283</v>
      </c>
      <c r="O40" s="3">
        <f t="shared" si="3"/>
        <v>802.77033613424283</v>
      </c>
      <c r="P40" s="3">
        <f t="shared" si="3"/>
        <v>802.77033613424283</v>
      </c>
      <c r="Q40" s="3">
        <f t="shared" si="3"/>
        <v>802.77033613424283</v>
      </c>
      <c r="R40" s="3">
        <f t="shared" si="3"/>
        <v>802.77033613424283</v>
      </c>
      <c r="S40" s="3">
        <f t="shared" si="3"/>
        <v>802.77033613424283</v>
      </c>
      <c r="T40" s="3">
        <f t="shared" si="3"/>
        <v>802.77033613424283</v>
      </c>
      <c r="U40" s="3">
        <f t="shared" si="3"/>
        <v>802.77033613424283</v>
      </c>
      <c r="V40" s="3">
        <f t="shared" si="3"/>
        <v>802.77033613424283</v>
      </c>
      <c r="W40" s="3">
        <f t="shared" si="3"/>
        <v>802.77033613424283</v>
      </c>
      <c r="X40" s="3">
        <f t="shared" si="3"/>
        <v>802.77033613424283</v>
      </c>
      <c r="Y40" s="3">
        <f t="shared" si="3"/>
        <v>802.77033613424283</v>
      </c>
      <c r="Z40" s="3">
        <f t="shared" si="3"/>
        <v>802.77033613424283</v>
      </c>
      <c r="AA40" s="3">
        <f t="shared" si="3"/>
        <v>802.77033613424283</v>
      </c>
      <c r="AB40" s="3">
        <f t="shared" si="3"/>
        <v>802.77033613424283</v>
      </c>
      <c r="AC40" s="3">
        <f t="shared" si="3"/>
        <v>802.77033613424283</v>
      </c>
      <c r="AD40" s="3">
        <f t="shared" si="3"/>
        <v>802.77033613424283</v>
      </c>
      <c r="AE40" s="3">
        <f t="shared" si="3"/>
        <v>802.77033613424283</v>
      </c>
      <c r="AF40" s="3">
        <f t="shared" si="3"/>
        <v>802.77033613424283</v>
      </c>
      <c r="AG40" s="3">
        <f t="shared" si="3"/>
        <v>802.77033613424283</v>
      </c>
      <c r="AH40" s="3">
        <f t="shared" si="3"/>
        <v>802.77033613424283</v>
      </c>
      <c r="AI40" s="3">
        <f t="shared" si="3"/>
        <v>802.77033613424283</v>
      </c>
      <c r="AJ40" s="3">
        <f t="shared" si="3"/>
        <v>802.77033613424283</v>
      </c>
      <c r="AK40" s="3" t="s">
        <v>13</v>
      </c>
    </row>
    <row r="41" spans="1:38" x14ac:dyDescent="0.35">
      <c r="F41" s="3"/>
      <c r="G41" s="3"/>
      <c r="H41" s="3"/>
      <c r="I41" s="3" t="s">
        <v>13</v>
      </c>
      <c r="J41" s="3"/>
      <c r="K41" s="3"/>
      <c r="L41" s="3"/>
      <c r="M41" s="3"/>
      <c r="N41" s="3"/>
      <c r="O41" s="3"/>
      <c r="P41" s="3" t="s">
        <v>13</v>
      </c>
      <c r="Q41" s="3"/>
      <c r="R41" s="3"/>
      <c r="S41" s="3"/>
      <c r="T41" s="3" t="s">
        <v>13</v>
      </c>
      <c r="U41" s="3"/>
      <c r="V41" s="3"/>
      <c r="W41" s="3"/>
      <c r="Y41" s="3" t="s">
        <v>13</v>
      </c>
      <c r="AA41" s="3" t="s">
        <v>13</v>
      </c>
      <c r="AB41" s="3" t="s">
        <v>13</v>
      </c>
    </row>
    <row r="42" spans="1:38" x14ac:dyDescent="0.35">
      <c r="B42" t="s">
        <v>13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 t="s">
        <v>13</v>
      </c>
      <c r="Q42" s="3" t="s">
        <v>13</v>
      </c>
      <c r="R42" s="3" t="s">
        <v>13</v>
      </c>
      <c r="S42" s="3"/>
      <c r="T42" s="3"/>
      <c r="U42" s="3" t="s">
        <v>13</v>
      </c>
      <c r="V42" s="3"/>
      <c r="W42" s="3"/>
      <c r="AB42" s="3" t="s">
        <v>13</v>
      </c>
    </row>
    <row r="43" spans="1:38" x14ac:dyDescent="0.35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S43" s="3"/>
      <c r="T43" s="3" t="s">
        <v>13</v>
      </c>
      <c r="U43" s="3"/>
      <c r="V43" s="3"/>
      <c r="W43" s="3"/>
      <c r="AB43" s="3" t="s">
        <v>13</v>
      </c>
    </row>
    <row r="44" spans="1:38" x14ac:dyDescent="0.35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S44" s="3"/>
      <c r="T44" s="3"/>
      <c r="U44" s="3"/>
      <c r="V44" s="3"/>
      <c r="W44" s="3" t="s">
        <v>13</v>
      </c>
      <c r="AB44" s="3" t="s">
        <v>13</v>
      </c>
    </row>
    <row r="45" spans="1:38" x14ac:dyDescent="0.35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AB45" s="3" t="s">
        <v>13</v>
      </c>
    </row>
    <row r="46" spans="1:38" x14ac:dyDescent="0.35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AB46" s="3" t="s">
        <v>13</v>
      </c>
    </row>
    <row r="47" spans="1:38" x14ac:dyDescent="0.35">
      <c r="F47" s="3"/>
    </row>
    <row r="48" spans="1:38" x14ac:dyDescent="0.35">
      <c r="F48" s="3"/>
    </row>
    <row r="49" spans="6:6" x14ac:dyDescent="0.35">
      <c r="F49" s="3"/>
    </row>
    <row r="50" spans="6:6" x14ac:dyDescent="0.35">
      <c r="F50" s="3"/>
    </row>
    <row r="51" spans="6:6" x14ac:dyDescent="0.35">
      <c r="F51" s="3"/>
    </row>
    <row r="52" spans="6:6" x14ac:dyDescent="0.35">
      <c r="F52" s="3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AL73"/>
  <sheetViews>
    <sheetView topLeftCell="A31" workbookViewId="0">
      <selection activeCell="A52" sqref="A52"/>
    </sheetView>
  </sheetViews>
  <sheetFormatPr baseColWidth="10" defaultColWidth="11.08984375" defaultRowHeight="14.5" x14ac:dyDescent="0.35"/>
  <cols>
    <col min="1" max="1" width="41" customWidth="1"/>
    <col min="2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6" max="36" width="12.36328125" customWidth="1"/>
    <col min="37" max="37" width="14.816406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44593</v>
      </c>
      <c r="G2" s="1">
        <v>44594</v>
      </c>
      <c r="H2" s="1">
        <v>44595</v>
      </c>
      <c r="I2" s="1">
        <v>44596</v>
      </c>
      <c r="J2" s="1">
        <v>44597</v>
      </c>
      <c r="K2" s="1">
        <v>44598</v>
      </c>
      <c r="L2" s="1">
        <v>44599</v>
      </c>
      <c r="M2" s="1">
        <v>44600</v>
      </c>
      <c r="N2" s="1">
        <v>44601</v>
      </c>
      <c r="O2" s="1">
        <v>44602</v>
      </c>
      <c r="P2" s="1">
        <v>44603</v>
      </c>
      <c r="Q2" s="1">
        <v>44604</v>
      </c>
      <c r="R2" s="1">
        <v>44605</v>
      </c>
      <c r="S2" s="1">
        <v>44606</v>
      </c>
      <c r="T2" s="1">
        <v>44607</v>
      </c>
      <c r="U2" s="1">
        <v>44608</v>
      </c>
      <c r="V2" s="1">
        <v>44609</v>
      </c>
      <c r="W2" s="1">
        <v>44610</v>
      </c>
      <c r="X2" s="1">
        <v>44611</v>
      </c>
      <c r="Y2" s="1">
        <v>44612</v>
      </c>
      <c r="Z2" s="1">
        <v>44613</v>
      </c>
      <c r="AA2" s="1">
        <v>44614</v>
      </c>
      <c r="AB2" s="1">
        <v>44615</v>
      </c>
      <c r="AC2" s="1">
        <v>44616</v>
      </c>
      <c r="AD2" s="1">
        <v>44617</v>
      </c>
      <c r="AE2" s="1">
        <v>44618</v>
      </c>
      <c r="AF2" s="1">
        <v>44619</v>
      </c>
      <c r="AG2" s="1">
        <v>44620</v>
      </c>
      <c r="AH2" s="1" t="s">
        <v>13</v>
      </c>
      <c r="AI2" s="1" t="s">
        <v>13</v>
      </c>
      <c r="AJ2" s="1" t="s">
        <v>13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+'ENE-22'!AJ40</f>
        <v>802.77033613424283</v>
      </c>
      <c r="G3" s="3">
        <f t="shared" ref="G3:AG3" si="0">+F61</f>
        <v>802.77033613424283</v>
      </c>
      <c r="H3" s="3">
        <f t="shared" si="0"/>
        <v>802.77033613424283</v>
      </c>
      <c r="I3" s="3">
        <f t="shared" si="0"/>
        <v>802.77033613424283</v>
      </c>
      <c r="J3" s="3">
        <f t="shared" si="0"/>
        <v>802.77033613424283</v>
      </c>
      <c r="K3" s="3">
        <f t="shared" si="0"/>
        <v>802.77033613424283</v>
      </c>
      <c r="L3" s="3">
        <f t="shared" si="0"/>
        <v>802.77033613424283</v>
      </c>
      <c r="M3" s="3">
        <f t="shared" si="0"/>
        <v>802.77033613424283</v>
      </c>
      <c r="N3" s="3">
        <f t="shared" si="0"/>
        <v>802.77033613424283</v>
      </c>
      <c r="O3" s="3">
        <f t="shared" si="0"/>
        <v>802.77033613424283</v>
      </c>
      <c r="P3" s="3">
        <f t="shared" si="0"/>
        <v>802.77033613424283</v>
      </c>
      <c r="Q3" s="3">
        <f t="shared" si="0"/>
        <v>802.77033613424283</v>
      </c>
      <c r="R3" s="3">
        <f t="shared" si="0"/>
        <v>802.77033613424283</v>
      </c>
      <c r="S3" s="3">
        <f t="shared" si="0"/>
        <v>802.77033613424283</v>
      </c>
      <c r="T3" s="3">
        <f t="shared" si="0"/>
        <v>13995.770336134243</v>
      </c>
      <c r="U3" s="3">
        <f t="shared" si="0"/>
        <v>986.77033613424283</v>
      </c>
      <c r="V3" s="3">
        <f t="shared" si="0"/>
        <v>986.77033613424283</v>
      </c>
      <c r="W3" s="3">
        <f t="shared" si="0"/>
        <v>986.77033613424283</v>
      </c>
      <c r="X3" s="3">
        <f t="shared" si="0"/>
        <v>986.77033613424283</v>
      </c>
      <c r="Y3" s="3">
        <f t="shared" si="0"/>
        <v>986.77033613424283</v>
      </c>
      <c r="Z3" s="3">
        <f t="shared" si="0"/>
        <v>986.77033613424283</v>
      </c>
      <c r="AA3" s="3">
        <f t="shared" si="0"/>
        <v>986.77033613424283</v>
      </c>
      <c r="AB3" s="3">
        <f t="shared" si="0"/>
        <v>986.77033613424283</v>
      </c>
      <c r="AC3" s="3">
        <f t="shared" si="0"/>
        <v>986.77033613424283</v>
      </c>
      <c r="AD3" s="3">
        <f t="shared" si="0"/>
        <v>3000986.7703361344</v>
      </c>
      <c r="AE3" s="3">
        <f t="shared" si="0"/>
        <v>2394319.9203361343</v>
      </c>
      <c r="AF3" s="3">
        <f t="shared" si="0"/>
        <v>2394319.9203361343</v>
      </c>
      <c r="AG3" s="3">
        <f t="shared" si="0"/>
        <v>2394319.9203361343</v>
      </c>
      <c r="AH3" s="3" t="s">
        <v>13</v>
      </c>
      <c r="AI3" s="3" t="s">
        <v>13</v>
      </c>
      <c r="AJ3" s="3" t="s">
        <v>13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SUM($F5:AI5)</f>
        <v>0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f>SUM($F6:AI6)</f>
        <v>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SUM($F7:AI7)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SUM($F8:AI8)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X9" s="3"/>
      <c r="Y9" s="3"/>
      <c r="Z9" s="3"/>
      <c r="AA9" s="3"/>
      <c r="AB9" s="3"/>
      <c r="AC9" s="3" t="s">
        <v>13</v>
      </c>
      <c r="AD9" s="3"/>
      <c r="AE9" s="3"/>
      <c r="AF9" s="3"/>
      <c r="AG9" s="3"/>
      <c r="AH9" s="3"/>
      <c r="AI9" s="3"/>
      <c r="AJ9" s="3"/>
      <c r="AK9" s="3">
        <f>SUM($F9:AI9)</f>
        <v>0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SUM($F10:AI10)</f>
        <v>0</v>
      </c>
      <c r="AL10" s="3" t="s">
        <v>13</v>
      </c>
    </row>
    <row r="11" spans="1:38" x14ac:dyDescent="0.35">
      <c r="A11" t="s">
        <v>345</v>
      </c>
      <c r="B11" t="s">
        <v>344</v>
      </c>
      <c r="C11" s="5" t="s">
        <v>13</v>
      </c>
      <c r="D11" s="3">
        <v>0</v>
      </c>
      <c r="E11" t="s">
        <v>382</v>
      </c>
      <c r="F11" s="3" t="s">
        <v>13</v>
      </c>
      <c r="G11" s="3"/>
      <c r="H11" s="3"/>
      <c r="I11" s="3"/>
      <c r="J11" s="3" t="s">
        <v>13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f>SUM($F11:AI11)</f>
        <v>0</v>
      </c>
      <c r="AL11" s="3" t="s">
        <v>13</v>
      </c>
    </row>
    <row r="12" spans="1:38" x14ac:dyDescent="0.35">
      <c r="A12" t="s">
        <v>890</v>
      </c>
      <c r="B12" t="s">
        <v>882</v>
      </c>
      <c r="C12" s="5">
        <v>44616</v>
      </c>
      <c r="D12" s="3">
        <v>85642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f>SUM($F12:AI12)</f>
        <v>0</v>
      </c>
      <c r="AL12" s="3"/>
    </row>
    <row r="13" spans="1:38" x14ac:dyDescent="0.35">
      <c r="A13" t="s">
        <v>891</v>
      </c>
      <c r="B13" t="s">
        <v>889</v>
      </c>
      <c r="C13" s="5">
        <v>44616</v>
      </c>
      <c r="D13" s="3">
        <v>-85642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f>SUM($F13:AI13)</f>
        <v>0</v>
      </c>
      <c r="AL13" s="3"/>
    </row>
    <row r="14" spans="1:38" x14ac:dyDescent="0.35">
      <c r="A14" t="s">
        <v>892</v>
      </c>
      <c r="B14" t="s">
        <v>883</v>
      </c>
      <c r="C14" s="5">
        <v>44616</v>
      </c>
      <c r="D14" s="3">
        <v>85642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f>SUM($F14:AI14)</f>
        <v>0</v>
      </c>
      <c r="AL14" s="3"/>
    </row>
    <row r="15" spans="1:38" x14ac:dyDescent="0.35">
      <c r="A15" t="s">
        <v>893</v>
      </c>
      <c r="B15" t="s">
        <v>884</v>
      </c>
      <c r="C15" s="5">
        <v>44616</v>
      </c>
      <c r="D15" s="3">
        <v>85642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f>SUM($F15:AI15)</f>
        <v>0</v>
      </c>
      <c r="AL15" s="3"/>
    </row>
    <row r="16" spans="1:38" x14ac:dyDescent="0.35">
      <c r="A16" t="s">
        <v>894</v>
      </c>
      <c r="B16" t="s">
        <v>885</v>
      </c>
      <c r="C16" s="5">
        <v>44617</v>
      </c>
      <c r="D16" s="3">
        <v>85642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f>SUM($F16:AI16)</f>
        <v>0</v>
      </c>
      <c r="AL16" s="3"/>
    </row>
    <row r="17" spans="1:38" x14ac:dyDescent="0.35">
      <c r="A17" t="s">
        <v>895</v>
      </c>
      <c r="B17" t="s">
        <v>886</v>
      </c>
      <c r="C17" s="5">
        <v>44618</v>
      </c>
      <c r="D17" s="3">
        <v>56708</v>
      </c>
      <c r="E17" s="6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f>SUM($F17:AI17)</f>
        <v>0</v>
      </c>
      <c r="AL17" s="3"/>
    </row>
    <row r="18" spans="1:38" x14ac:dyDescent="0.35">
      <c r="A18" t="s">
        <v>896</v>
      </c>
      <c r="B18" t="s">
        <v>887</v>
      </c>
      <c r="C18" s="5">
        <v>44618</v>
      </c>
      <c r="D18" s="3">
        <v>85642</v>
      </c>
      <c r="E18" s="6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f>SUM($F18:AI18)</f>
        <v>0</v>
      </c>
      <c r="AL18" s="3"/>
    </row>
    <row r="19" spans="1:38" s="237" customFormat="1" x14ac:dyDescent="0.35">
      <c r="A19" s="237" t="s">
        <v>385</v>
      </c>
      <c r="C19" s="5">
        <v>43980</v>
      </c>
      <c r="D19" s="237">
        <v>10465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 t="s">
        <v>13</v>
      </c>
      <c r="AH19" s="3"/>
      <c r="AI19" s="3"/>
      <c r="AJ19" s="3"/>
      <c r="AK19" s="3">
        <f>SUM($F19:AI19)</f>
        <v>0</v>
      </c>
    </row>
    <row r="20" spans="1:38" s="237" customFormat="1" x14ac:dyDescent="0.35">
      <c r="A20" s="237" t="s">
        <v>837</v>
      </c>
      <c r="C20" s="5">
        <v>44606</v>
      </c>
      <c r="D20" s="264">
        <f>13193+1000</f>
        <v>14193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13193</v>
      </c>
      <c r="T20" s="3">
        <v>1000</v>
      </c>
      <c r="U20" s="3"/>
      <c r="V20" s="3"/>
      <c r="W20" s="3" t="s">
        <v>13</v>
      </c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f>SUM($F20:AI20)</f>
        <v>14193</v>
      </c>
    </row>
    <row r="21" spans="1:38" x14ac:dyDescent="0.35">
      <c r="A21" t="s">
        <v>854</v>
      </c>
      <c r="C21" s="5">
        <v>44616</v>
      </c>
      <c r="D21" s="3">
        <v>3000000</v>
      </c>
      <c r="F21" s="3" t="s">
        <v>13</v>
      </c>
      <c r="G21" s="3" t="s">
        <v>13</v>
      </c>
      <c r="H21" s="3"/>
      <c r="I21" s="3"/>
      <c r="J21" s="3"/>
      <c r="K21" s="3" t="s">
        <v>13</v>
      </c>
      <c r="L21" s="3"/>
      <c r="M21" s="3"/>
      <c r="N21" s="3"/>
      <c r="O21" s="3" t="s">
        <v>13</v>
      </c>
      <c r="P21" s="3"/>
      <c r="Q21" s="3"/>
      <c r="R21" s="3" t="s">
        <v>13</v>
      </c>
      <c r="S21" s="3"/>
      <c r="T21" s="3"/>
      <c r="U21" s="3"/>
      <c r="V21" s="3"/>
      <c r="W21" s="3"/>
      <c r="X21" s="3"/>
      <c r="Y21" s="3" t="s">
        <v>13</v>
      </c>
      <c r="Z21" s="3"/>
      <c r="AA21" s="3"/>
      <c r="AB21" s="3"/>
      <c r="AC21" s="3">
        <v>3000000</v>
      </c>
      <c r="AD21" s="3"/>
      <c r="AE21" s="3"/>
      <c r="AF21" s="3"/>
      <c r="AG21" s="3"/>
      <c r="AH21" s="3"/>
      <c r="AI21" s="3"/>
      <c r="AJ21" s="3"/>
      <c r="AK21" s="3">
        <f>SUM($F21:AI21)</f>
        <v>3000000</v>
      </c>
    </row>
    <row r="22" spans="1:38" x14ac:dyDescent="0.35">
      <c r="D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8" x14ac:dyDescent="0.35">
      <c r="A23" t="s">
        <v>13</v>
      </c>
      <c r="F23" s="3"/>
      <c r="G23" s="3" t="s">
        <v>13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72">
        <f>SUM(AK5:AK22)</f>
        <v>3014193</v>
      </c>
    </row>
    <row r="24" spans="1:38" x14ac:dyDescent="0.35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38" x14ac:dyDescent="0.35">
      <c r="A25" s="2" t="s">
        <v>6</v>
      </c>
      <c r="F25" s="3">
        <f t="shared" ref="F25:AG25" si="1">SUM(F5:F24)</f>
        <v>0</v>
      </c>
      <c r="G25" s="3">
        <f t="shared" si="1"/>
        <v>0</v>
      </c>
      <c r="H25" s="3">
        <f t="shared" si="1"/>
        <v>0</v>
      </c>
      <c r="I25" s="3">
        <f t="shared" si="1"/>
        <v>0</v>
      </c>
      <c r="J25" s="3">
        <f t="shared" si="1"/>
        <v>0</v>
      </c>
      <c r="K25" s="3">
        <f t="shared" si="1"/>
        <v>0</v>
      </c>
      <c r="L25" s="3">
        <f t="shared" si="1"/>
        <v>0</v>
      </c>
      <c r="M25" s="3">
        <f t="shared" si="1"/>
        <v>0</v>
      </c>
      <c r="N25" s="3">
        <f t="shared" si="1"/>
        <v>0</v>
      </c>
      <c r="O25" s="3">
        <f t="shared" si="1"/>
        <v>0</v>
      </c>
      <c r="P25" s="3">
        <f t="shared" si="1"/>
        <v>0</v>
      </c>
      <c r="Q25" s="3">
        <f t="shared" si="1"/>
        <v>0</v>
      </c>
      <c r="R25" s="3">
        <f t="shared" si="1"/>
        <v>0</v>
      </c>
      <c r="S25" s="3">
        <f t="shared" si="1"/>
        <v>13193</v>
      </c>
      <c r="T25" s="3">
        <f t="shared" si="1"/>
        <v>1000</v>
      </c>
      <c r="U25" s="3">
        <f t="shared" si="1"/>
        <v>0</v>
      </c>
      <c r="V25" s="3">
        <f t="shared" si="1"/>
        <v>0</v>
      </c>
      <c r="W25" s="3">
        <f t="shared" si="1"/>
        <v>0</v>
      </c>
      <c r="X25" s="3">
        <f t="shared" si="1"/>
        <v>0</v>
      </c>
      <c r="Y25" s="3">
        <f t="shared" si="1"/>
        <v>0</v>
      </c>
      <c r="Z25" s="3">
        <f t="shared" si="1"/>
        <v>0</v>
      </c>
      <c r="AA25" s="3">
        <f t="shared" si="1"/>
        <v>0</v>
      </c>
      <c r="AB25" s="3">
        <f t="shared" si="1"/>
        <v>0</v>
      </c>
      <c r="AC25" s="3">
        <f t="shared" si="1"/>
        <v>3000000</v>
      </c>
      <c r="AD25" s="3">
        <f t="shared" si="1"/>
        <v>0</v>
      </c>
      <c r="AE25" s="3">
        <f t="shared" si="1"/>
        <v>0</v>
      </c>
      <c r="AF25" s="3">
        <f t="shared" si="1"/>
        <v>0</v>
      </c>
      <c r="AG25" s="3">
        <f t="shared" si="1"/>
        <v>0</v>
      </c>
      <c r="AH25" s="3" t="s">
        <v>13</v>
      </c>
      <c r="AI25" s="3" t="s">
        <v>13</v>
      </c>
      <c r="AJ25" s="3" t="s">
        <v>13</v>
      </c>
    </row>
    <row r="26" spans="1:38" x14ac:dyDescent="0.35">
      <c r="A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38" x14ac:dyDescent="0.35">
      <c r="A27" s="2" t="s">
        <v>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8" x14ac:dyDescent="0.35">
      <c r="A28" s="4" t="s">
        <v>492</v>
      </c>
      <c r="B28" s="24" t="s">
        <v>337</v>
      </c>
      <c r="C28" s="67"/>
      <c r="D28" s="3">
        <v>250000</v>
      </c>
      <c r="F28" s="3"/>
      <c r="G28" s="3"/>
      <c r="H28" s="3"/>
      <c r="I28" s="3"/>
      <c r="K28" s="3"/>
      <c r="L28" s="3"/>
      <c r="M28" s="3"/>
      <c r="P28" s="3"/>
      <c r="Q28" s="3"/>
      <c r="R28" s="3"/>
      <c r="S28" s="3"/>
      <c r="T28" s="3"/>
      <c r="U28" s="3"/>
      <c r="V28" s="3" t="s">
        <v>13</v>
      </c>
      <c r="W28" s="3"/>
      <c r="AK28" s="3">
        <f>SUM($F28:AI28)</f>
        <v>0</v>
      </c>
    </row>
    <row r="29" spans="1:38" x14ac:dyDescent="0.35">
      <c r="A29" s="4" t="s">
        <v>494</v>
      </c>
      <c r="B29" s="24" t="s">
        <v>337</v>
      </c>
      <c r="C29" s="67"/>
      <c r="D29" s="3">
        <v>500000</v>
      </c>
      <c r="F29" s="3"/>
      <c r="G29" s="3"/>
      <c r="H29" s="3"/>
      <c r="I29" s="3"/>
      <c r="K29" s="3"/>
      <c r="L29" s="3"/>
      <c r="M29" s="3"/>
      <c r="P29" s="3"/>
      <c r="Q29" s="3"/>
      <c r="R29" s="3"/>
      <c r="S29" s="3"/>
      <c r="T29" s="3"/>
      <c r="U29" s="3"/>
      <c r="V29" s="3"/>
      <c r="W29" s="3"/>
      <c r="AK29" s="3">
        <f>SUM($F29:AI29)</f>
        <v>0</v>
      </c>
    </row>
    <row r="30" spans="1:38" x14ac:dyDescent="0.35">
      <c r="A30" s="4" t="s">
        <v>495</v>
      </c>
      <c r="B30" s="24" t="s">
        <v>337</v>
      </c>
      <c r="C30" s="67"/>
      <c r="D30" s="3">
        <v>500000</v>
      </c>
      <c r="F30" s="3"/>
      <c r="G30" s="3"/>
      <c r="H30" s="3"/>
      <c r="I30" s="3"/>
      <c r="K30" s="3"/>
      <c r="L30" s="3"/>
      <c r="M30" s="104" t="s">
        <v>13</v>
      </c>
      <c r="P30" s="3"/>
      <c r="Q30" s="3"/>
      <c r="R30" s="3"/>
      <c r="S30" s="3"/>
      <c r="T30" s="3"/>
      <c r="U30" s="3"/>
      <c r="V30" s="3"/>
      <c r="W30" s="3"/>
      <c r="AK30" s="3">
        <f>SUM($F30:AI30)</f>
        <v>0</v>
      </c>
    </row>
    <row r="31" spans="1:38" x14ac:dyDescent="0.35">
      <c r="A31" s="4" t="s">
        <v>541</v>
      </c>
      <c r="B31" s="24" t="s">
        <v>337</v>
      </c>
      <c r="C31" s="67"/>
      <c r="D31" s="3">
        <v>500000</v>
      </c>
      <c r="F31" s="3"/>
      <c r="G31" s="3"/>
      <c r="H31" s="3"/>
      <c r="I31" s="3"/>
      <c r="K31" s="3"/>
      <c r="L31" s="3"/>
      <c r="M31" s="3"/>
      <c r="P31" s="3"/>
      <c r="Q31" s="3"/>
      <c r="R31" s="3"/>
      <c r="S31" s="3"/>
      <c r="T31" s="3"/>
      <c r="U31" s="3"/>
      <c r="V31" s="3"/>
      <c r="W31" s="3"/>
      <c r="AK31" s="3">
        <f>SUM($F31:AI31)</f>
        <v>0</v>
      </c>
    </row>
    <row r="32" spans="1:38" x14ac:dyDescent="0.35">
      <c r="A32" s="4" t="s">
        <v>576</v>
      </c>
      <c r="B32" s="24" t="s">
        <v>337</v>
      </c>
      <c r="C32" s="67"/>
      <c r="D32" s="3">
        <v>500000</v>
      </c>
      <c r="H32" t="s">
        <v>13</v>
      </c>
      <c r="I32" t="s">
        <v>13</v>
      </c>
      <c r="J32" t="s">
        <v>13</v>
      </c>
      <c r="L32" s="3"/>
      <c r="M32" s="3"/>
      <c r="P32" s="3"/>
      <c r="Q32" s="3"/>
      <c r="AK32" s="3">
        <f>SUM($F32:AI32)</f>
        <v>0</v>
      </c>
    </row>
    <row r="33" spans="1:38" x14ac:dyDescent="0.35">
      <c r="A33" s="4" t="s">
        <v>629</v>
      </c>
      <c r="B33" s="24" t="s">
        <v>337</v>
      </c>
      <c r="C33" s="67"/>
      <c r="D33" s="3">
        <v>500000</v>
      </c>
      <c r="J33" t="s">
        <v>13</v>
      </c>
      <c r="L33" s="3"/>
      <c r="M33" s="3"/>
      <c r="P33" s="3"/>
      <c r="Q33" s="3"/>
      <c r="AG33" s="3"/>
      <c r="AK33" s="3">
        <f>SUM($F33:AI33)</f>
        <v>0</v>
      </c>
    </row>
    <row r="34" spans="1:38" x14ac:dyDescent="0.35">
      <c r="A34" s="4" t="s">
        <v>646</v>
      </c>
      <c r="B34" s="24" t="s">
        <v>337</v>
      </c>
      <c r="C34" s="67"/>
      <c r="D34" s="3">
        <v>250000</v>
      </c>
      <c r="H34" t="s">
        <v>13</v>
      </c>
      <c r="J34" t="s">
        <v>13</v>
      </c>
      <c r="L34" s="3"/>
      <c r="M34" s="3"/>
      <c r="P34" s="3"/>
      <c r="Q34" s="3"/>
      <c r="AG34" s="3"/>
      <c r="AK34" s="3">
        <f>SUM($F34:AI34)</f>
        <v>0</v>
      </c>
    </row>
    <row r="35" spans="1:38" x14ac:dyDescent="0.35">
      <c r="A35" t="s">
        <v>1136</v>
      </c>
      <c r="B35" t="s">
        <v>337</v>
      </c>
      <c r="C35" s="5" t="s">
        <v>13</v>
      </c>
      <c r="D35" s="3">
        <f ca="1">+'MAR-21'!AK19*0.17+('ABR-21'!AJ18+'MAY-21'!AK16+'JUN-21'!AK14+'JUL-21'!AK28+'AGO-21'!AK22+'SEP-21'!AK14+'OCT-21'!AK19)*0.17</f>
        <v>309430.03333333333</v>
      </c>
      <c r="G35" s="3" t="s">
        <v>13</v>
      </c>
      <c r="H35" t="s">
        <v>13</v>
      </c>
      <c r="L35" s="3"/>
      <c r="M35" s="3"/>
      <c r="P35" s="3"/>
      <c r="Q35" s="3"/>
      <c r="AG35" s="3"/>
      <c r="AK35" s="3">
        <f>SUM($F35:AI35)</f>
        <v>0</v>
      </c>
    </row>
    <row r="36" spans="1:38" x14ac:dyDescent="0.35">
      <c r="A36" s="4" t="s">
        <v>952</v>
      </c>
      <c r="C36" s="5"/>
      <c r="D36" s="3">
        <v>2400000</v>
      </c>
      <c r="G36" s="3"/>
      <c r="L36" s="3"/>
      <c r="M36" s="3"/>
      <c r="P36" s="3"/>
      <c r="Q36" s="3"/>
      <c r="AG36" s="3"/>
      <c r="AK36" s="3"/>
    </row>
    <row r="37" spans="1:38" x14ac:dyDescent="0.35">
      <c r="A37" s="4" t="s">
        <v>954</v>
      </c>
      <c r="C37" s="5"/>
      <c r="D37" s="3">
        <v>1200000</v>
      </c>
      <c r="G37" s="3"/>
      <c r="L37" s="3"/>
      <c r="M37" s="3"/>
      <c r="P37" s="3"/>
      <c r="Q37" s="3"/>
      <c r="AG37" s="3"/>
      <c r="AK37" s="3"/>
    </row>
    <row r="38" spans="1:38" x14ac:dyDescent="0.35">
      <c r="A38" s="4" t="s">
        <v>603</v>
      </c>
      <c r="B38" s="24" t="s">
        <v>245</v>
      </c>
      <c r="C38" s="67">
        <v>44235</v>
      </c>
      <c r="D38" s="3">
        <f>-'MAR-21'!$H$45+870366</f>
        <v>470366</v>
      </c>
      <c r="E38" s="153" t="s">
        <v>832</v>
      </c>
      <c r="F38" s="3"/>
      <c r="G38" s="3" t="s">
        <v>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Y38" s="3"/>
      <c r="AF38" s="3"/>
      <c r="AG38" s="3"/>
      <c r="AK38" s="3">
        <f>SUM($F38:AI38)</f>
        <v>0</v>
      </c>
    </row>
    <row r="39" spans="1:38" x14ac:dyDescent="0.35">
      <c r="A39" s="4" t="s">
        <v>834</v>
      </c>
      <c r="B39" s="24"/>
      <c r="C39" s="5">
        <v>44505</v>
      </c>
      <c r="D39" s="3">
        <v>79236</v>
      </c>
      <c r="E39" s="153" t="s">
        <v>503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Y39" s="3"/>
      <c r="AD39" s="3">
        <v>79236</v>
      </c>
      <c r="AK39" s="3">
        <f>SUM($F39:AI39)</f>
        <v>79236</v>
      </c>
      <c r="AL39" s="3" t="s">
        <v>1557</v>
      </c>
    </row>
    <row r="40" spans="1:38" x14ac:dyDescent="0.35">
      <c r="A40" s="4" t="s">
        <v>834</v>
      </c>
      <c r="B40" s="24"/>
      <c r="C40" s="5">
        <v>44510</v>
      </c>
      <c r="D40" s="3">
        <v>1000</v>
      </c>
      <c r="E40" s="153" t="s">
        <v>503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  <c r="AD40" s="3">
        <v>1000</v>
      </c>
      <c r="AK40" s="3">
        <f>SUM($F40:AI40)</f>
        <v>1000</v>
      </c>
      <c r="AL40" s="3" t="s">
        <v>1557</v>
      </c>
    </row>
    <row r="41" spans="1:38" x14ac:dyDescent="0.35">
      <c r="A41" s="4" t="s">
        <v>828</v>
      </c>
      <c r="B41" s="24"/>
      <c r="C41" s="67">
        <v>44522</v>
      </c>
      <c r="D41" s="71">
        <f>4.69*835</f>
        <v>3916.1500000000005</v>
      </c>
      <c r="E41" s="153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AD41" s="71">
        <f>4.69*835</f>
        <v>3916.1500000000005</v>
      </c>
      <c r="AK41" s="3">
        <f>SUM($F41:AI41)</f>
        <v>3916.1500000000005</v>
      </c>
      <c r="AL41" t="s">
        <v>81</v>
      </c>
    </row>
    <row r="42" spans="1:38" x14ac:dyDescent="0.35">
      <c r="A42" s="4" t="s">
        <v>380</v>
      </c>
      <c r="B42" s="24" t="s">
        <v>208</v>
      </c>
      <c r="C42" s="5">
        <v>44524</v>
      </c>
      <c r="D42" s="3">
        <v>9990</v>
      </c>
      <c r="E42" s="153" t="s">
        <v>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D42" s="3">
        <v>9990</v>
      </c>
      <c r="AK42" s="3">
        <f>SUM($F42:AI42)</f>
        <v>9990</v>
      </c>
      <c r="AL42" s="3" t="s">
        <v>82</v>
      </c>
    </row>
    <row r="43" spans="1:38" x14ac:dyDescent="0.35">
      <c r="A43" s="4" t="s">
        <v>828</v>
      </c>
      <c r="B43" s="24"/>
      <c r="C43" s="67">
        <v>44536</v>
      </c>
      <c r="D43" s="71">
        <f>49.02*835</f>
        <v>40931.700000000004</v>
      </c>
      <c r="E43" s="153" t="s">
        <v>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AD43" s="71">
        <f>49.02*835</f>
        <v>40931.700000000004</v>
      </c>
      <c r="AF43" s="3"/>
      <c r="AG43" s="3"/>
      <c r="AK43" s="3">
        <f>SUM($F43:AI43)</f>
        <v>40931.700000000004</v>
      </c>
      <c r="AL43" s="3" t="s">
        <v>81</v>
      </c>
    </row>
    <row r="44" spans="1:38" x14ac:dyDescent="0.35">
      <c r="A44" s="4" t="s">
        <v>839</v>
      </c>
      <c r="B44" s="24" t="s">
        <v>838</v>
      </c>
      <c r="C44" s="67">
        <v>44579</v>
      </c>
      <c r="D44" s="3">
        <v>9720</v>
      </c>
      <c r="E44" s="153" t="s"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 t="s">
        <v>13</v>
      </c>
      <c r="Y44" s="3"/>
      <c r="AD44" s="3">
        <v>9720</v>
      </c>
      <c r="AK44" s="3">
        <f>SUM($F44:AI44)</f>
        <v>9720</v>
      </c>
      <c r="AL44" s="3" t="s">
        <v>83</v>
      </c>
    </row>
    <row r="45" spans="1:38" x14ac:dyDescent="0.35">
      <c r="A45" s="4" t="s">
        <v>835</v>
      </c>
      <c r="B45" s="24"/>
      <c r="C45" s="67">
        <v>44579</v>
      </c>
      <c r="D45" s="3">
        <v>14074</v>
      </c>
      <c r="E45" s="153" t="s">
        <v>836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D45" s="3">
        <v>14074</v>
      </c>
      <c r="AK45" s="3">
        <f>SUM($F45:AI45)</f>
        <v>14074</v>
      </c>
      <c r="AL45" s="3" t="s">
        <v>1557</v>
      </c>
    </row>
    <row r="46" spans="1:38" x14ac:dyDescent="0.35">
      <c r="A46" s="4" t="s">
        <v>842</v>
      </c>
      <c r="B46" s="24"/>
      <c r="C46" s="67">
        <v>44607</v>
      </c>
      <c r="D46" s="3">
        <v>14009</v>
      </c>
      <c r="E46" s="153" t="s">
        <v>836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>
        <v>14009</v>
      </c>
      <c r="U46" s="3"/>
      <c r="V46" s="3"/>
      <c r="W46" s="3" t="s">
        <v>13</v>
      </c>
      <c r="Y46" s="3"/>
      <c r="AD46" s="3">
        <v>14009</v>
      </c>
      <c r="AK46" s="3">
        <f>SUM($F46:AI46)</f>
        <v>28018</v>
      </c>
      <c r="AL46" s="3" t="s">
        <v>1557</v>
      </c>
    </row>
    <row r="47" spans="1:38" x14ac:dyDescent="0.35">
      <c r="A47" s="4" t="s">
        <v>849</v>
      </c>
      <c r="B47" s="24" t="s">
        <v>850</v>
      </c>
      <c r="C47" s="67">
        <v>44609</v>
      </c>
      <c r="D47" s="3">
        <v>3900</v>
      </c>
      <c r="E47" s="153" t="s">
        <v>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D47" s="3">
        <v>3900</v>
      </c>
      <c r="AK47" s="3">
        <f>SUM($F47:AI47)</f>
        <v>3900</v>
      </c>
      <c r="AL47" s="3" t="s">
        <v>83</v>
      </c>
    </row>
    <row r="48" spans="1:38" x14ac:dyDescent="0.35">
      <c r="A48" s="4" t="s">
        <v>859</v>
      </c>
      <c r="B48" s="24"/>
      <c r="C48" s="67">
        <v>44609</v>
      </c>
      <c r="D48" s="3">
        <v>26000</v>
      </c>
      <c r="E48" s="153" t="s">
        <v>836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AK48" s="3">
        <f>SUM($F48:AI48)</f>
        <v>0</v>
      </c>
      <c r="AL48" s="3" t="s">
        <v>81</v>
      </c>
    </row>
    <row r="49" spans="1:38" x14ac:dyDescent="0.35">
      <c r="A49" s="4" t="s">
        <v>853</v>
      </c>
      <c r="B49" s="24"/>
      <c r="C49" s="67">
        <v>44614</v>
      </c>
      <c r="D49" s="3">
        <v>36000</v>
      </c>
      <c r="E49" s="153" t="s">
        <v>836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D49" s="3">
        <v>36000</v>
      </c>
      <c r="AK49" s="3">
        <f>SUM($F49:AI49)</f>
        <v>36000</v>
      </c>
      <c r="AL49" s="3" t="s">
        <v>83</v>
      </c>
    </row>
    <row r="50" spans="1:38" x14ac:dyDescent="0.35">
      <c r="A50" s="4" t="s">
        <v>843</v>
      </c>
      <c r="B50" s="24"/>
      <c r="C50" s="67">
        <v>44614</v>
      </c>
      <c r="D50" s="3">
        <f>75*2*1050/9+6000</f>
        <v>23500</v>
      </c>
      <c r="E50" s="15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D50" s="3">
        <f>75*2*1050/9+6000</f>
        <v>23500</v>
      </c>
      <c r="AK50" s="3">
        <f>SUM($F50:AI50)</f>
        <v>23500</v>
      </c>
      <c r="AL50" s="3" t="s">
        <v>81</v>
      </c>
    </row>
    <row r="51" spans="1:38" x14ac:dyDescent="0.35">
      <c r="A51" s="4" t="s">
        <v>847</v>
      </c>
      <c r="B51" s="24" t="s">
        <v>848</v>
      </c>
      <c r="C51" s="67">
        <v>44615</v>
      </c>
      <c r="D51" s="3">
        <v>23790</v>
      </c>
      <c r="E51" s="153" t="s">
        <v>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AD51" s="3">
        <v>23790</v>
      </c>
      <c r="AK51" s="3">
        <f>SUM($F51:AI51)</f>
        <v>23790</v>
      </c>
      <c r="AL51" s="3" t="s">
        <v>83</v>
      </c>
    </row>
    <row r="52" spans="1:38" x14ac:dyDescent="0.35">
      <c r="A52" s="4" t="s">
        <v>865</v>
      </c>
      <c r="B52" s="24" t="s">
        <v>864</v>
      </c>
      <c r="C52" s="67">
        <v>44615</v>
      </c>
      <c r="D52" s="3">
        <v>446484</v>
      </c>
      <c r="E52" s="15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  <c r="AK52" s="3">
        <f>SUM($F52:AI52)</f>
        <v>0</v>
      </c>
      <c r="AL52" s="3"/>
    </row>
    <row r="53" spans="1:38" x14ac:dyDescent="0.35">
      <c r="A53" s="4" t="s">
        <v>846</v>
      </c>
      <c r="B53" s="24" t="s">
        <v>845</v>
      </c>
      <c r="C53" s="67">
        <v>44616</v>
      </c>
      <c r="D53" s="3">
        <v>333200</v>
      </c>
      <c r="E53" s="153" t="s">
        <v>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AD53" s="3">
        <v>333200</v>
      </c>
      <c r="AK53" s="3">
        <f>SUM($F53:AI53)</f>
        <v>333200</v>
      </c>
      <c r="AL53" s="3" t="s">
        <v>82</v>
      </c>
    </row>
    <row r="54" spans="1:38" x14ac:dyDescent="0.35">
      <c r="A54" s="4" t="s">
        <v>852</v>
      </c>
      <c r="B54" s="24" t="s">
        <v>851</v>
      </c>
      <c r="C54" s="67">
        <v>44616</v>
      </c>
      <c r="D54" s="3">
        <v>13400</v>
      </c>
      <c r="E54" s="153" t="s">
        <v>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AD54" s="3">
        <v>13400</v>
      </c>
      <c r="AK54" s="3">
        <f>SUM($F54:AI54)</f>
        <v>13400</v>
      </c>
      <c r="AL54" s="3" t="s">
        <v>82</v>
      </c>
    </row>
    <row r="55" spans="1:38" x14ac:dyDescent="0.35">
      <c r="A55" s="4" t="s">
        <v>844</v>
      </c>
      <c r="B55" s="24"/>
      <c r="C55" s="67">
        <v>44618</v>
      </c>
      <c r="D55" s="273">
        <f>13.9*1050/9+2000</f>
        <v>3621.666666666667</v>
      </c>
      <c r="E55" s="15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AD55" s="3" t="s">
        <v>13</v>
      </c>
      <c r="AK55" s="3">
        <f>SUM($F55:AI55)</f>
        <v>0</v>
      </c>
      <c r="AL55" s="3"/>
    </row>
    <row r="56" spans="1:38" x14ac:dyDescent="0.35">
      <c r="A56" s="4" t="s">
        <v>855</v>
      </c>
      <c r="B56" s="24" t="s">
        <v>856</v>
      </c>
      <c r="C56" s="67">
        <v>44618</v>
      </c>
      <c r="D56" s="3">
        <v>10430</v>
      </c>
      <c r="E56" s="153" t="s">
        <v>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E56" s="3" t="s">
        <v>13</v>
      </c>
      <c r="AK56" s="3">
        <f>SUM($F56:AI56)</f>
        <v>0</v>
      </c>
      <c r="AL56" s="3"/>
    </row>
    <row r="57" spans="1:38" x14ac:dyDescent="0.35">
      <c r="A57" s="4" t="s">
        <v>857</v>
      </c>
      <c r="B57" s="24"/>
      <c r="C57" s="67">
        <v>44618</v>
      </c>
      <c r="D57" s="3">
        <f>12.9*1050/9+2000</f>
        <v>3505</v>
      </c>
      <c r="E57" s="153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K57" s="3">
        <f>SUM($F57:AI57)</f>
        <v>0</v>
      </c>
      <c r="AL57" s="3"/>
    </row>
    <row r="58" spans="1:38" x14ac:dyDescent="0.35">
      <c r="A58" s="4" t="s">
        <v>858</v>
      </c>
      <c r="B58" s="24"/>
      <c r="C58" s="67">
        <v>44618</v>
      </c>
      <c r="D58" s="3">
        <v>2600</v>
      </c>
      <c r="E58" s="153" t="s">
        <v>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K58" s="3">
        <f>SUM($F58:AI58)</f>
        <v>0</v>
      </c>
      <c r="AL58" s="3"/>
    </row>
    <row r="59" spans="1:38" x14ac:dyDescent="0.35">
      <c r="A59" s="4"/>
      <c r="B59" s="24"/>
      <c r="C59" s="67"/>
      <c r="D59" s="3"/>
      <c r="E59" s="15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K59" s="3"/>
      <c r="AL59" s="3"/>
    </row>
    <row r="60" spans="1:38" x14ac:dyDescent="0.35">
      <c r="A60" s="2" t="s">
        <v>9</v>
      </c>
      <c r="F60" s="3">
        <f t="shared" ref="F60:S60" si="2">SUM(F28:F52)</f>
        <v>0</v>
      </c>
      <c r="G60" s="3">
        <f t="shared" si="2"/>
        <v>0</v>
      </c>
      <c r="H60" s="3">
        <f t="shared" si="2"/>
        <v>0</v>
      </c>
      <c r="I60" s="3">
        <f t="shared" si="2"/>
        <v>0</v>
      </c>
      <c r="J60" s="3">
        <f t="shared" si="2"/>
        <v>0</v>
      </c>
      <c r="K60" s="3">
        <f t="shared" si="2"/>
        <v>0</v>
      </c>
      <c r="L60" s="3">
        <f t="shared" si="2"/>
        <v>0</v>
      </c>
      <c r="M60" s="3">
        <f t="shared" si="2"/>
        <v>0</v>
      </c>
      <c r="N60" s="3">
        <f t="shared" si="2"/>
        <v>0</v>
      </c>
      <c r="O60" s="3">
        <f t="shared" si="2"/>
        <v>0</v>
      </c>
      <c r="P60" s="3">
        <f t="shared" si="2"/>
        <v>0</v>
      </c>
      <c r="Q60" s="3">
        <f t="shared" si="2"/>
        <v>0</v>
      </c>
      <c r="R60" s="3">
        <f t="shared" si="2"/>
        <v>0</v>
      </c>
      <c r="S60" s="3">
        <f t="shared" si="2"/>
        <v>0</v>
      </c>
      <c r="T60" s="3">
        <f>SUM(T28:T58)</f>
        <v>14009</v>
      </c>
      <c r="U60" s="3">
        <f t="shared" ref="U60:AK60" si="3">SUM(U28:U58)</f>
        <v>0</v>
      </c>
      <c r="V60" s="3">
        <f t="shared" si="3"/>
        <v>0</v>
      </c>
      <c r="W60" s="3">
        <f t="shared" si="3"/>
        <v>0</v>
      </c>
      <c r="X60" s="3">
        <f t="shared" si="3"/>
        <v>0</v>
      </c>
      <c r="Y60" s="3">
        <f t="shared" si="3"/>
        <v>0</v>
      </c>
      <c r="Z60" s="3">
        <f t="shared" si="3"/>
        <v>0</v>
      </c>
      <c r="AA60" s="3">
        <f t="shared" si="3"/>
        <v>0</v>
      </c>
      <c r="AB60" s="3">
        <f t="shared" si="3"/>
        <v>0</v>
      </c>
      <c r="AC60" s="3">
        <f t="shared" si="3"/>
        <v>0</v>
      </c>
      <c r="AD60" s="3">
        <f t="shared" si="3"/>
        <v>606666.85</v>
      </c>
      <c r="AE60" s="3">
        <f t="shared" si="3"/>
        <v>0</v>
      </c>
      <c r="AF60" s="3">
        <f t="shared" si="3"/>
        <v>0</v>
      </c>
      <c r="AG60" s="3">
        <f t="shared" si="3"/>
        <v>0</v>
      </c>
      <c r="AH60" s="3">
        <f t="shared" si="3"/>
        <v>0</v>
      </c>
      <c r="AI60" s="3">
        <f t="shared" si="3"/>
        <v>0</v>
      </c>
      <c r="AJ60" s="3">
        <f t="shared" si="3"/>
        <v>0</v>
      </c>
      <c r="AK60" s="3">
        <f t="shared" si="3"/>
        <v>620675.85</v>
      </c>
    </row>
    <row r="61" spans="1:38" x14ac:dyDescent="0.35">
      <c r="A61" t="s">
        <v>8</v>
      </c>
      <c r="F61" s="3">
        <f>+F25+F3-F60</f>
        <v>802.77033613424283</v>
      </c>
      <c r="G61" s="3">
        <f t="shared" ref="G61:AJ61" si="4">+G3+G25-G60</f>
        <v>802.77033613424283</v>
      </c>
      <c r="H61" s="3">
        <f t="shared" si="4"/>
        <v>802.77033613424283</v>
      </c>
      <c r="I61" s="3">
        <f t="shared" si="4"/>
        <v>802.77033613424283</v>
      </c>
      <c r="J61" s="3">
        <f t="shared" si="4"/>
        <v>802.77033613424283</v>
      </c>
      <c r="K61" s="3">
        <f t="shared" si="4"/>
        <v>802.77033613424283</v>
      </c>
      <c r="L61" s="3">
        <f t="shared" si="4"/>
        <v>802.77033613424283</v>
      </c>
      <c r="M61" s="3">
        <f t="shared" si="4"/>
        <v>802.77033613424283</v>
      </c>
      <c r="N61" s="3">
        <f t="shared" si="4"/>
        <v>802.77033613424283</v>
      </c>
      <c r="O61" s="3">
        <f t="shared" si="4"/>
        <v>802.77033613424283</v>
      </c>
      <c r="P61" s="3">
        <f t="shared" si="4"/>
        <v>802.77033613424283</v>
      </c>
      <c r="Q61" s="3">
        <f t="shared" si="4"/>
        <v>802.77033613424283</v>
      </c>
      <c r="R61" s="3">
        <f t="shared" si="4"/>
        <v>802.77033613424283</v>
      </c>
      <c r="S61" s="3">
        <f t="shared" si="4"/>
        <v>13995.770336134243</v>
      </c>
      <c r="T61" s="3">
        <f t="shared" si="4"/>
        <v>986.77033613424283</v>
      </c>
      <c r="U61" s="3">
        <f t="shared" si="4"/>
        <v>986.77033613424283</v>
      </c>
      <c r="V61" s="3">
        <f t="shared" si="4"/>
        <v>986.77033613424283</v>
      </c>
      <c r="W61" s="3">
        <f t="shared" si="4"/>
        <v>986.77033613424283</v>
      </c>
      <c r="X61" s="3">
        <f t="shared" si="4"/>
        <v>986.77033613424283</v>
      </c>
      <c r="Y61" s="3">
        <f t="shared" si="4"/>
        <v>986.77033613424283</v>
      </c>
      <c r="Z61" s="3">
        <f t="shared" si="4"/>
        <v>986.77033613424283</v>
      </c>
      <c r="AA61" s="3">
        <f t="shared" si="4"/>
        <v>986.77033613424283</v>
      </c>
      <c r="AB61" s="3">
        <f t="shared" si="4"/>
        <v>986.77033613424283</v>
      </c>
      <c r="AC61" s="3">
        <f t="shared" si="4"/>
        <v>3000986.7703361344</v>
      </c>
      <c r="AD61" s="3">
        <f t="shared" si="4"/>
        <v>2394319.9203361343</v>
      </c>
      <c r="AE61" s="3">
        <f t="shared" si="4"/>
        <v>2394319.9203361343</v>
      </c>
      <c r="AF61" s="3">
        <f t="shared" si="4"/>
        <v>2394319.9203361343</v>
      </c>
      <c r="AG61" s="3">
        <f t="shared" si="4"/>
        <v>2394319.9203361343</v>
      </c>
      <c r="AH61" s="3" t="e">
        <f t="shared" si="4"/>
        <v>#VALUE!</v>
      </c>
      <c r="AI61" s="3" t="e">
        <f t="shared" si="4"/>
        <v>#VALUE!</v>
      </c>
      <c r="AJ61" s="3" t="e">
        <f t="shared" si="4"/>
        <v>#VALUE!</v>
      </c>
      <c r="AK61" s="3" t="s">
        <v>13</v>
      </c>
    </row>
    <row r="62" spans="1:38" x14ac:dyDescent="0.35">
      <c r="F62" s="3"/>
      <c r="G62" s="3"/>
      <c r="H62" s="3"/>
      <c r="I62" s="3" t="s">
        <v>13</v>
      </c>
      <c r="J62" s="3"/>
      <c r="K62" s="3"/>
      <c r="L62" s="3"/>
      <c r="M62" s="3"/>
      <c r="N62" s="3"/>
      <c r="O62" s="3"/>
      <c r="P62" s="3" t="s">
        <v>13</v>
      </c>
      <c r="Q62" s="3"/>
      <c r="R62" s="3"/>
      <c r="S62" s="3"/>
      <c r="T62" s="3" t="s">
        <v>13</v>
      </c>
      <c r="U62" s="3"/>
      <c r="V62" s="3"/>
      <c r="W62" s="3"/>
      <c r="Y62" s="3" t="s">
        <v>13</v>
      </c>
      <c r="AA62" s="3" t="s">
        <v>13</v>
      </c>
      <c r="AB62" s="3" t="s">
        <v>13</v>
      </c>
    </row>
    <row r="63" spans="1:38" x14ac:dyDescent="0.35">
      <c r="B63" t="s">
        <v>13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 t="s">
        <v>13</v>
      </c>
      <c r="Q63" s="3" t="s">
        <v>13</v>
      </c>
      <c r="R63" s="3" t="s">
        <v>13</v>
      </c>
      <c r="S63" s="3"/>
      <c r="T63" s="3"/>
      <c r="U63" s="3" t="s">
        <v>13</v>
      </c>
      <c r="V63" s="3"/>
      <c r="W63" s="3"/>
      <c r="AB63" s="3" t="s">
        <v>13</v>
      </c>
    </row>
    <row r="64" spans="1:38" x14ac:dyDescent="0.35"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S64" s="3"/>
      <c r="T64" s="3" t="s">
        <v>13</v>
      </c>
      <c r="U64" s="3"/>
      <c r="V64" s="3"/>
      <c r="W64" s="3"/>
      <c r="AB64" s="3" t="s">
        <v>13</v>
      </c>
    </row>
    <row r="65" spans="6:28" x14ac:dyDescent="0.35"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S65" s="3"/>
      <c r="T65" s="3"/>
      <c r="U65" s="3"/>
      <c r="V65" s="3"/>
      <c r="W65" s="3" t="s">
        <v>13</v>
      </c>
      <c r="AB65" s="3" t="s">
        <v>13</v>
      </c>
    </row>
    <row r="66" spans="6:28" x14ac:dyDescent="0.35"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AB66" s="3" t="s">
        <v>13</v>
      </c>
    </row>
    <row r="67" spans="6:28" x14ac:dyDescent="0.35"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AB67" s="3" t="s">
        <v>13</v>
      </c>
    </row>
    <row r="68" spans="6:28" x14ac:dyDescent="0.35">
      <c r="F68" s="3"/>
    </row>
    <row r="69" spans="6:28" x14ac:dyDescent="0.35">
      <c r="F69" s="3"/>
    </row>
    <row r="70" spans="6:28" x14ac:dyDescent="0.35">
      <c r="F70" s="3"/>
    </row>
    <row r="71" spans="6:28" x14ac:dyDescent="0.35">
      <c r="F71" s="3"/>
    </row>
    <row r="72" spans="6:28" x14ac:dyDescent="0.35">
      <c r="F72" s="3"/>
    </row>
    <row r="73" spans="6:28" x14ac:dyDescent="0.35">
      <c r="F73" s="3"/>
    </row>
  </sheetData>
  <sortState xmlns:xlrd2="http://schemas.microsoft.com/office/spreadsheetml/2017/richdata2" ref="A39:AL58">
    <sortCondition ref="C39:C58"/>
  </sortState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AL99"/>
  <sheetViews>
    <sheetView topLeftCell="A45" workbookViewId="0">
      <selection activeCell="A61" sqref="A61"/>
    </sheetView>
  </sheetViews>
  <sheetFormatPr baseColWidth="10" defaultColWidth="11.08984375" defaultRowHeight="14.5" x14ac:dyDescent="0.35"/>
  <cols>
    <col min="1" max="1" width="43.26953125" customWidth="1"/>
    <col min="2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44621</v>
      </c>
      <c r="G2" s="1">
        <v>44622</v>
      </c>
      <c r="H2" s="1">
        <v>44623</v>
      </c>
      <c r="I2" s="1">
        <v>44624</v>
      </c>
      <c r="J2" s="1">
        <v>44625</v>
      </c>
      <c r="K2" s="1">
        <v>44626</v>
      </c>
      <c r="L2" s="1">
        <v>44627</v>
      </c>
      <c r="M2" s="1">
        <v>44628</v>
      </c>
      <c r="N2" s="1">
        <v>44629</v>
      </c>
      <c r="O2" s="1">
        <v>44630</v>
      </c>
      <c r="P2" s="1">
        <v>44631</v>
      </c>
      <c r="Q2" s="1">
        <v>44632</v>
      </c>
      <c r="R2" s="1">
        <v>44633</v>
      </c>
      <c r="S2" s="1">
        <v>44634</v>
      </c>
      <c r="T2" s="1">
        <v>44635</v>
      </c>
      <c r="U2" s="1">
        <v>44636</v>
      </c>
      <c r="V2" s="1">
        <v>44637</v>
      </c>
      <c r="W2" s="1">
        <v>44638</v>
      </c>
      <c r="X2" s="1">
        <v>44639</v>
      </c>
      <c r="Y2" s="1">
        <v>44640</v>
      </c>
      <c r="Z2" s="1">
        <v>44641</v>
      </c>
      <c r="AA2" s="1">
        <v>44642</v>
      </c>
      <c r="AB2" s="1">
        <v>44643</v>
      </c>
      <c r="AC2" s="1">
        <v>44644</v>
      </c>
      <c r="AD2" s="1">
        <v>44645</v>
      </c>
      <c r="AE2" s="1">
        <v>44646</v>
      </c>
      <c r="AF2" s="1">
        <v>44647</v>
      </c>
      <c r="AG2" s="1">
        <v>44648</v>
      </c>
      <c r="AH2" s="1">
        <v>44649</v>
      </c>
      <c r="AI2" s="1">
        <v>44650</v>
      </c>
      <c r="AJ2" s="1">
        <v>44651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+'FEB-22'!AG61</f>
        <v>2394319.9203361343</v>
      </c>
      <c r="G3" s="3">
        <f t="shared" ref="G3:AG3" si="0">+F87</f>
        <v>1874902.9203361343</v>
      </c>
      <c r="H3" s="3">
        <f t="shared" si="0"/>
        <v>1652954.9203361343</v>
      </c>
      <c r="I3" s="3">
        <f t="shared" si="0"/>
        <v>1652954.9203361343</v>
      </c>
      <c r="J3" s="3">
        <f t="shared" si="0"/>
        <v>1206470.9203361343</v>
      </c>
      <c r="K3" s="3">
        <f t="shared" si="0"/>
        <v>1206470.9203361343</v>
      </c>
      <c r="L3" s="3">
        <f t="shared" si="0"/>
        <v>1206470.9203361343</v>
      </c>
      <c r="M3" s="3">
        <f t="shared" si="0"/>
        <v>942565.92033613427</v>
      </c>
      <c r="N3" s="3">
        <f t="shared" si="0"/>
        <v>942565.92033613427</v>
      </c>
      <c r="O3" s="3">
        <f t="shared" si="0"/>
        <v>942565.92033613427</v>
      </c>
      <c r="P3" s="3">
        <f t="shared" si="0"/>
        <v>942146.92033613427</v>
      </c>
      <c r="Q3" s="3">
        <f t="shared" si="0"/>
        <v>942146.92033613427</v>
      </c>
      <c r="R3" s="3">
        <f t="shared" si="0"/>
        <v>942146.92033613427</v>
      </c>
      <c r="S3" s="3">
        <f t="shared" si="0"/>
        <v>942146.92033613427</v>
      </c>
      <c r="T3" s="3">
        <f t="shared" si="0"/>
        <v>805192.92033613427</v>
      </c>
      <c r="U3" s="3">
        <f t="shared" si="0"/>
        <v>1233402.9203361343</v>
      </c>
      <c r="V3" s="3">
        <f t="shared" si="0"/>
        <v>1233402.9203361343</v>
      </c>
      <c r="W3" s="3">
        <f t="shared" si="0"/>
        <v>763036.92033613427</v>
      </c>
      <c r="X3" s="3">
        <f t="shared" si="0"/>
        <v>741616.92033613427</v>
      </c>
      <c r="Y3" s="3">
        <f t="shared" si="0"/>
        <v>741616.92033613427</v>
      </c>
      <c r="Z3" s="3">
        <f t="shared" si="0"/>
        <v>741616.92033613427</v>
      </c>
      <c r="AA3" s="3">
        <f t="shared" si="0"/>
        <v>623548.58700280089</v>
      </c>
      <c r="AB3" s="3">
        <f t="shared" si="0"/>
        <v>623548.58700280089</v>
      </c>
      <c r="AC3" s="3">
        <f t="shared" si="0"/>
        <v>623548.58700280089</v>
      </c>
      <c r="AD3" s="3">
        <f t="shared" si="0"/>
        <v>623548.58700280089</v>
      </c>
      <c r="AE3" s="3">
        <f t="shared" si="0"/>
        <v>623548.58700280089</v>
      </c>
      <c r="AF3" s="3">
        <f t="shared" si="0"/>
        <v>623548.58700280089</v>
      </c>
      <c r="AG3" s="3">
        <f t="shared" si="0"/>
        <v>623548.58700280089</v>
      </c>
      <c r="AH3" s="3">
        <f>+AG87</f>
        <v>175353.58700280089</v>
      </c>
      <c r="AI3" s="3">
        <f>+AH87</f>
        <v>128360.58700280089</v>
      </c>
      <c r="AJ3" s="3">
        <f>+AI87</f>
        <v>128360.58700280089</v>
      </c>
      <c r="AK3" s="3" t="s">
        <v>13</v>
      </c>
      <c r="AL3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t="s">
        <v>13</v>
      </c>
    </row>
    <row r="5" spans="1:38" x14ac:dyDescent="0.35">
      <c r="A5" t="s">
        <v>203</v>
      </c>
      <c r="B5" t="s">
        <v>58</v>
      </c>
      <c r="C5" s="5">
        <v>43866</v>
      </c>
      <c r="D5" s="3">
        <v>33728</v>
      </c>
      <c r="E5" t="s">
        <v>13</v>
      </c>
      <c r="F5" s="3"/>
      <c r="G5" s="3"/>
      <c r="H5" s="3"/>
      <c r="I5" s="3"/>
      <c r="J5" s="3" t="s">
        <v>13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>
        <v>33728</v>
      </c>
      <c r="AK5" s="3">
        <f>SUM($F5:AJ5)</f>
        <v>33728</v>
      </c>
      <c r="AL5" s="3" t="s">
        <v>13</v>
      </c>
    </row>
    <row r="6" spans="1:38" x14ac:dyDescent="0.35">
      <c r="A6" t="s">
        <v>207</v>
      </c>
      <c r="B6" t="s">
        <v>208</v>
      </c>
      <c r="C6" s="5">
        <v>43876</v>
      </c>
      <c r="D6" s="3">
        <v>160200</v>
      </c>
      <c r="E6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s">
        <v>13</v>
      </c>
      <c r="T6" s="3" t="s">
        <v>13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>
        <v>160200</v>
      </c>
      <c r="AK6" s="3">
        <f>SUM($F6:AJ6)</f>
        <v>160200</v>
      </c>
      <c r="AL6" s="3" t="s">
        <v>13</v>
      </c>
    </row>
    <row r="7" spans="1:38" x14ac:dyDescent="0.35">
      <c r="A7" t="s">
        <v>235</v>
      </c>
      <c r="B7" t="s">
        <v>234</v>
      </c>
      <c r="C7" s="5">
        <v>43882</v>
      </c>
      <c r="D7" s="3">
        <v>160200</v>
      </c>
      <c r="E7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13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 t="s">
        <v>13</v>
      </c>
      <c r="AK7" s="3">
        <f>SUM($F7:AJ7)</f>
        <v>0</v>
      </c>
      <c r="AL7" s="3" t="s">
        <v>13</v>
      </c>
    </row>
    <row r="8" spans="1:38" x14ac:dyDescent="0.35">
      <c r="A8" t="s">
        <v>242</v>
      </c>
      <c r="B8" t="s">
        <v>243</v>
      </c>
      <c r="C8" s="5">
        <v>43889</v>
      </c>
      <c r="D8" s="3">
        <v>160200</v>
      </c>
      <c r="E8" t="s">
        <v>13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13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0</v>
      </c>
      <c r="AL8" s="3" t="s">
        <v>13</v>
      </c>
    </row>
    <row r="9" spans="1:38" x14ac:dyDescent="0.35">
      <c r="A9" t="s">
        <v>244</v>
      </c>
      <c r="B9" t="s">
        <v>245</v>
      </c>
      <c r="C9" s="5">
        <v>43892</v>
      </c>
      <c r="D9" s="3">
        <f>28475.41*1.19</f>
        <v>33885.7379</v>
      </c>
      <c r="E9" t="s">
        <v>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 t="s">
        <v>13</v>
      </c>
      <c r="U9" s="3"/>
      <c r="V9" s="3"/>
      <c r="W9" s="3"/>
      <c r="X9" s="3"/>
      <c r="Y9" s="3"/>
      <c r="Z9" s="3"/>
      <c r="AA9" s="3"/>
      <c r="AB9" s="3"/>
      <c r="AC9" s="3" t="s">
        <v>13</v>
      </c>
      <c r="AD9" s="3"/>
      <c r="AE9" s="3"/>
      <c r="AF9" s="3"/>
      <c r="AG9" s="3"/>
      <c r="AH9" s="3"/>
      <c r="AI9" s="3"/>
      <c r="AJ9" s="3">
        <v>33886</v>
      </c>
      <c r="AK9" s="3">
        <f>SUM($F9:AJ9)</f>
        <v>33886</v>
      </c>
      <c r="AL9" s="3" t="s">
        <v>13</v>
      </c>
    </row>
    <row r="10" spans="1:38" x14ac:dyDescent="0.35">
      <c r="A10" t="s">
        <v>299</v>
      </c>
      <c r="B10" t="s">
        <v>300</v>
      </c>
      <c r="C10" s="5">
        <v>43904</v>
      </c>
      <c r="D10" s="3">
        <v>160200</v>
      </c>
      <c r="E10" t="s">
        <v>13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s">
        <v>13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SUM($F10:AJ10)</f>
        <v>0</v>
      </c>
      <c r="AL10" s="3" t="s">
        <v>13</v>
      </c>
    </row>
    <row r="11" spans="1:38" x14ac:dyDescent="0.35">
      <c r="A11" t="s">
        <v>890</v>
      </c>
      <c r="B11" t="s">
        <v>882</v>
      </c>
      <c r="C11" s="5">
        <v>44616</v>
      </c>
      <c r="D11" s="3">
        <v>85642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f>SUM($F11:AJ11)</f>
        <v>0</v>
      </c>
      <c r="AL11" s="3"/>
    </row>
    <row r="12" spans="1:38" x14ac:dyDescent="0.35">
      <c r="A12" t="s">
        <v>891</v>
      </c>
      <c r="B12" t="s">
        <v>889</v>
      </c>
      <c r="C12" s="5">
        <v>44616</v>
      </c>
      <c r="D12" s="3">
        <v>-85642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f>SUM($F12:AJ12)</f>
        <v>0</v>
      </c>
      <c r="AL12" s="3"/>
    </row>
    <row r="13" spans="1:38" x14ac:dyDescent="0.35">
      <c r="A13" t="s">
        <v>892</v>
      </c>
      <c r="B13" t="s">
        <v>883</v>
      </c>
      <c r="C13" s="5">
        <v>44616</v>
      </c>
      <c r="D13" s="3">
        <v>85642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>
        <v>85642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f>SUM($F13:AJ13)</f>
        <v>85642</v>
      </c>
      <c r="AL13" s="3"/>
    </row>
    <row r="14" spans="1:38" x14ac:dyDescent="0.35">
      <c r="A14" t="s">
        <v>893</v>
      </c>
      <c r="B14" t="s">
        <v>884</v>
      </c>
      <c r="C14" s="5">
        <v>44616</v>
      </c>
      <c r="D14" s="3">
        <v>85642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>
        <v>85642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f>SUM($F14:AJ14)</f>
        <v>85642</v>
      </c>
      <c r="AL14" s="3"/>
    </row>
    <row r="15" spans="1:38" x14ac:dyDescent="0.35">
      <c r="A15" t="s">
        <v>894</v>
      </c>
      <c r="B15" t="s">
        <v>885</v>
      </c>
      <c r="C15" s="5">
        <v>44617</v>
      </c>
      <c r="D15" s="3">
        <v>85642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>
        <v>85642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f>SUM($F15:AJ15)</f>
        <v>85642</v>
      </c>
      <c r="AL15" s="3"/>
    </row>
    <row r="16" spans="1:38" x14ac:dyDescent="0.35">
      <c r="A16" t="s">
        <v>895</v>
      </c>
      <c r="B16" t="s">
        <v>886</v>
      </c>
      <c r="C16" s="5">
        <v>44618</v>
      </c>
      <c r="D16" s="3">
        <v>56708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f>SUM($F16:AJ16)</f>
        <v>0</v>
      </c>
      <c r="AL16" s="3"/>
    </row>
    <row r="17" spans="1:38" x14ac:dyDescent="0.35">
      <c r="A17" t="s">
        <v>896</v>
      </c>
      <c r="B17" t="s">
        <v>887</v>
      </c>
      <c r="C17" s="5">
        <v>44618</v>
      </c>
      <c r="D17" s="3">
        <v>85642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>
        <v>85642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f>SUM($F17:AJ17)</f>
        <v>85642</v>
      </c>
      <c r="AL17" s="3"/>
    </row>
    <row r="18" spans="1:38" x14ac:dyDescent="0.35">
      <c r="A18" t="s">
        <v>897</v>
      </c>
      <c r="B18" t="s">
        <v>888</v>
      </c>
      <c r="C18" s="5">
        <v>44621</v>
      </c>
      <c r="D18" s="3">
        <v>85642</v>
      </c>
      <c r="E18" s="6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>
        <v>85642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f>SUM($F18:AJ18)</f>
        <v>85642</v>
      </c>
      <c r="AL18" s="3"/>
    </row>
    <row r="19" spans="1:38" x14ac:dyDescent="0.35">
      <c r="A19" t="s">
        <v>928</v>
      </c>
      <c r="B19" t="s">
        <v>923</v>
      </c>
      <c r="C19" s="5">
        <v>44639</v>
      </c>
      <c r="D19" s="3">
        <v>85642</v>
      </c>
      <c r="E19" s="6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>
        <v>85642</v>
      </c>
      <c r="AH19" s="3"/>
      <c r="AI19" s="3"/>
      <c r="AJ19" s="3"/>
      <c r="AK19" s="3">
        <f>SUM($F19:AJ19)</f>
        <v>85642</v>
      </c>
      <c r="AL19" s="3"/>
    </row>
    <row r="20" spans="1:38" x14ac:dyDescent="0.35">
      <c r="A20" t="s">
        <v>927</v>
      </c>
      <c r="B20" t="s">
        <v>924</v>
      </c>
      <c r="C20" s="5">
        <v>44639</v>
      </c>
      <c r="D20" s="3">
        <v>85642</v>
      </c>
      <c r="E20" s="6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85642</v>
      </c>
      <c r="AH20" s="3"/>
      <c r="AI20" s="3"/>
      <c r="AJ20" s="3"/>
      <c r="AK20" s="3">
        <f>SUM($F20:AJ20)</f>
        <v>85642</v>
      </c>
      <c r="AL20" s="3"/>
    </row>
    <row r="21" spans="1:38" x14ac:dyDescent="0.35">
      <c r="A21" t="s">
        <v>929</v>
      </c>
      <c r="B21" t="s">
        <v>925</v>
      </c>
      <c r="C21" s="5">
        <v>44648</v>
      </c>
      <c r="D21" s="3">
        <v>85642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f>SUM($F21:AJ21)</f>
        <v>0</v>
      </c>
      <c r="AL21" s="3"/>
    </row>
    <row r="22" spans="1:38" x14ac:dyDescent="0.35">
      <c r="A22" t="s">
        <v>930</v>
      </c>
      <c r="B22" t="s">
        <v>926</v>
      </c>
      <c r="C22" s="5">
        <v>44648</v>
      </c>
      <c r="D22" s="3">
        <v>85642</v>
      </c>
      <c r="E22" s="6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f>SUM($F22:AJ22)</f>
        <v>0</v>
      </c>
      <c r="AL22" s="3"/>
    </row>
    <row r="23" spans="1:38" x14ac:dyDescent="0.35">
      <c r="A23" t="s">
        <v>945</v>
      </c>
      <c r="B23" t="s">
        <v>940</v>
      </c>
      <c r="C23" s="5">
        <v>44650</v>
      </c>
      <c r="D23" s="3">
        <v>85642</v>
      </c>
      <c r="E23" s="6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f>SUM($F23:AJ23)</f>
        <v>0</v>
      </c>
      <c r="AL23" s="3"/>
    </row>
    <row r="24" spans="1:38" x14ac:dyDescent="0.35">
      <c r="A24" t="s">
        <v>345</v>
      </c>
      <c r="B24" t="s">
        <v>344</v>
      </c>
      <c r="C24" s="5" t="s">
        <v>13</v>
      </c>
      <c r="D24" s="3">
        <v>0</v>
      </c>
      <c r="E24" t="s">
        <v>382</v>
      </c>
      <c r="F24" s="3" t="s">
        <v>13</v>
      </c>
      <c r="G24" s="3"/>
      <c r="H24" s="3"/>
      <c r="I24" s="3"/>
      <c r="J24" s="3" t="s">
        <v>13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f>SUM($F24:AJ24)</f>
        <v>0</v>
      </c>
      <c r="AL24" s="3" t="s">
        <v>13</v>
      </c>
    </row>
    <row r="25" spans="1:38" s="237" customFormat="1" x14ac:dyDescent="0.35">
      <c r="A25" s="237" t="s">
        <v>385</v>
      </c>
      <c r="C25" s="5">
        <v>43980</v>
      </c>
      <c r="D25" s="237">
        <v>10465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 t="s">
        <v>13</v>
      </c>
      <c r="AH25" s="3"/>
      <c r="AI25" s="3"/>
      <c r="AJ25" s="3"/>
      <c r="AK25" s="3">
        <f>SUM($F25:AJ25)</f>
        <v>0</v>
      </c>
    </row>
    <row r="26" spans="1:38" x14ac:dyDescent="0.35">
      <c r="D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f>SUM($F26:AJ26)</f>
        <v>0</v>
      </c>
    </row>
    <row r="27" spans="1:38" x14ac:dyDescent="0.35">
      <c r="A27" t="s">
        <v>13</v>
      </c>
      <c r="F27" s="3"/>
      <c r="G27" s="3" t="s">
        <v>13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f>SUM($F27:AJ27)</f>
        <v>0</v>
      </c>
    </row>
    <row r="28" spans="1:38" x14ac:dyDescent="0.3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AK28" s="72">
        <f>SUM(AK5:AK27)</f>
        <v>827308</v>
      </c>
    </row>
    <row r="29" spans="1:38" x14ac:dyDescent="0.35">
      <c r="A29" s="2" t="s">
        <v>6</v>
      </c>
      <c r="F29" s="3">
        <f t="shared" ref="F29:AG29" si="1">SUM(F5:F28)</f>
        <v>0</v>
      </c>
      <c r="G29" s="3">
        <f t="shared" si="1"/>
        <v>0</v>
      </c>
      <c r="H29" s="3">
        <f t="shared" si="1"/>
        <v>0</v>
      </c>
      <c r="I29" s="3">
        <f t="shared" si="1"/>
        <v>0</v>
      </c>
      <c r="J29" s="3">
        <f t="shared" si="1"/>
        <v>0</v>
      </c>
      <c r="K29" s="3">
        <f t="shared" si="1"/>
        <v>0</v>
      </c>
      <c r="L29" s="3">
        <f t="shared" si="1"/>
        <v>0</v>
      </c>
      <c r="M29" s="3">
        <f t="shared" si="1"/>
        <v>0</v>
      </c>
      <c r="N29" s="3">
        <f t="shared" si="1"/>
        <v>0</v>
      </c>
      <c r="O29" s="3">
        <f t="shared" si="1"/>
        <v>0</v>
      </c>
      <c r="P29" s="3">
        <f t="shared" si="1"/>
        <v>0</v>
      </c>
      <c r="Q29" s="3">
        <f t="shared" si="1"/>
        <v>0</v>
      </c>
      <c r="R29" s="3">
        <f t="shared" si="1"/>
        <v>0</v>
      </c>
      <c r="S29" s="3">
        <f t="shared" si="1"/>
        <v>0</v>
      </c>
      <c r="T29" s="3">
        <f t="shared" si="1"/>
        <v>428210</v>
      </c>
      <c r="U29" s="3">
        <f t="shared" si="1"/>
        <v>0</v>
      </c>
      <c r="V29" s="3">
        <f t="shared" si="1"/>
        <v>0</v>
      </c>
      <c r="W29" s="3">
        <f t="shared" si="1"/>
        <v>0</v>
      </c>
      <c r="X29" s="3">
        <f t="shared" si="1"/>
        <v>0</v>
      </c>
      <c r="Y29" s="3">
        <f t="shared" si="1"/>
        <v>0</v>
      </c>
      <c r="Z29" s="3">
        <f t="shared" si="1"/>
        <v>0</v>
      </c>
      <c r="AA29" s="3">
        <f t="shared" si="1"/>
        <v>0</v>
      </c>
      <c r="AB29" s="3">
        <f t="shared" si="1"/>
        <v>0</v>
      </c>
      <c r="AC29" s="3">
        <f t="shared" si="1"/>
        <v>0</v>
      </c>
      <c r="AD29" s="3">
        <f t="shared" si="1"/>
        <v>0</v>
      </c>
      <c r="AE29" s="3">
        <f t="shared" si="1"/>
        <v>0</v>
      </c>
      <c r="AF29" s="3">
        <f t="shared" si="1"/>
        <v>0</v>
      </c>
      <c r="AG29" s="3">
        <f t="shared" si="1"/>
        <v>171284</v>
      </c>
      <c r="AH29" s="3">
        <f>SUM(AH5:AH28)</f>
        <v>0</v>
      </c>
      <c r="AI29" s="3">
        <f>SUM(AI5:AI28)</f>
        <v>0</v>
      </c>
      <c r="AJ29" s="3">
        <f>SUM(AJ5:AJ28)</f>
        <v>227814</v>
      </c>
    </row>
    <row r="30" spans="1:38" x14ac:dyDescent="0.35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8" x14ac:dyDescent="0.35">
      <c r="A31" s="2" t="s">
        <v>2</v>
      </c>
      <c r="F31" s="3"/>
      <c r="G31" s="3"/>
      <c r="H31" s="3"/>
      <c r="I31" s="3"/>
      <c r="J31" s="3"/>
      <c r="K31" s="3"/>
      <c r="L31" s="3" t="s">
        <v>13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8" x14ac:dyDescent="0.35">
      <c r="A32" s="4" t="s">
        <v>913</v>
      </c>
      <c r="B32" s="24" t="s">
        <v>912</v>
      </c>
      <c r="C32" s="67"/>
      <c r="D32" s="3">
        <v>250000</v>
      </c>
      <c r="F32" s="3"/>
      <c r="G32" s="3"/>
      <c r="H32" s="3"/>
      <c r="I32" s="3"/>
      <c r="J32" s="3" t="s">
        <v>13</v>
      </c>
      <c r="K32" s="3"/>
      <c r="L32" s="3">
        <v>250000</v>
      </c>
      <c r="M32" s="3"/>
      <c r="N32" s="3"/>
      <c r="O32" s="3"/>
      <c r="P32" s="3"/>
      <c r="Q32" s="3"/>
      <c r="R32" s="3"/>
      <c r="S32" s="3"/>
      <c r="T32" s="3"/>
      <c r="U32" s="3"/>
      <c r="V32" s="3" t="s">
        <v>13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250000</v>
      </c>
      <c r="AL32" t="s">
        <v>81</v>
      </c>
    </row>
    <row r="33" spans="1:38" x14ac:dyDescent="0.35">
      <c r="A33" s="4" t="s">
        <v>494</v>
      </c>
      <c r="B33" s="24" t="s">
        <v>337</v>
      </c>
      <c r="C33" s="67"/>
      <c r="D33" s="3">
        <v>500000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0</v>
      </c>
    </row>
    <row r="34" spans="1:38" x14ac:dyDescent="0.35">
      <c r="A34" s="4" t="s">
        <v>495</v>
      </c>
      <c r="B34" s="24" t="s">
        <v>337</v>
      </c>
      <c r="C34" s="67"/>
      <c r="D34" s="3">
        <v>500000</v>
      </c>
      <c r="F34" s="3"/>
      <c r="G34" s="3"/>
      <c r="H34" s="3"/>
      <c r="I34" s="3"/>
      <c r="J34" s="3"/>
      <c r="K34" s="3"/>
      <c r="L34" s="3"/>
      <c r="M34" s="3" t="s">
        <v>13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0</v>
      </c>
    </row>
    <row r="35" spans="1:38" x14ac:dyDescent="0.35">
      <c r="A35" s="4" t="s">
        <v>541</v>
      </c>
      <c r="B35" s="24" t="s">
        <v>337</v>
      </c>
      <c r="C35" s="67"/>
      <c r="D35" s="3">
        <v>500000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0</v>
      </c>
    </row>
    <row r="36" spans="1:38" x14ac:dyDescent="0.35">
      <c r="A36" s="4" t="s">
        <v>576</v>
      </c>
      <c r="B36" s="24" t="s">
        <v>337</v>
      </c>
      <c r="C36" s="67"/>
      <c r="D36" s="3">
        <v>500000</v>
      </c>
      <c r="F36" s="3"/>
      <c r="G36" s="3"/>
      <c r="H36" s="3" t="s">
        <v>13</v>
      </c>
      <c r="I36" s="3" t="s">
        <v>13</v>
      </c>
      <c r="J36" s="3" t="s">
        <v>13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0</v>
      </c>
    </row>
    <row r="37" spans="1:38" x14ac:dyDescent="0.35">
      <c r="A37" s="4" t="s">
        <v>629</v>
      </c>
      <c r="B37" s="24" t="s">
        <v>337</v>
      </c>
      <c r="C37" s="67"/>
      <c r="D37" s="3">
        <v>500000</v>
      </c>
      <c r="F37" s="3"/>
      <c r="G37" s="3"/>
      <c r="H37" s="3"/>
      <c r="I37" s="3"/>
      <c r="J37" s="3" t="s">
        <v>13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0</v>
      </c>
    </row>
    <row r="38" spans="1:38" x14ac:dyDescent="0.35">
      <c r="A38" s="4" t="s">
        <v>646</v>
      </c>
      <c r="B38" s="24" t="s">
        <v>337</v>
      </c>
      <c r="C38" s="67"/>
      <c r="D38" s="3">
        <v>250000</v>
      </c>
      <c r="F38" s="3"/>
      <c r="G38" s="3"/>
      <c r="H38" s="3" t="s">
        <v>13</v>
      </c>
      <c r="I38" s="3"/>
      <c r="J38" s="3" t="s">
        <v>13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0</v>
      </c>
    </row>
    <row r="39" spans="1:38" x14ac:dyDescent="0.35">
      <c r="A39" t="s">
        <v>1136</v>
      </c>
      <c r="B39" t="s">
        <v>337</v>
      </c>
      <c r="C39" s="5" t="s">
        <v>13</v>
      </c>
      <c r="D39" s="3">
        <f ca="1">+'MAR-21'!AK19*0.17+('ABR-21'!AJ18+'MAY-21'!AK14+'JUN-21'!AK14+'JUL-21'!AK28+'AGO-21'!AK22+'SEP-21'!AK14+'OCT-21'!AK19)*0.17</f>
        <v>309430.03333333333</v>
      </c>
      <c r="F39" s="3"/>
      <c r="G39" s="3" t="s">
        <v>13</v>
      </c>
      <c r="H39" s="3" t="s">
        <v>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</row>
    <row r="40" spans="1:38" x14ac:dyDescent="0.35">
      <c r="A40" t="s">
        <v>1135</v>
      </c>
      <c r="B40" t="s">
        <v>337</v>
      </c>
      <c r="C40" s="5" t="s">
        <v>13</v>
      </c>
      <c r="D40" s="3">
        <f>AK28*0.17</f>
        <v>140642.36000000002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</row>
    <row r="41" spans="1:38" x14ac:dyDescent="0.35">
      <c r="A41" s="4" t="s">
        <v>952</v>
      </c>
      <c r="C41" s="5"/>
      <c r="D41" s="3">
        <f>600000*4</f>
        <v>2400000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</row>
    <row r="42" spans="1:38" x14ac:dyDescent="0.35">
      <c r="A42" s="4" t="s">
        <v>955</v>
      </c>
      <c r="C42" s="5"/>
      <c r="D42" s="3">
        <f>600000*3</f>
        <v>1800000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0</v>
      </c>
    </row>
    <row r="43" spans="1:38" x14ac:dyDescent="0.35">
      <c r="A43" s="4" t="s">
        <v>603</v>
      </c>
      <c r="B43" s="24" t="s">
        <v>245</v>
      </c>
      <c r="C43" s="67">
        <v>44235</v>
      </c>
      <c r="D43" s="3">
        <f>-'MAR-21'!$H$45+870366</f>
        <v>470366</v>
      </c>
      <c r="E43" s="153" t="s">
        <v>13</v>
      </c>
      <c r="F43" s="3"/>
      <c r="G43" s="3" t="s">
        <v>13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>
        <f>-'MAR-21'!$H$45+870366</f>
        <v>470366</v>
      </c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470366</v>
      </c>
      <c r="AL43" t="s">
        <v>83</v>
      </c>
    </row>
    <row r="44" spans="1:38" x14ac:dyDescent="0.35">
      <c r="A44" s="4" t="s">
        <v>859</v>
      </c>
      <c r="B44" s="24"/>
      <c r="C44" s="67">
        <v>44609</v>
      </c>
      <c r="D44" s="3">
        <v>26000</v>
      </c>
      <c r="E44" s="153" t="s">
        <v>836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Z44" s="3">
        <v>26000</v>
      </c>
      <c r="AK44" s="3">
        <f>SUM($F44:AJ44)</f>
        <v>26000</v>
      </c>
      <c r="AL44" s="3" t="s">
        <v>81</v>
      </c>
    </row>
    <row r="45" spans="1:38" x14ac:dyDescent="0.35">
      <c r="A45" s="4" t="s">
        <v>865</v>
      </c>
      <c r="B45" s="24" t="s">
        <v>864</v>
      </c>
      <c r="C45" s="67">
        <v>44615</v>
      </c>
      <c r="D45" s="3">
        <v>446484</v>
      </c>
      <c r="E45" s="153"/>
      <c r="F45" s="3"/>
      <c r="G45" s="3"/>
      <c r="H45" s="3"/>
      <c r="I45" s="3">
        <v>446484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K45" s="3">
        <f>SUM($F45:AJ45)</f>
        <v>446484</v>
      </c>
      <c r="AL45" s="3" t="s">
        <v>82</v>
      </c>
    </row>
    <row r="46" spans="1:38" x14ac:dyDescent="0.35">
      <c r="A46" s="4" t="s">
        <v>855</v>
      </c>
      <c r="B46" s="24" t="s">
        <v>856</v>
      </c>
      <c r="C46" s="67">
        <v>44618</v>
      </c>
      <c r="D46" s="3">
        <v>10430</v>
      </c>
      <c r="E46" s="153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10430</v>
      </c>
      <c r="AA46" s="3"/>
      <c r="AB46" s="3"/>
      <c r="AC46" s="3"/>
      <c r="AD46" s="3"/>
      <c r="AE46" s="3" t="s">
        <v>13</v>
      </c>
      <c r="AF46" s="3"/>
      <c r="AG46" s="3"/>
      <c r="AH46" s="3"/>
      <c r="AI46" s="3"/>
      <c r="AJ46" s="3"/>
      <c r="AK46" s="3">
        <f>SUM($F46:AJ46)</f>
        <v>10430</v>
      </c>
      <c r="AL46" s="3" t="s">
        <v>83</v>
      </c>
    </row>
    <row r="47" spans="1:38" x14ac:dyDescent="0.35">
      <c r="A47" s="4" t="s">
        <v>857</v>
      </c>
      <c r="B47" s="24"/>
      <c r="C47" s="67">
        <v>44618</v>
      </c>
      <c r="D47" s="3">
        <f>12.9*1050/9+2000</f>
        <v>3505</v>
      </c>
      <c r="E47" s="153" t="s">
        <v>13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f>12.9*1050/9+2000</f>
        <v>3505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f>SUM($F47:AJ47)</f>
        <v>3505</v>
      </c>
      <c r="AL47" s="3" t="s">
        <v>81</v>
      </c>
    </row>
    <row r="48" spans="1:38" x14ac:dyDescent="0.35">
      <c r="A48" s="4" t="s">
        <v>858</v>
      </c>
      <c r="B48" s="24"/>
      <c r="C48" s="67">
        <v>44618</v>
      </c>
      <c r="D48" s="3">
        <v>2600</v>
      </c>
      <c r="E48" s="153" t="s">
        <v>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2600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2600</v>
      </c>
      <c r="AL48" s="3" t="s">
        <v>81</v>
      </c>
    </row>
    <row r="49" spans="1:38" x14ac:dyDescent="0.35">
      <c r="A49" t="s">
        <v>860</v>
      </c>
      <c r="B49" s="24"/>
      <c r="C49" s="67">
        <v>44621</v>
      </c>
      <c r="D49" s="3">
        <v>68151</v>
      </c>
      <c r="E49" s="153" t="s">
        <v>863</v>
      </c>
      <c r="F49" s="3">
        <v>68151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K49" s="3">
        <f>SUM($F49:AJ49)</f>
        <v>68151</v>
      </c>
      <c r="AL49" s="3" t="s">
        <v>81</v>
      </c>
    </row>
    <row r="50" spans="1:38" x14ac:dyDescent="0.35">
      <c r="A50" t="s">
        <v>861</v>
      </c>
      <c r="B50" s="24"/>
      <c r="C50" s="67">
        <v>44621</v>
      </c>
      <c r="D50" s="3">
        <v>109301</v>
      </c>
      <c r="E50" s="153" t="s">
        <v>863</v>
      </c>
      <c r="F50" s="3">
        <v>109301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K50" s="3">
        <f>SUM($F50:AJ50)</f>
        <v>109301</v>
      </c>
      <c r="AL50" s="3" t="s">
        <v>81</v>
      </c>
    </row>
    <row r="51" spans="1:38" x14ac:dyDescent="0.35">
      <c r="A51" t="s">
        <v>861</v>
      </c>
      <c r="B51" s="24"/>
      <c r="C51" s="67">
        <v>44621</v>
      </c>
      <c r="D51" s="3">
        <v>106392</v>
      </c>
      <c r="E51" s="153" t="s">
        <v>863</v>
      </c>
      <c r="F51" s="3">
        <v>106392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AK51" s="3">
        <f>SUM($F51:AJ51)</f>
        <v>106392</v>
      </c>
      <c r="AL51" s="3" t="s">
        <v>81</v>
      </c>
    </row>
    <row r="52" spans="1:38" x14ac:dyDescent="0.35">
      <c r="A52" t="s">
        <v>861</v>
      </c>
      <c r="B52" s="24"/>
      <c r="C52" s="67">
        <v>44621</v>
      </c>
      <c r="D52" s="3">
        <v>103286</v>
      </c>
      <c r="E52" s="153" t="s">
        <v>863</v>
      </c>
      <c r="F52" s="3">
        <v>103286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  <c r="AK52" s="3">
        <f>SUM($F52:AJ52)</f>
        <v>103286</v>
      </c>
      <c r="AL52" s="3" t="s">
        <v>81</v>
      </c>
    </row>
    <row r="53" spans="1:38" x14ac:dyDescent="0.35">
      <c r="A53" t="s">
        <v>860</v>
      </c>
      <c r="B53" s="24"/>
      <c r="C53" s="67">
        <v>44621</v>
      </c>
      <c r="D53" s="3">
        <v>65434</v>
      </c>
      <c r="E53" s="153" t="s">
        <v>863</v>
      </c>
      <c r="F53" s="3">
        <v>65434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AK53" s="3">
        <f>SUM($F53:AJ53)</f>
        <v>65434</v>
      </c>
      <c r="AL53" s="3" t="s">
        <v>81</v>
      </c>
    </row>
    <row r="54" spans="1:38" x14ac:dyDescent="0.35">
      <c r="A54" t="s">
        <v>860</v>
      </c>
      <c r="B54" s="24"/>
      <c r="C54" s="67">
        <v>44621</v>
      </c>
      <c r="D54" s="3">
        <v>66853</v>
      </c>
      <c r="E54" s="153" t="s">
        <v>863</v>
      </c>
      <c r="F54" s="3">
        <v>66853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AK54" s="3">
        <f>SUM($F54:AJ54)</f>
        <v>66853</v>
      </c>
      <c r="AL54" s="3" t="s">
        <v>81</v>
      </c>
    </row>
    <row r="55" spans="1:38" x14ac:dyDescent="0.35">
      <c r="A55" s="4" t="s">
        <v>862</v>
      </c>
      <c r="B55" s="24"/>
      <c r="C55" s="67">
        <v>44621</v>
      </c>
      <c r="D55" s="3">
        <v>58000</v>
      </c>
      <c r="E55" s="153"/>
      <c r="F55" s="3"/>
      <c r="G55" s="3">
        <v>58000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AK55" s="3">
        <f>SUM($F55:AJ55)</f>
        <v>58000</v>
      </c>
      <c r="AL55" s="3" t="s">
        <v>81</v>
      </c>
    </row>
    <row r="56" spans="1:38" x14ac:dyDescent="0.35">
      <c r="A56" s="4" t="s">
        <v>857</v>
      </c>
      <c r="B56" s="24"/>
      <c r="C56" s="67">
        <v>44621</v>
      </c>
      <c r="D56" s="3">
        <f>12.9*1050/9+2000</f>
        <v>3505</v>
      </c>
      <c r="E56" s="153"/>
      <c r="F56" s="3"/>
      <c r="G56" s="3"/>
      <c r="H56" s="3"/>
      <c r="I56" s="3"/>
      <c r="J56" s="328" t="s">
        <v>13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Z56" s="3">
        <f>12.9*1050/9+2000</f>
        <v>3505</v>
      </c>
      <c r="AK56" s="3">
        <f>SUM($F56:AJ56)</f>
        <v>3505</v>
      </c>
      <c r="AL56" s="3" t="s">
        <v>81</v>
      </c>
    </row>
    <row r="57" spans="1:38" x14ac:dyDescent="0.35">
      <c r="A57" s="4" t="s">
        <v>858</v>
      </c>
      <c r="B57" s="24"/>
      <c r="C57" s="67">
        <v>44621</v>
      </c>
      <c r="D57" s="3">
        <f>1700+1900</f>
        <v>3600</v>
      </c>
      <c r="E57" s="153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Z57" s="3">
        <f>1700+1900</f>
        <v>3600</v>
      </c>
      <c r="AK57" s="3">
        <f>SUM($F57:AJ57)</f>
        <v>3600</v>
      </c>
      <c r="AL57" s="3" t="s">
        <v>81</v>
      </c>
    </row>
    <row r="58" spans="1:38" x14ac:dyDescent="0.35">
      <c r="A58" s="4" t="s">
        <v>860</v>
      </c>
      <c r="B58" s="24"/>
      <c r="C58" s="67">
        <v>44622</v>
      </c>
      <c r="D58" s="3">
        <v>63910</v>
      </c>
      <c r="E58" s="153" t="s">
        <v>863</v>
      </c>
      <c r="F58" s="3"/>
      <c r="G58" s="3">
        <v>63910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K58" s="3">
        <f>SUM($F58:AJ58)</f>
        <v>63910</v>
      </c>
      <c r="AL58" s="3" t="s">
        <v>81</v>
      </c>
    </row>
    <row r="59" spans="1:38" x14ac:dyDescent="0.35">
      <c r="A59" s="4" t="s">
        <v>861</v>
      </c>
      <c r="B59" s="24"/>
      <c r="C59" s="67">
        <v>44622</v>
      </c>
      <c r="D59" s="3">
        <v>100038</v>
      </c>
      <c r="E59" s="153" t="s">
        <v>863</v>
      </c>
      <c r="F59" s="3"/>
      <c r="G59" s="3">
        <v>100038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K59" s="3">
        <f>SUM($F59:AJ59)</f>
        <v>100038</v>
      </c>
      <c r="AL59" s="3" t="s">
        <v>81</v>
      </c>
    </row>
    <row r="60" spans="1:38" x14ac:dyDescent="0.35">
      <c r="A60" s="4" t="s">
        <v>866</v>
      </c>
      <c r="B60" s="24" t="s">
        <v>13</v>
      </c>
      <c r="C60" s="67">
        <v>44627</v>
      </c>
      <c r="D60" s="3">
        <v>13905</v>
      </c>
      <c r="E60" s="153"/>
      <c r="F60" s="3"/>
      <c r="G60" s="3"/>
      <c r="H60" s="3"/>
      <c r="I60" s="3"/>
      <c r="J60" s="3"/>
      <c r="K60" s="3"/>
      <c r="L60" s="3">
        <v>13905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K60" s="3">
        <f>SUM($F60:AJ60)</f>
        <v>13905</v>
      </c>
      <c r="AL60" s="3" t="s">
        <v>1557</v>
      </c>
    </row>
    <row r="61" spans="1:38" x14ac:dyDescent="0.35">
      <c r="A61" s="4" t="s">
        <v>869</v>
      </c>
      <c r="B61" s="24" t="s">
        <v>870</v>
      </c>
      <c r="C61" s="67">
        <v>44628</v>
      </c>
      <c r="D61" s="3">
        <v>2083</v>
      </c>
      <c r="E61" s="153" t="s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Z61" s="3">
        <v>2083</v>
      </c>
      <c r="AK61" s="3">
        <f>SUM($F61:AJ61)</f>
        <v>2083</v>
      </c>
      <c r="AL61" s="3" t="s">
        <v>81</v>
      </c>
    </row>
    <row r="62" spans="1:38" x14ac:dyDescent="0.35">
      <c r="A62" s="4" t="s">
        <v>867</v>
      </c>
      <c r="B62" s="24" t="s">
        <v>868</v>
      </c>
      <c r="C62" s="67">
        <v>44629</v>
      </c>
      <c r="D62" s="3">
        <v>12800</v>
      </c>
      <c r="E62" s="153" t="s">
        <v>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Z62" s="3">
        <v>12800</v>
      </c>
      <c r="AK62" s="3">
        <f>SUM($F62:AJ62)</f>
        <v>12800</v>
      </c>
      <c r="AL62" s="3" t="s">
        <v>82</v>
      </c>
    </row>
    <row r="63" spans="1:38" x14ac:dyDescent="0.35">
      <c r="A63" s="4" t="s">
        <v>872</v>
      </c>
      <c r="B63" s="24" t="s">
        <v>871</v>
      </c>
      <c r="C63" s="67">
        <v>44630</v>
      </c>
      <c r="D63" s="3">
        <v>5298</v>
      </c>
      <c r="E63" s="153" t="s">
        <v>873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K63" s="3">
        <f>SUM($F63:AJ63)</f>
        <v>0</v>
      </c>
      <c r="AL63" s="3"/>
    </row>
    <row r="64" spans="1:38" x14ac:dyDescent="0.35">
      <c r="A64" t="s">
        <v>638</v>
      </c>
      <c r="B64" s="24" t="s">
        <v>638</v>
      </c>
      <c r="C64" s="67">
        <v>44630</v>
      </c>
      <c r="D64" s="3">
        <v>419</v>
      </c>
      <c r="E64" s="153"/>
      <c r="F64" s="3"/>
      <c r="G64" s="3"/>
      <c r="H64" s="3"/>
      <c r="I64" s="3"/>
      <c r="J64" s="3"/>
      <c r="K64" s="3"/>
      <c r="L64" s="3"/>
      <c r="M64" s="3"/>
      <c r="N64" s="3"/>
      <c r="O64" s="3">
        <v>419</v>
      </c>
      <c r="P64" s="3"/>
      <c r="Q64" s="3"/>
      <c r="R64" s="3"/>
      <c r="S64" s="3"/>
      <c r="T64" s="3"/>
      <c r="U64" s="3"/>
      <c r="V64" s="3"/>
      <c r="W64" s="3"/>
      <c r="Y64" s="3"/>
      <c r="AK64" s="3">
        <f>SUM($F64:AJ64)</f>
        <v>419</v>
      </c>
      <c r="AL64" s="3" t="s">
        <v>81</v>
      </c>
    </row>
    <row r="65" spans="1:38" x14ac:dyDescent="0.35">
      <c r="A65" t="s">
        <v>878</v>
      </c>
      <c r="B65" s="24"/>
      <c r="C65" s="67">
        <v>44634</v>
      </c>
      <c r="D65" s="3">
        <v>39214</v>
      </c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>
        <v>39214</v>
      </c>
      <c r="T65" s="3"/>
      <c r="U65" s="3"/>
      <c r="V65" s="3"/>
      <c r="W65" s="3"/>
      <c r="Y65" s="3"/>
      <c r="AK65" s="3">
        <f>SUM($F65:AJ65)</f>
        <v>39214</v>
      </c>
      <c r="AL65" s="3" t="s">
        <v>81</v>
      </c>
    </row>
    <row r="66" spans="1:38" x14ac:dyDescent="0.35">
      <c r="A66" t="s">
        <v>879</v>
      </c>
      <c r="B66" s="24"/>
      <c r="C66" s="67">
        <v>44634</v>
      </c>
      <c r="D66" s="3">
        <v>97740</v>
      </c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>
        <v>97740</v>
      </c>
      <c r="T66" s="3"/>
      <c r="U66" s="3"/>
      <c r="V66" s="3"/>
      <c r="W66" s="3"/>
      <c r="Y66" s="3"/>
      <c r="AK66" s="3">
        <f>SUM($F66:AJ66)</f>
        <v>97740</v>
      </c>
      <c r="AL66" s="3" t="s">
        <v>81</v>
      </c>
    </row>
    <row r="67" spans="1:38" x14ac:dyDescent="0.35">
      <c r="A67" s="4" t="s">
        <v>903</v>
      </c>
      <c r="B67" s="24" t="s">
        <v>902</v>
      </c>
      <c r="C67" s="67">
        <v>44638</v>
      </c>
      <c r="D67" s="3">
        <v>21420</v>
      </c>
      <c r="E67" s="15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>
        <v>21420</v>
      </c>
      <c r="Y67" s="3"/>
      <c r="AK67" s="3">
        <f>SUM($F67:AJ67)</f>
        <v>21420</v>
      </c>
      <c r="AL67" s="3" t="s">
        <v>81</v>
      </c>
    </row>
    <row r="68" spans="1:38" x14ac:dyDescent="0.35">
      <c r="A68" s="4" t="s">
        <v>904</v>
      </c>
      <c r="B68" s="24" t="s">
        <v>905</v>
      </c>
      <c r="C68" s="67">
        <v>44638</v>
      </c>
      <c r="D68" s="3">
        <v>5236</v>
      </c>
      <c r="E68" s="15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AK68" s="3">
        <f>SUM($F68:AJ68)</f>
        <v>0</v>
      </c>
      <c r="AL68" s="3" t="s">
        <v>81</v>
      </c>
    </row>
    <row r="69" spans="1:38" x14ac:dyDescent="0.35">
      <c r="A69" s="4" t="s">
        <v>907</v>
      </c>
      <c r="B69" s="24"/>
      <c r="C69" s="67">
        <v>44638</v>
      </c>
      <c r="D69" s="3">
        <f>13.3*2*1050/9+2000</f>
        <v>5103.3333333333339</v>
      </c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Z69" s="3">
        <f>13.3*2*1050/9+2000</f>
        <v>5103.3333333333339</v>
      </c>
      <c r="AK69" s="3">
        <f>SUM($F69:AJ69)</f>
        <v>5103.3333333333339</v>
      </c>
      <c r="AL69" s="3" t="s">
        <v>81</v>
      </c>
    </row>
    <row r="70" spans="1:38" x14ac:dyDescent="0.35">
      <c r="A70" s="4" t="s">
        <v>915</v>
      </c>
      <c r="B70" s="24" t="s">
        <v>906</v>
      </c>
      <c r="C70" s="67">
        <v>44639</v>
      </c>
      <c r="D70" s="3">
        <v>44832</v>
      </c>
      <c r="E70" s="153" t="s">
        <v>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Z70" s="3">
        <v>44832</v>
      </c>
      <c r="AK70" s="3">
        <f>SUM($F70:AJ70)</f>
        <v>44832</v>
      </c>
      <c r="AL70" s="3" t="s">
        <v>83</v>
      </c>
    </row>
    <row r="71" spans="1:38" x14ac:dyDescent="0.35">
      <c r="A71" s="4" t="s">
        <v>908</v>
      </c>
      <c r="B71" s="24"/>
      <c r="C71" s="67">
        <v>44639</v>
      </c>
      <c r="D71" s="3">
        <f>6.9*2*1050/9+2000</f>
        <v>3610</v>
      </c>
      <c r="E71" s="15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Z71" s="3">
        <f>6.9*2*1050/9+2000</f>
        <v>3610</v>
      </c>
      <c r="AK71" s="3">
        <f>SUM($F71:AJ71)</f>
        <v>3610</v>
      </c>
      <c r="AL71" s="3" t="s">
        <v>81</v>
      </c>
    </row>
    <row r="72" spans="1:38" x14ac:dyDescent="0.35">
      <c r="A72" s="4" t="s">
        <v>857</v>
      </c>
      <c r="B72" s="24"/>
      <c r="C72" s="67">
        <v>44642</v>
      </c>
      <c r="D72" s="3">
        <f>12.9*1050/9+1100+1068+1736</f>
        <v>5409</v>
      </c>
      <c r="E72" s="15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AG72" s="3">
        <f>12.9*1050/9+1100+1068+1736</f>
        <v>5409</v>
      </c>
      <c r="AK72" s="3">
        <f>SUM($F72:AJ72)</f>
        <v>5409</v>
      </c>
      <c r="AL72" s="3" t="s">
        <v>81</v>
      </c>
    </row>
    <row r="73" spans="1:38" x14ac:dyDescent="0.35">
      <c r="A73" s="4" t="s">
        <v>916</v>
      </c>
      <c r="B73" s="24" t="s">
        <v>914</v>
      </c>
      <c r="C73" s="67">
        <v>44642</v>
      </c>
      <c r="D73" s="3">
        <v>44730</v>
      </c>
      <c r="E73" s="153" t="s">
        <v>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AG73" s="3">
        <v>44730</v>
      </c>
      <c r="AK73" s="3">
        <f>SUM($F73:AJ73)</f>
        <v>44730</v>
      </c>
      <c r="AL73" s="3" t="s">
        <v>83</v>
      </c>
    </row>
    <row r="74" spans="1:38" x14ac:dyDescent="0.35">
      <c r="A74" s="4" t="s">
        <v>910</v>
      </c>
      <c r="B74" s="24" t="s">
        <v>911</v>
      </c>
      <c r="C74" s="67">
        <v>44643</v>
      </c>
      <c r="D74" s="3">
        <v>50137</v>
      </c>
      <c r="E74" s="153" t="s">
        <v>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  <c r="AG74" s="3">
        <v>50137</v>
      </c>
      <c r="AK74" s="3">
        <f>SUM($F74:AJ74)</f>
        <v>50137</v>
      </c>
      <c r="AL74" s="3" t="s">
        <v>83</v>
      </c>
    </row>
    <row r="75" spans="1:38" x14ac:dyDescent="0.35">
      <c r="A75" s="4" t="s">
        <v>917</v>
      </c>
      <c r="B75" s="24" t="s">
        <v>931</v>
      </c>
      <c r="C75" s="67">
        <v>44645</v>
      </c>
      <c r="D75" s="3">
        <v>114240</v>
      </c>
      <c r="E75" s="15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Y75" s="3"/>
      <c r="AG75" s="3">
        <v>114240</v>
      </c>
      <c r="AK75" s="3">
        <f>SUM($F75:AJ75)</f>
        <v>114240</v>
      </c>
      <c r="AL75" s="3" t="s">
        <v>83</v>
      </c>
    </row>
    <row r="76" spans="1:38" x14ac:dyDescent="0.35">
      <c r="A76" s="4" t="s">
        <v>843</v>
      </c>
      <c r="B76" s="24"/>
      <c r="C76" s="67">
        <v>44645</v>
      </c>
      <c r="D76" s="3">
        <f>82*2*1080/9+6000</f>
        <v>25680</v>
      </c>
      <c r="E76" s="15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  <c r="AG76" s="3">
        <f>82*2*1080/9+6000</f>
        <v>25680</v>
      </c>
      <c r="AK76" s="3">
        <f>SUM($F76:AJ76)</f>
        <v>25680</v>
      </c>
      <c r="AL76" s="3" t="s">
        <v>81</v>
      </c>
    </row>
    <row r="77" spans="1:38" x14ac:dyDescent="0.35">
      <c r="A77" s="4" t="s">
        <v>909</v>
      </c>
      <c r="B77" s="24">
        <f>95.69/8</f>
        <v>11.96125</v>
      </c>
      <c r="C77" s="67">
        <v>44645</v>
      </c>
      <c r="D77" s="3">
        <f>+B77*D85</f>
        <v>379283.4626875</v>
      </c>
      <c r="E77" s="15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  <c r="AG77" s="3">
        <v>379283</v>
      </c>
      <c r="AK77" s="3">
        <f>SUM($F77:AJ77)</f>
        <v>379283</v>
      </c>
      <c r="AL77" s="3" t="s">
        <v>1557</v>
      </c>
    </row>
    <row r="78" spans="1:38" x14ac:dyDescent="0.35">
      <c r="A78" s="4" t="s">
        <v>918</v>
      </c>
      <c r="B78" s="24" t="s">
        <v>919</v>
      </c>
      <c r="C78" s="67">
        <v>44648</v>
      </c>
      <c r="D78" s="3">
        <v>16993</v>
      </c>
      <c r="E78" s="15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Y78" s="3"/>
      <c r="AG78" s="3" t="s">
        <v>13</v>
      </c>
      <c r="AH78" s="3">
        <v>16993</v>
      </c>
      <c r="AK78" s="3">
        <f>SUM($F78:AJ78)</f>
        <v>16993</v>
      </c>
      <c r="AL78" s="3" t="s">
        <v>81</v>
      </c>
    </row>
    <row r="79" spans="1:38" x14ac:dyDescent="0.35">
      <c r="A79" s="4" t="s">
        <v>920</v>
      </c>
      <c r="B79" s="24" t="s">
        <v>921</v>
      </c>
      <c r="C79" s="67">
        <v>44648</v>
      </c>
      <c r="D79" s="3">
        <v>8509</v>
      </c>
      <c r="E79" s="153" t="s">
        <v>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Y79" s="3"/>
      <c r="AG79" s="3"/>
      <c r="AK79" s="3">
        <f>SUM($F79:AJ79)</f>
        <v>0</v>
      </c>
      <c r="AL79" s="3" t="s">
        <v>83</v>
      </c>
    </row>
    <row r="80" spans="1:38" x14ac:dyDescent="0.35">
      <c r="A80" s="4" t="s">
        <v>922</v>
      </c>
      <c r="B80" s="24"/>
      <c r="C80" s="67">
        <v>44649</v>
      </c>
      <c r="D80" s="3">
        <v>30000</v>
      </c>
      <c r="E80" s="15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Y80" s="3"/>
      <c r="AG80" s="3" t="s">
        <v>13</v>
      </c>
      <c r="AH80" s="3">
        <v>30000</v>
      </c>
      <c r="AK80" s="3">
        <f>SUM($F80:AJ80)</f>
        <v>30000</v>
      </c>
      <c r="AL80" s="3" t="s">
        <v>82</v>
      </c>
    </row>
    <row r="81" spans="1:38" x14ac:dyDescent="0.35">
      <c r="A81" s="4" t="s">
        <v>908</v>
      </c>
      <c r="B81" s="24"/>
      <c r="C81" s="67">
        <v>44649</v>
      </c>
      <c r="D81" s="3">
        <f>6.9*2*1050/9+2000</f>
        <v>3610</v>
      </c>
      <c r="E81" s="15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Y81" s="3"/>
      <c r="AG81" s="3"/>
      <c r="AH81" s="3"/>
      <c r="AK81" s="3">
        <f>SUM($F81:AJ81)</f>
        <v>0</v>
      </c>
      <c r="AL81" s="3"/>
    </row>
    <row r="82" spans="1:38" x14ac:dyDescent="0.35">
      <c r="A82" s="4" t="s">
        <v>907</v>
      </c>
      <c r="B82" s="24"/>
      <c r="C82" s="67">
        <v>44649</v>
      </c>
      <c r="D82" s="3">
        <f>13.3*2*1050/9+2000</f>
        <v>5103.3333333333339</v>
      </c>
      <c r="E82" s="15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Y82" s="3"/>
      <c r="AG82" s="3"/>
      <c r="AH82" s="3"/>
      <c r="AK82" s="3">
        <f>SUM($F82:AJ82)</f>
        <v>0</v>
      </c>
      <c r="AL82" s="3"/>
    </row>
    <row r="83" spans="1:38" x14ac:dyDescent="0.35">
      <c r="A83" s="4" t="s">
        <v>844</v>
      </c>
      <c r="B83" s="24"/>
      <c r="C83" s="67">
        <v>44650</v>
      </c>
      <c r="D83" s="3">
        <f>13.9*1050/9+2000</f>
        <v>3621.666666666667</v>
      </c>
      <c r="E83" s="15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Y83" s="3"/>
      <c r="AG83" s="3"/>
      <c r="AH83" s="3"/>
      <c r="AK83" s="3">
        <f>SUM($F83:AJ83)</f>
        <v>0</v>
      </c>
      <c r="AL83" s="3"/>
    </row>
    <row r="84" spans="1:38" x14ac:dyDescent="0.35">
      <c r="A84" s="4" t="s">
        <v>920</v>
      </c>
      <c r="B84" s="24" t="s">
        <v>932</v>
      </c>
      <c r="C84" s="67">
        <v>44650</v>
      </c>
      <c r="D84" s="3">
        <v>4740</v>
      </c>
      <c r="E84" s="153" t="s">
        <v>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Y84" s="3"/>
      <c r="AG84" s="3"/>
      <c r="AK84" s="3">
        <f>SUM($F84:AJ84)</f>
        <v>0</v>
      </c>
      <c r="AL84" s="3"/>
    </row>
    <row r="85" spans="1:38" x14ac:dyDescent="0.35">
      <c r="A85" s="4"/>
      <c r="B85" s="24"/>
      <c r="C85" s="67" t="s">
        <v>933</v>
      </c>
      <c r="D85" s="236">
        <v>31709.35</v>
      </c>
      <c r="E85" s="15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Y85" s="3"/>
      <c r="AJ85" s="3"/>
      <c r="AK85" s="3"/>
      <c r="AL85" s="3"/>
    </row>
    <row r="86" spans="1:38" x14ac:dyDescent="0.35">
      <c r="A86" s="2" t="s">
        <v>9</v>
      </c>
      <c r="D86" s="3" t="s">
        <v>13</v>
      </c>
      <c r="F86" s="3">
        <f t="shared" ref="F86:AJ86" si="2">SUM(F32:F85)</f>
        <v>519417</v>
      </c>
      <c r="G86" s="3">
        <f t="shared" si="2"/>
        <v>221948</v>
      </c>
      <c r="H86" s="3">
        <f t="shared" si="2"/>
        <v>0</v>
      </c>
      <c r="I86" s="3">
        <f t="shared" si="2"/>
        <v>446484</v>
      </c>
      <c r="J86" s="3">
        <f t="shared" si="2"/>
        <v>0</v>
      </c>
      <c r="K86" s="3">
        <f t="shared" si="2"/>
        <v>0</v>
      </c>
      <c r="L86" s="3">
        <f t="shared" si="2"/>
        <v>263905</v>
      </c>
      <c r="M86" s="3">
        <f t="shared" si="2"/>
        <v>0</v>
      </c>
      <c r="N86" s="3">
        <f t="shared" si="2"/>
        <v>0</v>
      </c>
      <c r="O86" s="3">
        <f t="shared" si="2"/>
        <v>419</v>
      </c>
      <c r="P86" s="3">
        <f t="shared" si="2"/>
        <v>0</v>
      </c>
      <c r="Q86" s="3">
        <f t="shared" si="2"/>
        <v>0</v>
      </c>
      <c r="R86" s="3">
        <f t="shared" si="2"/>
        <v>0</v>
      </c>
      <c r="S86" s="3">
        <f t="shared" si="2"/>
        <v>136954</v>
      </c>
      <c r="T86" s="3">
        <f t="shared" si="2"/>
        <v>0</v>
      </c>
      <c r="U86" s="3">
        <f t="shared" si="2"/>
        <v>0</v>
      </c>
      <c r="V86" s="3">
        <f t="shared" si="2"/>
        <v>470366</v>
      </c>
      <c r="W86" s="3">
        <f t="shared" si="2"/>
        <v>21420</v>
      </c>
      <c r="X86" s="3">
        <f t="shared" si="2"/>
        <v>0</v>
      </c>
      <c r="Y86" s="3">
        <f t="shared" si="2"/>
        <v>0</v>
      </c>
      <c r="Z86" s="3">
        <f t="shared" si="2"/>
        <v>118068.33333333333</v>
      </c>
      <c r="AA86" s="3">
        <f t="shared" si="2"/>
        <v>0</v>
      </c>
      <c r="AB86" s="3">
        <f t="shared" si="2"/>
        <v>0</v>
      </c>
      <c r="AC86" s="3">
        <f t="shared" si="2"/>
        <v>0</v>
      </c>
      <c r="AD86" s="3">
        <f t="shared" si="2"/>
        <v>0</v>
      </c>
      <c r="AE86" s="3">
        <f t="shared" si="2"/>
        <v>0</v>
      </c>
      <c r="AF86" s="3">
        <f t="shared" si="2"/>
        <v>0</v>
      </c>
      <c r="AG86" s="3">
        <f t="shared" si="2"/>
        <v>619479</v>
      </c>
      <c r="AH86" s="3">
        <f t="shared" si="2"/>
        <v>46993</v>
      </c>
      <c r="AI86" s="3">
        <f t="shared" si="2"/>
        <v>0</v>
      </c>
      <c r="AJ86" s="3">
        <f t="shared" si="2"/>
        <v>0</v>
      </c>
      <c r="AK86" s="72">
        <f>SUM(AK32:AK77)</f>
        <v>2818460.3333333335</v>
      </c>
    </row>
    <row r="87" spans="1:38" x14ac:dyDescent="0.35">
      <c r="A87" t="s">
        <v>8</v>
      </c>
      <c r="F87" s="3">
        <f>+F29+F3-F86</f>
        <v>1874902.9203361343</v>
      </c>
      <c r="G87" s="3">
        <f t="shared" ref="G87:AJ87" si="3">+G3+G29-G86</f>
        <v>1652954.9203361343</v>
      </c>
      <c r="H87" s="3">
        <f t="shared" si="3"/>
        <v>1652954.9203361343</v>
      </c>
      <c r="I87" s="3">
        <f t="shared" si="3"/>
        <v>1206470.9203361343</v>
      </c>
      <c r="J87" s="3">
        <f t="shared" si="3"/>
        <v>1206470.9203361343</v>
      </c>
      <c r="K87" s="3">
        <f t="shared" si="3"/>
        <v>1206470.9203361343</v>
      </c>
      <c r="L87" s="3">
        <f t="shared" si="3"/>
        <v>942565.92033613427</v>
      </c>
      <c r="M87" s="3">
        <f t="shared" si="3"/>
        <v>942565.92033613427</v>
      </c>
      <c r="N87" s="3">
        <f t="shared" si="3"/>
        <v>942565.92033613427</v>
      </c>
      <c r="O87" s="3">
        <f t="shared" si="3"/>
        <v>942146.92033613427</v>
      </c>
      <c r="P87" s="3">
        <f t="shared" si="3"/>
        <v>942146.92033613427</v>
      </c>
      <c r="Q87" s="3">
        <f t="shared" si="3"/>
        <v>942146.92033613427</v>
      </c>
      <c r="R87" s="3">
        <f t="shared" si="3"/>
        <v>942146.92033613427</v>
      </c>
      <c r="S87" s="3">
        <f t="shared" si="3"/>
        <v>805192.92033613427</v>
      </c>
      <c r="T87" s="3">
        <f t="shared" si="3"/>
        <v>1233402.9203361343</v>
      </c>
      <c r="U87" s="3">
        <f t="shared" si="3"/>
        <v>1233402.9203361343</v>
      </c>
      <c r="V87" s="3">
        <f t="shared" si="3"/>
        <v>763036.92033613427</v>
      </c>
      <c r="W87" s="3">
        <f t="shared" si="3"/>
        <v>741616.92033613427</v>
      </c>
      <c r="X87" s="3">
        <f t="shared" si="3"/>
        <v>741616.92033613427</v>
      </c>
      <c r="Y87" s="3">
        <f t="shared" si="3"/>
        <v>741616.92033613427</v>
      </c>
      <c r="Z87" s="3">
        <f t="shared" si="3"/>
        <v>623548.58700280089</v>
      </c>
      <c r="AA87" s="3">
        <f t="shared" si="3"/>
        <v>623548.58700280089</v>
      </c>
      <c r="AB87" s="3">
        <f t="shared" si="3"/>
        <v>623548.58700280089</v>
      </c>
      <c r="AC87" s="3">
        <f t="shared" si="3"/>
        <v>623548.58700280089</v>
      </c>
      <c r="AD87" s="3">
        <f t="shared" si="3"/>
        <v>623548.58700280089</v>
      </c>
      <c r="AE87" s="3">
        <f t="shared" si="3"/>
        <v>623548.58700280089</v>
      </c>
      <c r="AF87" s="3">
        <f t="shared" si="3"/>
        <v>623548.58700280089</v>
      </c>
      <c r="AG87" s="3">
        <f t="shared" si="3"/>
        <v>175353.58700280089</v>
      </c>
      <c r="AH87" s="3">
        <f t="shared" si="3"/>
        <v>128360.58700280089</v>
      </c>
      <c r="AI87" s="3">
        <f t="shared" si="3"/>
        <v>128360.58700280089</v>
      </c>
      <c r="AJ87" s="3">
        <f t="shared" si="3"/>
        <v>356174.58700280089</v>
      </c>
      <c r="AK87" s="3" t="s">
        <v>13</v>
      </c>
    </row>
    <row r="88" spans="1:38" x14ac:dyDescent="0.35">
      <c r="F88" s="3"/>
      <c r="G88" s="3"/>
      <c r="H88" s="3"/>
      <c r="I88" s="3" t="s">
        <v>13</v>
      </c>
      <c r="J88" s="3"/>
      <c r="K88" s="3"/>
      <c r="L88" s="3"/>
      <c r="M88" s="3"/>
      <c r="N88" s="3"/>
      <c r="O88" s="3"/>
      <c r="P88" s="3" t="s">
        <v>13</v>
      </c>
      <c r="Q88" s="3"/>
      <c r="R88" s="3"/>
      <c r="S88" s="3"/>
      <c r="T88" s="3" t="s">
        <v>13</v>
      </c>
      <c r="U88" s="3"/>
      <c r="V88" s="3"/>
      <c r="W88" s="3"/>
      <c r="Y88" s="3" t="s">
        <v>13</v>
      </c>
      <c r="AA88" s="3" t="s">
        <v>13</v>
      </c>
      <c r="AB88" s="3" t="s">
        <v>13</v>
      </c>
    </row>
    <row r="89" spans="1:38" x14ac:dyDescent="0.35">
      <c r="B89" t="s">
        <v>13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 t="s">
        <v>13</v>
      </c>
      <c r="Q89" s="3" t="s">
        <v>13</v>
      </c>
      <c r="R89" s="3" t="s">
        <v>13</v>
      </c>
      <c r="S89" s="3"/>
      <c r="T89" s="3"/>
      <c r="U89" s="3" t="s">
        <v>13</v>
      </c>
      <c r="V89" s="3"/>
      <c r="W89" s="3"/>
      <c r="AB89" s="3" t="s">
        <v>13</v>
      </c>
      <c r="AG89" s="3" t="s">
        <v>13</v>
      </c>
    </row>
    <row r="90" spans="1:38" x14ac:dyDescent="0.35">
      <c r="B90" t="s">
        <v>13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S90" s="3"/>
      <c r="T90" s="3" t="s">
        <v>13</v>
      </c>
      <c r="U90" s="3"/>
      <c r="V90" s="3"/>
      <c r="W90" s="3"/>
      <c r="AB90" s="3" t="s">
        <v>13</v>
      </c>
    </row>
    <row r="91" spans="1:38" x14ac:dyDescent="0.35">
      <c r="B91" t="s">
        <v>13</v>
      </c>
      <c r="F91" s="3"/>
      <c r="G91" s="3">
        <v>44630</v>
      </c>
      <c r="H91" s="3" t="s">
        <v>874</v>
      </c>
      <c r="I91" s="3"/>
      <c r="J91" s="3"/>
      <c r="K91" s="3"/>
      <c r="L91" s="3"/>
      <c r="M91" s="3"/>
      <c r="N91" s="3"/>
      <c r="O91" s="3"/>
      <c r="P91" s="3"/>
      <c r="S91" s="3"/>
      <c r="T91" s="3"/>
      <c r="U91" s="3"/>
      <c r="V91" s="3"/>
      <c r="W91" s="3" t="s">
        <v>13</v>
      </c>
      <c r="AB91" s="3" t="s">
        <v>13</v>
      </c>
    </row>
    <row r="92" spans="1:38" x14ac:dyDescent="0.35">
      <c r="B92" t="s">
        <v>13</v>
      </c>
      <c r="F92" s="3"/>
      <c r="G92" s="3">
        <v>44634</v>
      </c>
      <c r="H92" s="3" t="s">
        <v>875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AB92" s="3" t="s">
        <v>13</v>
      </c>
      <c r="AC92" s="59" t="s">
        <v>13</v>
      </c>
      <c r="AD92">
        <f>123*800</f>
        <v>98400</v>
      </c>
      <c r="AE92" t="s">
        <v>13</v>
      </c>
    </row>
    <row r="93" spans="1:38" x14ac:dyDescent="0.35">
      <c r="B93" t="s">
        <v>13</v>
      </c>
      <c r="F93" s="3"/>
      <c r="G93" s="3">
        <v>44634</v>
      </c>
      <c r="H93" s="3" t="s">
        <v>876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AB93" s="3" t="s">
        <v>13</v>
      </c>
      <c r="AC93" t="s">
        <v>13</v>
      </c>
    </row>
    <row r="94" spans="1:38" x14ac:dyDescent="0.35">
      <c r="B94" t="s">
        <v>13</v>
      </c>
      <c r="F94" s="3"/>
      <c r="G94" s="3"/>
      <c r="H94" s="3"/>
      <c r="I94" s="3"/>
      <c r="J94" s="3"/>
      <c r="AC94" s="59" t="s">
        <v>13</v>
      </c>
    </row>
    <row r="95" spans="1:38" x14ac:dyDescent="0.35">
      <c r="B95" t="s">
        <v>13</v>
      </c>
      <c r="F95" s="3"/>
      <c r="G95" s="3"/>
      <c r="H95" s="3"/>
      <c r="I95" s="3"/>
      <c r="J95" s="3"/>
      <c r="AC95" t="s">
        <v>13</v>
      </c>
    </row>
    <row r="96" spans="1:38" x14ac:dyDescent="0.35">
      <c r="B96" t="s">
        <v>13</v>
      </c>
      <c r="F96" s="3"/>
      <c r="G96" s="3"/>
      <c r="H96" s="3"/>
      <c r="I96" s="3"/>
      <c r="J96" s="3"/>
    </row>
    <row r="97" spans="2:10" x14ac:dyDescent="0.35">
      <c r="B97" t="s">
        <v>13</v>
      </c>
      <c r="F97" s="3"/>
      <c r="G97" s="3"/>
      <c r="H97" s="3"/>
      <c r="I97" s="3"/>
      <c r="J97" s="3"/>
    </row>
    <row r="98" spans="2:10" x14ac:dyDescent="0.35">
      <c r="B98" t="s">
        <v>13</v>
      </c>
      <c r="F98" s="3"/>
      <c r="G98" s="3"/>
      <c r="H98" s="3"/>
      <c r="I98" s="3"/>
      <c r="J98" s="3"/>
    </row>
    <row r="99" spans="2:10" x14ac:dyDescent="0.35">
      <c r="B99" t="s">
        <v>13</v>
      </c>
      <c r="F99" s="3"/>
      <c r="G99" s="3"/>
      <c r="H99" s="3"/>
      <c r="I99" s="3"/>
      <c r="J99" s="3"/>
    </row>
  </sheetData>
  <pageMargins left="0.7" right="0.7" top="0.75" bottom="0.75" header="0.3" footer="0.3"/>
  <pageSetup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AO84"/>
  <sheetViews>
    <sheetView topLeftCell="A33" workbookViewId="0">
      <selection activeCell="A52" sqref="A52"/>
    </sheetView>
  </sheetViews>
  <sheetFormatPr baseColWidth="10" defaultColWidth="11.08984375" defaultRowHeight="14.5" x14ac:dyDescent="0.35"/>
  <cols>
    <col min="1" max="1" width="41.36328125" customWidth="1"/>
    <col min="2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</cols>
  <sheetData>
    <row r="2" spans="1:41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44652</v>
      </c>
      <c r="G2" s="1">
        <v>44653</v>
      </c>
      <c r="H2" s="1">
        <v>44654</v>
      </c>
      <c r="I2" s="1">
        <v>44655</v>
      </c>
      <c r="J2" s="1">
        <v>44656</v>
      </c>
      <c r="K2" s="1">
        <v>44657</v>
      </c>
      <c r="L2" s="1">
        <v>44658</v>
      </c>
      <c r="M2" s="1">
        <v>44659</v>
      </c>
      <c r="N2" s="1">
        <v>44660</v>
      </c>
      <c r="O2" s="1">
        <v>44661</v>
      </c>
      <c r="P2" s="1">
        <v>44662</v>
      </c>
      <c r="Q2" s="1">
        <v>44663</v>
      </c>
      <c r="R2" s="1">
        <v>44664</v>
      </c>
      <c r="S2" s="1">
        <v>44665</v>
      </c>
      <c r="T2" s="1">
        <v>44666</v>
      </c>
      <c r="U2" s="1">
        <v>44667</v>
      </c>
      <c r="V2" s="1">
        <v>44668</v>
      </c>
      <c r="W2" s="1">
        <v>44669</v>
      </c>
      <c r="X2" s="1">
        <v>44670</v>
      </c>
      <c r="Y2" s="1">
        <v>44671</v>
      </c>
      <c r="Z2" s="1">
        <v>44672</v>
      </c>
      <c r="AA2" s="1">
        <v>44673</v>
      </c>
      <c r="AB2" s="1">
        <v>44674</v>
      </c>
      <c r="AC2" s="1">
        <v>44675</v>
      </c>
      <c r="AD2" s="1">
        <v>44676</v>
      </c>
      <c r="AE2" s="1">
        <v>44677</v>
      </c>
      <c r="AF2" s="1">
        <v>44678</v>
      </c>
      <c r="AG2" s="1">
        <v>44679</v>
      </c>
      <c r="AH2" s="1">
        <v>44680</v>
      </c>
      <c r="AI2" s="1">
        <v>44681</v>
      </c>
      <c r="AJ2" s="1" t="s">
        <v>13</v>
      </c>
      <c r="AK2" s="176" t="s">
        <v>579</v>
      </c>
      <c r="AL2" s="176" t="s">
        <v>13</v>
      </c>
    </row>
    <row r="3" spans="1:41" x14ac:dyDescent="0.35">
      <c r="A3" t="s">
        <v>7</v>
      </c>
      <c r="F3" s="3">
        <f>+'MAR-22'!AJ87</f>
        <v>356174.58700280089</v>
      </c>
      <c r="G3" s="3">
        <f>+F72</f>
        <v>210098.58700280089</v>
      </c>
      <c r="H3" s="3">
        <f t="shared" ref="H3:AI3" si="0">+G72</f>
        <v>210098.58700280089</v>
      </c>
      <c r="I3" s="3">
        <f t="shared" si="0"/>
        <v>210098.58700280089</v>
      </c>
      <c r="J3" s="3">
        <f t="shared" si="0"/>
        <v>210098.58700280089</v>
      </c>
      <c r="K3" s="3">
        <f t="shared" si="0"/>
        <v>190193.58700280089</v>
      </c>
      <c r="L3" s="3">
        <f t="shared" si="0"/>
        <v>190193.58700280089</v>
      </c>
      <c r="M3" s="3">
        <f t="shared" si="0"/>
        <v>190193.58700280089</v>
      </c>
      <c r="N3" s="3">
        <f t="shared" si="0"/>
        <v>184958.58700280089</v>
      </c>
      <c r="O3" s="3">
        <f t="shared" si="0"/>
        <v>184958.58700280089</v>
      </c>
      <c r="P3" s="3">
        <f t="shared" si="0"/>
        <v>184958.58700280089</v>
      </c>
      <c r="Q3" s="3">
        <f t="shared" si="0"/>
        <v>396359.58700280089</v>
      </c>
      <c r="R3" s="3">
        <f t="shared" si="0"/>
        <v>396359.58700280089</v>
      </c>
      <c r="S3" s="3">
        <f t="shared" si="0"/>
        <v>259405.58700280089</v>
      </c>
      <c r="T3" s="3">
        <f t="shared" si="0"/>
        <v>259405.58700280089</v>
      </c>
      <c r="U3" s="3">
        <f t="shared" si="0"/>
        <v>259405.58700280089</v>
      </c>
      <c r="V3" s="3">
        <f t="shared" si="0"/>
        <v>259405.58700280089</v>
      </c>
      <c r="W3" s="3">
        <f t="shared" si="0"/>
        <v>259405.58700280089</v>
      </c>
      <c r="X3" s="3">
        <f t="shared" si="0"/>
        <v>184745.58700280089</v>
      </c>
      <c r="Y3" s="3">
        <f t="shared" si="0"/>
        <v>356028.58700280089</v>
      </c>
      <c r="Z3" s="3">
        <f t="shared" si="0"/>
        <v>356028.58700280089</v>
      </c>
      <c r="AA3" s="3">
        <f t="shared" si="0"/>
        <v>341748.58700280089</v>
      </c>
      <c r="AB3" s="3">
        <f t="shared" si="0"/>
        <v>341748.58700280089</v>
      </c>
      <c r="AC3" s="3">
        <f t="shared" si="0"/>
        <v>341748.58700280089</v>
      </c>
      <c r="AD3" s="3">
        <f t="shared" si="0"/>
        <v>341748.58700280089</v>
      </c>
      <c r="AE3" s="3">
        <f t="shared" si="0"/>
        <v>513032.58700280089</v>
      </c>
      <c r="AF3" s="3">
        <f t="shared" si="0"/>
        <v>505892.58700280089</v>
      </c>
      <c r="AG3" s="3">
        <f t="shared" si="0"/>
        <v>505892.58700280089</v>
      </c>
      <c r="AH3" s="3">
        <f t="shared" si="0"/>
        <v>505892.58700280089</v>
      </c>
      <c r="AI3" s="3">
        <f t="shared" si="0"/>
        <v>107113.51576113421</v>
      </c>
      <c r="AJ3" s="3">
        <f>+AI72</f>
        <v>107113.51576113421</v>
      </c>
      <c r="AK3" s="3" t="s">
        <v>13</v>
      </c>
      <c r="AL3" s="6" t="s">
        <v>13</v>
      </c>
    </row>
    <row r="4" spans="1:41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41" x14ac:dyDescent="0.35">
      <c r="A5" t="s">
        <v>235</v>
      </c>
      <c r="B5" t="s">
        <v>234</v>
      </c>
      <c r="C5" s="5">
        <v>43882</v>
      </c>
      <c r="D5" s="3">
        <v>160200</v>
      </c>
      <c r="E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13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 t="s">
        <v>13</v>
      </c>
      <c r="AK5" s="3">
        <f>SUM($F5:AJ5)</f>
        <v>0</v>
      </c>
      <c r="AL5" s="22" t="s">
        <v>13</v>
      </c>
    </row>
    <row r="6" spans="1:41" x14ac:dyDescent="0.35">
      <c r="A6" t="s">
        <v>242</v>
      </c>
      <c r="B6" t="s">
        <v>243</v>
      </c>
      <c r="C6" s="5">
        <v>43889</v>
      </c>
      <c r="D6" s="3">
        <v>160200</v>
      </c>
      <c r="E6" t="s">
        <v>13</v>
      </c>
      <c r="F6" s="3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13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f>SUM($F6:AJ6)</f>
        <v>0</v>
      </c>
      <c r="AL6" s="22" t="s">
        <v>13</v>
      </c>
    </row>
    <row r="7" spans="1:41" x14ac:dyDescent="0.35">
      <c r="A7" t="s">
        <v>299</v>
      </c>
      <c r="B7" t="s">
        <v>300</v>
      </c>
      <c r="C7" s="5">
        <v>43904</v>
      </c>
      <c r="D7" s="3">
        <v>160200</v>
      </c>
      <c r="E7" t="s">
        <v>13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13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SUM($F7:AJ7)</f>
        <v>0</v>
      </c>
      <c r="AL7" s="22" t="s">
        <v>13</v>
      </c>
    </row>
    <row r="8" spans="1:41" x14ac:dyDescent="0.35">
      <c r="A8" t="s">
        <v>895</v>
      </c>
      <c r="B8" t="s">
        <v>886</v>
      </c>
      <c r="C8" s="5">
        <v>44618</v>
      </c>
      <c r="D8" s="3">
        <v>56708</v>
      </c>
      <c r="E8" t="s">
        <v>13</v>
      </c>
      <c r="F8" s="3"/>
      <c r="G8" s="3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0</v>
      </c>
      <c r="AL8" s="22"/>
    </row>
    <row r="9" spans="1:41" x14ac:dyDescent="0.35">
      <c r="A9" t="s">
        <v>929</v>
      </c>
      <c r="B9" t="s">
        <v>925</v>
      </c>
      <c r="C9" s="5">
        <v>44648</v>
      </c>
      <c r="D9" s="3">
        <v>85642</v>
      </c>
      <c r="F9" s="3"/>
      <c r="G9" s="3"/>
      <c r="H9" s="3"/>
      <c r="I9" s="3"/>
      <c r="J9" s="3"/>
      <c r="K9" s="3"/>
      <c r="L9" s="3"/>
      <c r="M9" s="3"/>
      <c r="O9" s="3"/>
      <c r="P9" s="3">
        <v>85642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f>SUM($F9:AJ9)</f>
        <v>85642</v>
      </c>
      <c r="AL9" s="22"/>
    </row>
    <row r="10" spans="1:41" x14ac:dyDescent="0.35">
      <c r="A10" t="s">
        <v>930</v>
      </c>
      <c r="B10" t="s">
        <v>926</v>
      </c>
      <c r="C10" s="5">
        <v>44648</v>
      </c>
      <c r="D10" s="3">
        <v>85642</v>
      </c>
      <c r="F10" s="3"/>
      <c r="G10" s="3"/>
      <c r="H10" s="3"/>
      <c r="I10" s="3"/>
      <c r="J10" s="3"/>
      <c r="K10" s="3"/>
      <c r="L10" s="3"/>
      <c r="M10" s="3"/>
      <c r="O10" s="3"/>
      <c r="P10" s="3">
        <v>85642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SUM($F10:AJ10)</f>
        <v>85642</v>
      </c>
      <c r="AL10" s="22"/>
    </row>
    <row r="11" spans="1:41" x14ac:dyDescent="0.35">
      <c r="A11" t="s">
        <v>945</v>
      </c>
      <c r="B11" t="s">
        <v>940</v>
      </c>
      <c r="C11" s="5">
        <v>44650</v>
      </c>
      <c r="D11" s="3">
        <v>85642</v>
      </c>
      <c r="F11" s="3"/>
      <c r="G11" s="3"/>
      <c r="H11" s="3"/>
      <c r="I11" s="3"/>
      <c r="J11" s="3"/>
      <c r="K11" s="3"/>
      <c r="L11" s="3"/>
      <c r="M11" s="3"/>
      <c r="O11" s="3"/>
      <c r="P11" s="3">
        <v>85642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f>SUM($F11:AJ11)</f>
        <v>85642</v>
      </c>
      <c r="AL11" s="22"/>
    </row>
    <row r="12" spans="1:41" x14ac:dyDescent="0.35">
      <c r="A12" t="s">
        <v>944</v>
      </c>
      <c r="B12" t="s">
        <v>941</v>
      </c>
      <c r="C12" s="5">
        <v>44658</v>
      </c>
      <c r="D12" s="3">
        <v>126975</v>
      </c>
      <c r="E12" s="6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126975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f>SUM($F12:AJ12)</f>
        <v>126975</v>
      </c>
      <c r="AL12" s="22"/>
      <c r="AN12" t="s">
        <v>13</v>
      </c>
    </row>
    <row r="13" spans="1:41" x14ac:dyDescent="0.35">
      <c r="A13" t="s">
        <v>943</v>
      </c>
      <c r="B13" t="s">
        <v>942</v>
      </c>
      <c r="C13" s="5">
        <v>44658</v>
      </c>
      <c r="D13" s="3">
        <v>44308</v>
      </c>
      <c r="E13" s="6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>
        <v>44308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f>SUM($F13:AJ13)</f>
        <v>44308</v>
      </c>
      <c r="AL13" s="22"/>
      <c r="AN13" t="s">
        <v>13</v>
      </c>
    </row>
    <row r="14" spans="1:41" x14ac:dyDescent="0.35">
      <c r="A14" t="s">
        <v>959</v>
      </c>
      <c r="B14" t="s">
        <v>956</v>
      </c>
      <c r="C14" s="5">
        <v>44665</v>
      </c>
      <c r="D14" s="3">
        <v>85642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85642</v>
      </c>
      <c r="AE14" s="3"/>
      <c r="AF14" s="3"/>
      <c r="AG14" s="3"/>
      <c r="AH14" s="3"/>
      <c r="AI14" s="3"/>
      <c r="AJ14" s="3"/>
      <c r="AK14" s="3">
        <f>SUM($F14:AJ14)</f>
        <v>85642</v>
      </c>
      <c r="AL14" s="22"/>
      <c r="AN14" s="170" t="s">
        <v>13</v>
      </c>
      <c r="AO14" t="s">
        <v>13</v>
      </c>
    </row>
    <row r="15" spans="1:41" x14ac:dyDescent="0.35">
      <c r="A15" t="s">
        <v>960</v>
      </c>
      <c r="B15" t="s">
        <v>957</v>
      </c>
      <c r="C15" s="5">
        <v>44668</v>
      </c>
      <c r="D15" s="3">
        <v>85642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85642</v>
      </c>
      <c r="AE15" s="3"/>
      <c r="AF15" s="3"/>
      <c r="AG15" s="3"/>
      <c r="AH15" s="3"/>
      <c r="AI15" s="3"/>
      <c r="AJ15" s="3"/>
      <c r="AK15" s="3">
        <f>SUM($F15:AJ15)</f>
        <v>85642</v>
      </c>
      <c r="AL15" s="22"/>
    </row>
    <row r="16" spans="1:41" x14ac:dyDescent="0.35">
      <c r="A16" t="s">
        <v>961</v>
      </c>
      <c r="B16" t="s">
        <v>958</v>
      </c>
      <c r="C16" s="5">
        <v>44668</v>
      </c>
      <c r="D16" s="3">
        <v>85642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f>SUM($F16:AJ16)</f>
        <v>0</v>
      </c>
      <c r="AL16" s="22"/>
    </row>
    <row r="17" spans="1:38" x14ac:dyDescent="0.35">
      <c r="A17" t="s">
        <v>970</v>
      </c>
      <c r="B17" t="s">
        <v>971</v>
      </c>
      <c r="C17" s="5">
        <v>44676</v>
      </c>
      <c r="D17" s="3">
        <v>85642</v>
      </c>
      <c r="E17" s="6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f>SUM($F17:AJ17)</f>
        <v>0</v>
      </c>
      <c r="AL17" s="22"/>
    </row>
    <row r="18" spans="1:38" x14ac:dyDescent="0.35">
      <c r="A18" t="s">
        <v>982</v>
      </c>
      <c r="B18" t="s">
        <v>978</v>
      </c>
      <c r="C18" s="5">
        <v>44680</v>
      </c>
      <c r="D18" s="3">
        <v>93496</v>
      </c>
      <c r="E18" s="6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f>SUM($F18:AJ18)</f>
        <v>0</v>
      </c>
      <c r="AL18" s="22"/>
    </row>
    <row r="19" spans="1:38" x14ac:dyDescent="0.35">
      <c r="A19" t="s">
        <v>983</v>
      </c>
      <c r="B19" t="s">
        <v>979</v>
      </c>
      <c r="C19" s="5">
        <v>44680</v>
      </c>
      <c r="D19" s="3">
        <v>93496</v>
      </c>
      <c r="E19" s="6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f>SUM($F19:AJ19)</f>
        <v>0</v>
      </c>
      <c r="AL19" s="22"/>
    </row>
    <row r="20" spans="1:38" x14ac:dyDescent="0.35">
      <c r="A20" t="s">
        <v>984</v>
      </c>
      <c r="B20" t="s">
        <v>980</v>
      </c>
      <c r="C20" s="5">
        <v>44680</v>
      </c>
      <c r="D20" s="3">
        <v>44308</v>
      </c>
      <c r="E20" s="6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f>SUM($F20:AJ20)</f>
        <v>0</v>
      </c>
      <c r="AL20" s="22"/>
    </row>
    <row r="21" spans="1:38" x14ac:dyDescent="0.35">
      <c r="A21" t="s">
        <v>985</v>
      </c>
      <c r="B21" t="s">
        <v>981</v>
      </c>
      <c r="C21" s="5">
        <v>44680</v>
      </c>
      <c r="D21" s="3">
        <v>52162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f>SUM($F21:AJ21)</f>
        <v>0</v>
      </c>
      <c r="AL21" s="22"/>
    </row>
    <row r="22" spans="1:38" x14ac:dyDescent="0.35">
      <c r="A22" t="s">
        <v>1062</v>
      </c>
      <c r="C22" s="5">
        <v>44680</v>
      </c>
      <c r="D22" s="3">
        <v>81917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>
        <v>81917</v>
      </c>
      <c r="AI22" s="3"/>
      <c r="AJ22" s="3"/>
      <c r="AK22" s="3">
        <f>SUM($F22:AJ22)</f>
        <v>81917</v>
      </c>
      <c r="AL22" s="22"/>
    </row>
    <row r="23" spans="1:38" x14ac:dyDescent="0.35">
      <c r="C23" s="5"/>
      <c r="D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f>SUM($F23:AJ23)</f>
        <v>0</v>
      </c>
      <c r="AL23" s="22"/>
    </row>
    <row r="24" spans="1:38" x14ac:dyDescent="0.35">
      <c r="A24" t="s">
        <v>345</v>
      </c>
      <c r="B24" t="s">
        <v>344</v>
      </c>
      <c r="C24" s="5" t="s">
        <v>13</v>
      </c>
      <c r="D24" s="3">
        <v>0</v>
      </c>
      <c r="E24" t="s">
        <v>382</v>
      </c>
      <c r="F24" s="3" t="s">
        <v>13</v>
      </c>
      <c r="G24" s="3"/>
      <c r="H24" s="3"/>
      <c r="I24" s="3"/>
      <c r="J24" s="3" t="s">
        <v>13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f>SUM($F24:AJ24)</f>
        <v>0</v>
      </c>
      <c r="AL24" s="22" t="s">
        <v>13</v>
      </c>
    </row>
    <row r="25" spans="1:38" x14ac:dyDescent="0.35">
      <c r="A25" t="s">
        <v>13</v>
      </c>
      <c r="F25" s="3"/>
      <c r="G25" s="3" t="s">
        <v>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>
        <f>SUM($F25:AJ25)</f>
        <v>0</v>
      </c>
    </row>
    <row r="26" spans="1:38" x14ac:dyDescent="0.35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AK26" s="72">
        <f>SUM(AK5:AK25)</f>
        <v>681410</v>
      </c>
    </row>
    <row r="27" spans="1:38" x14ac:dyDescent="0.35">
      <c r="A27" s="2" t="s">
        <v>6</v>
      </c>
      <c r="F27" s="3">
        <f t="shared" ref="F27:AJ27" si="1">SUM(F5:F26)</f>
        <v>0</v>
      </c>
      <c r="G27" s="3">
        <f t="shared" si="1"/>
        <v>0</v>
      </c>
      <c r="H27" s="3">
        <f t="shared" si="1"/>
        <v>0</v>
      </c>
      <c r="I27" s="3">
        <f t="shared" si="1"/>
        <v>0</v>
      </c>
      <c r="J27" s="3">
        <f t="shared" si="1"/>
        <v>0</v>
      </c>
      <c r="K27" s="3">
        <f t="shared" si="1"/>
        <v>0</v>
      </c>
      <c r="L27" s="3">
        <f t="shared" si="1"/>
        <v>0</v>
      </c>
      <c r="M27" s="3">
        <f t="shared" si="1"/>
        <v>0</v>
      </c>
      <c r="N27" s="3">
        <f t="shared" si="1"/>
        <v>0</v>
      </c>
      <c r="O27" s="3">
        <f t="shared" si="1"/>
        <v>0</v>
      </c>
      <c r="P27" s="3">
        <f t="shared" si="1"/>
        <v>256926</v>
      </c>
      <c r="Q27" s="3">
        <f t="shared" si="1"/>
        <v>0</v>
      </c>
      <c r="R27" s="3">
        <f t="shared" si="1"/>
        <v>0</v>
      </c>
      <c r="S27" s="3">
        <f t="shared" si="1"/>
        <v>0</v>
      </c>
      <c r="T27" s="3">
        <f t="shared" si="1"/>
        <v>0</v>
      </c>
      <c r="U27" s="3">
        <f t="shared" si="1"/>
        <v>0</v>
      </c>
      <c r="V27" s="3">
        <f t="shared" si="1"/>
        <v>0</v>
      </c>
      <c r="W27" s="3">
        <f t="shared" si="1"/>
        <v>0</v>
      </c>
      <c r="X27" s="3">
        <f t="shared" si="1"/>
        <v>171283</v>
      </c>
      <c r="Y27" s="3">
        <f t="shared" si="1"/>
        <v>0</v>
      </c>
      <c r="Z27" s="3">
        <f t="shared" si="1"/>
        <v>0</v>
      </c>
      <c r="AA27" s="3">
        <f t="shared" si="1"/>
        <v>0</v>
      </c>
      <c r="AB27" s="3">
        <f t="shared" si="1"/>
        <v>0</v>
      </c>
      <c r="AC27" s="3">
        <f t="shared" si="1"/>
        <v>0</v>
      </c>
      <c r="AD27" s="3">
        <f t="shared" si="1"/>
        <v>171284</v>
      </c>
      <c r="AE27" s="3">
        <f t="shared" si="1"/>
        <v>0</v>
      </c>
      <c r="AF27" s="3">
        <f t="shared" si="1"/>
        <v>0</v>
      </c>
      <c r="AG27" s="3">
        <f t="shared" si="1"/>
        <v>0</v>
      </c>
      <c r="AH27" s="3">
        <f t="shared" si="1"/>
        <v>81917</v>
      </c>
      <c r="AI27" s="3">
        <f t="shared" si="1"/>
        <v>0</v>
      </c>
      <c r="AJ27" s="3">
        <f t="shared" si="1"/>
        <v>0</v>
      </c>
    </row>
    <row r="28" spans="1:38" x14ac:dyDescent="0.35">
      <c r="A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8" x14ac:dyDescent="0.35">
      <c r="A29" s="2" t="s">
        <v>2</v>
      </c>
      <c r="F29" s="3"/>
      <c r="G29" s="3"/>
      <c r="H29" s="3"/>
      <c r="I29" s="3"/>
      <c r="J29" s="3"/>
      <c r="K29" s="3"/>
      <c r="L29" s="3" t="s">
        <v>13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38" x14ac:dyDescent="0.35">
      <c r="A30" s="4" t="s">
        <v>494</v>
      </c>
      <c r="B30" s="24" t="s">
        <v>337</v>
      </c>
      <c r="C30" s="67"/>
      <c r="D30" s="3">
        <v>500000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0</v>
      </c>
    </row>
    <row r="31" spans="1:38" x14ac:dyDescent="0.35">
      <c r="A31" s="4" t="s">
        <v>495</v>
      </c>
      <c r="B31" s="24" t="s">
        <v>337</v>
      </c>
      <c r="C31" s="67"/>
      <c r="D31" s="3">
        <v>500000</v>
      </c>
      <c r="F31" s="3"/>
      <c r="G31" s="3"/>
      <c r="H31" s="3"/>
      <c r="I31" s="3"/>
      <c r="J31" s="3"/>
      <c r="K31" s="3"/>
      <c r="L31" s="3"/>
      <c r="M31" s="3" t="s">
        <v>13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0</v>
      </c>
    </row>
    <row r="32" spans="1:38" x14ac:dyDescent="0.35">
      <c r="A32" s="4" t="s">
        <v>541</v>
      </c>
      <c r="B32" s="24" t="s">
        <v>337</v>
      </c>
      <c r="C32" s="67"/>
      <c r="D32" s="3">
        <v>500000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0</v>
      </c>
    </row>
    <row r="33" spans="1:38" x14ac:dyDescent="0.35">
      <c r="A33" s="4" t="s">
        <v>576</v>
      </c>
      <c r="B33" s="24" t="s">
        <v>337</v>
      </c>
      <c r="C33" s="67"/>
      <c r="D33" s="3">
        <v>500000</v>
      </c>
      <c r="F33" s="3"/>
      <c r="G33" s="3"/>
      <c r="H33" s="3" t="s">
        <v>13</v>
      </c>
      <c r="I33" s="3" t="s">
        <v>13</v>
      </c>
      <c r="J33" s="3" t="s">
        <v>13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0</v>
      </c>
    </row>
    <row r="34" spans="1:38" x14ac:dyDescent="0.35">
      <c r="A34" s="4" t="s">
        <v>629</v>
      </c>
      <c r="B34" s="24" t="s">
        <v>337</v>
      </c>
      <c r="C34" s="67"/>
      <c r="D34" s="3">
        <v>500000</v>
      </c>
      <c r="F34" s="3"/>
      <c r="G34" s="3"/>
      <c r="H34" s="3"/>
      <c r="I34" s="3"/>
      <c r="J34" s="3" t="s">
        <v>13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0</v>
      </c>
    </row>
    <row r="35" spans="1:38" x14ac:dyDescent="0.35">
      <c r="A35" s="4" t="s">
        <v>646</v>
      </c>
      <c r="B35" s="24" t="s">
        <v>337</v>
      </c>
      <c r="C35" s="67"/>
      <c r="D35" s="3">
        <v>250000</v>
      </c>
      <c r="F35" s="3"/>
      <c r="G35" s="3"/>
      <c r="H35" s="3" t="s">
        <v>13</v>
      </c>
      <c r="I35" s="3"/>
      <c r="J35" s="3" t="s">
        <v>13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0</v>
      </c>
    </row>
    <row r="36" spans="1:38" x14ac:dyDescent="0.35">
      <c r="A36" t="s">
        <v>1136</v>
      </c>
      <c r="B36" t="s">
        <v>337</v>
      </c>
      <c r="C36" s="5" t="s">
        <v>13</v>
      </c>
      <c r="D36" s="3">
        <f ca="1">+'MAR-21'!AK19*0.17+('ABR-21'!AJ18+'MAY-21'!AK16+'JUN-21'!AK14+'JUL-21'!AK28+'AGO-21'!AK22+'SEP-21'!AK14+'OCT-21'!AK19)*0.17</f>
        <v>309430.03333333333</v>
      </c>
      <c r="F36" s="3"/>
      <c r="G36" s="3" t="s">
        <v>13</v>
      </c>
      <c r="H36" s="3" t="s">
        <v>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0</v>
      </c>
    </row>
    <row r="37" spans="1:38" x14ac:dyDescent="0.35">
      <c r="A37" t="s">
        <v>1137</v>
      </c>
      <c r="B37" t="s">
        <v>337</v>
      </c>
      <c r="C37" s="5" t="s">
        <v>13</v>
      </c>
      <c r="D37" s="3">
        <f>+'MAR-22'!D40+(AK26-AK22)*0.17</f>
        <v>242556.17000000004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0</v>
      </c>
    </row>
    <row r="38" spans="1:38" x14ac:dyDescent="0.35">
      <c r="A38" s="4" t="s">
        <v>952</v>
      </c>
      <c r="C38" s="5"/>
      <c r="D38" s="3">
        <v>2400000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0</v>
      </c>
    </row>
    <row r="39" spans="1:38" x14ac:dyDescent="0.35">
      <c r="A39" s="4" t="s">
        <v>955</v>
      </c>
      <c r="C39" s="5"/>
      <c r="D39" s="3">
        <v>2400000</v>
      </c>
      <c r="E39" s="3" t="s">
        <v>13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</row>
    <row r="40" spans="1:38" x14ac:dyDescent="0.35">
      <c r="A40" s="4" t="s">
        <v>904</v>
      </c>
      <c r="B40" s="24" t="s">
        <v>905</v>
      </c>
      <c r="C40" s="67">
        <v>44638</v>
      </c>
      <c r="D40" s="3">
        <v>5235</v>
      </c>
      <c r="E40" s="153"/>
      <c r="F40" s="3"/>
      <c r="G40" s="3"/>
      <c r="H40" s="3"/>
      <c r="I40" s="3"/>
      <c r="J40" s="3"/>
      <c r="K40" s="3"/>
      <c r="L40" s="3"/>
      <c r="M40" s="3">
        <v>5235</v>
      </c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  <c r="AK40" s="3">
        <f>SUM($F40:AJ40)</f>
        <v>5235</v>
      </c>
      <c r="AL40" s="22" t="s">
        <v>82</v>
      </c>
    </row>
    <row r="41" spans="1:38" x14ac:dyDescent="0.35">
      <c r="A41" s="4" t="s">
        <v>920</v>
      </c>
      <c r="B41" s="24" t="s">
        <v>921</v>
      </c>
      <c r="C41" s="67">
        <v>44648</v>
      </c>
      <c r="D41" s="3">
        <v>8509</v>
      </c>
      <c r="E41" s="153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AG41" s="3"/>
      <c r="AH41" s="3">
        <v>8509</v>
      </c>
      <c r="AK41" s="3">
        <f>SUM($F41:AJ41)</f>
        <v>8509</v>
      </c>
      <c r="AL41" s="22" t="s">
        <v>83</v>
      </c>
    </row>
    <row r="42" spans="1:38" x14ac:dyDescent="0.35">
      <c r="A42" s="4" t="s">
        <v>908</v>
      </c>
      <c r="B42" s="24"/>
      <c r="C42" s="67">
        <v>44649</v>
      </c>
      <c r="D42" s="3">
        <f>6.9*2*1050/9+2000</f>
        <v>3610</v>
      </c>
      <c r="E42" s="15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G42" s="3"/>
      <c r="AH42" s="3">
        <v>3610</v>
      </c>
      <c r="AK42" s="3">
        <f>SUM($F42:AJ42)</f>
        <v>3610</v>
      </c>
      <c r="AL42" s="22" t="s">
        <v>81</v>
      </c>
    </row>
    <row r="43" spans="1:38" x14ac:dyDescent="0.35">
      <c r="A43" s="4" t="s">
        <v>907</v>
      </c>
      <c r="B43" s="24"/>
      <c r="C43" s="67">
        <v>44649</v>
      </c>
      <c r="D43" s="3">
        <f>13.3*2*1050/9+2000</f>
        <v>5103.3333333333339</v>
      </c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AG43" s="3"/>
      <c r="AH43" s="3">
        <v>5103.3333333333339</v>
      </c>
      <c r="AK43" s="3">
        <f>SUM($F43:AJ43)</f>
        <v>5103.3333333333339</v>
      </c>
      <c r="AL43" s="22" t="s">
        <v>81</v>
      </c>
    </row>
    <row r="44" spans="1:38" x14ac:dyDescent="0.35">
      <c r="A44" s="4" t="s">
        <v>844</v>
      </c>
      <c r="B44" s="24"/>
      <c r="C44" s="67">
        <v>44650</v>
      </c>
      <c r="D44" s="3">
        <f>13.9*1050/9+2000</f>
        <v>3621.666666666667</v>
      </c>
      <c r="E44" s="153"/>
      <c r="F44" s="3"/>
      <c r="G44" s="3" t="s">
        <v>13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AG44" s="3"/>
      <c r="AH44" s="3">
        <v>3621.666666666667</v>
      </c>
      <c r="AK44" s="3">
        <f>SUM($F44:AJ44)</f>
        <v>3621.666666666667</v>
      </c>
      <c r="AL44" s="22" t="s">
        <v>81</v>
      </c>
    </row>
    <row r="45" spans="1:38" x14ac:dyDescent="0.35">
      <c r="A45" s="4" t="s">
        <v>920</v>
      </c>
      <c r="B45" s="24" t="s">
        <v>932</v>
      </c>
      <c r="C45" s="67">
        <v>44650</v>
      </c>
      <c r="D45" s="3">
        <v>4740</v>
      </c>
      <c r="E45" s="153" t="s">
        <v>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G45" s="3"/>
      <c r="AH45" s="3">
        <v>4740</v>
      </c>
      <c r="AK45" s="3">
        <f>SUM($F45:AJ45)</f>
        <v>4740</v>
      </c>
      <c r="AL45" s="22" t="s">
        <v>83</v>
      </c>
    </row>
    <row r="46" spans="1:38" x14ac:dyDescent="0.35">
      <c r="A46" s="4" t="s">
        <v>861</v>
      </c>
      <c r="B46" s="24"/>
      <c r="C46" s="67">
        <v>44652</v>
      </c>
      <c r="D46" s="3">
        <v>81917</v>
      </c>
      <c r="E46" s="153"/>
      <c r="F46" s="3">
        <v>81917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G46" s="3"/>
      <c r="AK46" s="3">
        <f>SUM($F46:AJ46)</f>
        <v>81917</v>
      </c>
      <c r="AL46" s="22" t="s">
        <v>81</v>
      </c>
    </row>
    <row r="47" spans="1:38" x14ac:dyDescent="0.35">
      <c r="A47" s="4" t="s">
        <v>934</v>
      </c>
      <c r="B47" s="24"/>
      <c r="C47" s="67">
        <v>44652</v>
      </c>
      <c r="D47" s="3">
        <v>64159</v>
      </c>
      <c r="E47" s="153"/>
      <c r="F47" s="3">
        <v>64159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G47" s="3"/>
      <c r="AK47" s="3">
        <f>SUM($F47:AJ47)</f>
        <v>64159</v>
      </c>
      <c r="AL47" s="22" t="s">
        <v>81</v>
      </c>
    </row>
    <row r="48" spans="1:38" x14ac:dyDescent="0.35">
      <c r="A48" s="4" t="s">
        <v>935</v>
      </c>
      <c r="B48" s="24" t="s">
        <v>13</v>
      </c>
      <c r="C48" s="67">
        <v>44656</v>
      </c>
      <c r="D48" s="3">
        <v>13905</v>
      </c>
      <c r="E48" s="153"/>
      <c r="F48" s="3"/>
      <c r="G48" s="3"/>
      <c r="H48" s="3"/>
      <c r="I48" s="3"/>
      <c r="J48" s="3">
        <v>13905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AG48" s="3"/>
      <c r="AK48" s="3">
        <f>SUM($F48:AJ48)</f>
        <v>13905</v>
      </c>
      <c r="AL48" s="22" t="s">
        <v>1557</v>
      </c>
    </row>
    <row r="49" spans="1:38" x14ac:dyDescent="0.35">
      <c r="A49" s="4" t="s">
        <v>936</v>
      </c>
      <c r="B49" s="24"/>
      <c r="C49" s="67">
        <v>44656</v>
      </c>
      <c r="D49" s="3">
        <v>6000</v>
      </c>
      <c r="E49" s="153"/>
      <c r="F49" s="3"/>
      <c r="G49" s="3"/>
      <c r="H49" s="3"/>
      <c r="I49" s="3"/>
      <c r="J49" s="3">
        <v>6000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G49" s="3"/>
      <c r="AK49" s="3">
        <f>SUM($F49:AJ49)</f>
        <v>6000</v>
      </c>
      <c r="AL49" s="22" t="s">
        <v>83</v>
      </c>
    </row>
    <row r="50" spans="1:38" x14ac:dyDescent="0.35">
      <c r="A50" s="4" t="s">
        <v>920</v>
      </c>
      <c r="B50" s="24" t="s">
        <v>937</v>
      </c>
      <c r="C50" s="67">
        <v>44658</v>
      </c>
      <c r="D50" s="3">
        <v>11253</v>
      </c>
      <c r="E50" s="153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G50" s="3"/>
      <c r="AH50" s="3">
        <v>11253</v>
      </c>
      <c r="AK50" s="3">
        <f>SUM($F50:AJ50)</f>
        <v>11253</v>
      </c>
      <c r="AL50" s="22" t="s">
        <v>83</v>
      </c>
    </row>
    <row r="51" spans="1:38" x14ac:dyDescent="0.35">
      <c r="A51" s="4" t="s">
        <v>857</v>
      </c>
      <c r="B51" s="24"/>
      <c r="C51" s="67">
        <v>44658</v>
      </c>
      <c r="D51" s="3">
        <f>12.9*1050/9+1100+1068+1736</f>
        <v>5409</v>
      </c>
      <c r="E51" s="15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AG51" s="3"/>
      <c r="AH51" s="3">
        <v>5409</v>
      </c>
      <c r="AK51" s="3">
        <f>SUM($F51:AJ51)</f>
        <v>5409</v>
      </c>
      <c r="AL51" s="22" t="s">
        <v>81</v>
      </c>
    </row>
    <row r="52" spans="1:38" x14ac:dyDescent="0.35">
      <c r="A52" s="4" t="s">
        <v>938</v>
      </c>
      <c r="B52" s="24" t="s">
        <v>939</v>
      </c>
      <c r="C52" s="67">
        <v>44662</v>
      </c>
      <c r="D52" s="3">
        <f>1400*10*1.19</f>
        <v>16660</v>
      </c>
      <c r="E52" s="15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>
        <f>1400*10*1.19</f>
        <v>16660</v>
      </c>
      <c r="Y52" s="3"/>
      <c r="AG52" s="3"/>
      <c r="AK52" s="3">
        <f>SUM($F52:AJ52)</f>
        <v>16660</v>
      </c>
      <c r="AL52" s="22" t="s">
        <v>83</v>
      </c>
    </row>
    <row r="53" spans="1:38" x14ac:dyDescent="0.35">
      <c r="A53" s="4" t="s">
        <v>946</v>
      </c>
      <c r="B53" s="24"/>
      <c r="C53" s="67">
        <v>44662</v>
      </c>
      <c r="D53" s="3">
        <v>45525</v>
      </c>
      <c r="E53" s="153"/>
      <c r="F53" s="3"/>
      <c r="G53" s="3"/>
      <c r="H53" s="3"/>
      <c r="I53" s="3"/>
      <c r="J53" s="3"/>
      <c r="K53" s="3"/>
      <c r="L53" s="3"/>
      <c r="M53" s="3"/>
      <c r="N53" s="3"/>
      <c r="O53" s="3"/>
      <c r="P53" s="3">
        <v>45525</v>
      </c>
      <c r="Q53" s="3"/>
      <c r="R53" s="3"/>
      <c r="S53" s="3"/>
      <c r="T53" s="3"/>
      <c r="U53" s="3"/>
      <c r="V53" s="3"/>
      <c r="W53" s="3"/>
      <c r="Y53" s="3"/>
      <c r="AG53" s="3"/>
      <c r="AK53" s="3">
        <f>SUM($F53:AJ53)</f>
        <v>45525</v>
      </c>
      <c r="AL53" s="22" t="s">
        <v>81</v>
      </c>
    </row>
    <row r="54" spans="1:38" x14ac:dyDescent="0.35">
      <c r="A54" s="4" t="s">
        <v>861</v>
      </c>
      <c r="B54" s="24"/>
      <c r="C54" s="67">
        <v>44664</v>
      </c>
      <c r="D54" s="3">
        <v>97740</v>
      </c>
      <c r="E54" s="15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>
        <v>97740</v>
      </c>
      <c r="S54" s="3"/>
      <c r="T54" s="3"/>
      <c r="U54" s="3"/>
      <c r="V54" s="3"/>
      <c r="W54" s="3"/>
      <c r="Y54" s="3"/>
      <c r="AG54" s="3"/>
      <c r="AK54" s="3">
        <f>SUM($F54:AJ54)</f>
        <v>97740</v>
      </c>
      <c r="AL54" s="22" t="s">
        <v>81</v>
      </c>
    </row>
    <row r="55" spans="1:38" x14ac:dyDescent="0.35">
      <c r="A55" s="4" t="s">
        <v>934</v>
      </c>
      <c r="B55" s="24"/>
      <c r="C55" s="67">
        <v>44664</v>
      </c>
      <c r="D55" s="3">
        <v>39214</v>
      </c>
      <c r="E55" s="15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>
        <v>39214</v>
      </c>
      <c r="S55" s="3"/>
      <c r="T55" s="3"/>
      <c r="U55" s="3"/>
      <c r="V55" s="3"/>
      <c r="W55" s="3"/>
      <c r="Y55" s="3"/>
      <c r="AG55" s="3"/>
      <c r="AK55" s="3">
        <f>SUM($F55:AJ55)</f>
        <v>39214</v>
      </c>
      <c r="AL55" s="22" t="s">
        <v>81</v>
      </c>
    </row>
    <row r="56" spans="1:38" x14ac:dyDescent="0.35">
      <c r="A56" s="4" t="s">
        <v>857</v>
      </c>
      <c r="B56" s="24"/>
      <c r="C56" s="67">
        <v>44665</v>
      </c>
      <c r="D56" s="3">
        <f>12.9*1050/9+1100+1068+1736</f>
        <v>5409</v>
      </c>
      <c r="E56" s="15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G56" s="3"/>
      <c r="AH56" s="3">
        <v>5409</v>
      </c>
      <c r="AK56" s="3">
        <f>SUM($F56:AJ56)</f>
        <v>5409</v>
      </c>
      <c r="AL56" s="22" t="s">
        <v>81</v>
      </c>
    </row>
    <row r="57" spans="1:38" x14ac:dyDescent="0.35">
      <c r="A57" s="4" t="s">
        <v>908</v>
      </c>
      <c r="B57" s="24"/>
      <c r="C57" s="67">
        <v>44667</v>
      </c>
      <c r="D57" s="3">
        <f>6.9*2*1050/9+2000</f>
        <v>3610</v>
      </c>
      <c r="E57" s="15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G57" s="3"/>
      <c r="AH57" s="3">
        <v>3610</v>
      </c>
      <c r="AK57" s="3">
        <f>SUM($F57:AJ57)</f>
        <v>3610</v>
      </c>
      <c r="AL57" s="22" t="s">
        <v>81</v>
      </c>
    </row>
    <row r="58" spans="1:38" x14ac:dyDescent="0.35">
      <c r="A58" s="4" t="s">
        <v>920</v>
      </c>
      <c r="B58" s="24" t="s">
        <v>963</v>
      </c>
      <c r="C58" s="67">
        <v>44665</v>
      </c>
      <c r="D58" s="3">
        <v>9821</v>
      </c>
      <c r="E58" s="153" t="s">
        <v>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G58" s="3"/>
      <c r="AH58" s="3">
        <v>9821</v>
      </c>
      <c r="AK58" s="3">
        <f>SUM($F58:AJ58)</f>
        <v>9821</v>
      </c>
      <c r="AL58" s="22" t="s">
        <v>83</v>
      </c>
    </row>
    <row r="59" spans="1:38" x14ac:dyDescent="0.35">
      <c r="A59" s="4" t="s">
        <v>920</v>
      </c>
      <c r="B59" s="24" t="s">
        <v>962</v>
      </c>
      <c r="C59" s="67">
        <v>44667</v>
      </c>
      <c r="D59" s="3">
        <v>7680</v>
      </c>
      <c r="E59" s="153" t="s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G59" s="3"/>
      <c r="AH59" s="3">
        <v>7680</v>
      </c>
      <c r="AK59" s="3">
        <f>SUM($F59:AJ59)</f>
        <v>7680</v>
      </c>
      <c r="AL59" s="22" t="s">
        <v>83</v>
      </c>
    </row>
    <row r="60" spans="1:38" x14ac:dyDescent="0.35">
      <c r="A60" s="4" t="s">
        <v>964</v>
      </c>
      <c r="B60" s="24" t="s">
        <v>975</v>
      </c>
      <c r="C60" s="67">
        <v>44669</v>
      </c>
      <c r="D60" s="3">
        <v>58000</v>
      </c>
      <c r="E60" s="15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>
        <v>58000</v>
      </c>
      <c r="Y60" s="3"/>
      <c r="AG60" s="3"/>
      <c r="AK60" s="3">
        <f>SUM($F60:AJ60)</f>
        <v>58000</v>
      </c>
      <c r="AL60" s="22" t="s">
        <v>81</v>
      </c>
    </row>
    <row r="61" spans="1:38" x14ac:dyDescent="0.35">
      <c r="A61" s="4" t="s">
        <v>965</v>
      </c>
      <c r="B61" s="24" t="s">
        <v>966</v>
      </c>
      <c r="C61" s="67">
        <v>44671</v>
      </c>
      <c r="D61" s="3">
        <f>4*3000*1.19</f>
        <v>14280</v>
      </c>
      <c r="E61" s="15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Z61" s="3">
        <v>14280</v>
      </c>
      <c r="AG61" s="3"/>
      <c r="AK61" s="3">
        <f>SUM($F61:AJ61)</f>
        <v>14280</v>
      </c>
      <c r="AL61" s="22" t="s">
        <v>81</v>
      </c>
    </row>
    <row r="62" spans="1:38" x14ac:dyDescent="0.35">
      <c r="A62" s="4" t="s">
        <v>844</v>
      </c>
      <c r="B62" s="24"/>
      <c r="C62" s="67">
        <v>44676</v>
      </c>
      <c r="D62" s="3">
        <f>13.9*1050/9+2000</f>
        <v>3621.666666666667</v>
      </c>
      <c r="E62" s="15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G62" s="3"/>
      <c r="AH62" s="3">
        <v>3621.666666666667</v>
      </c>
      <c r="AK62" s="3">
        <f>SUM($F62:AJ62)</f>
        <v>3621.666666666667</v>
      </c>
      <c r="AL62" s="22" t="s">
        <v>81</v>
      </c>
    </row>
    <row r="63" spans="1:38" x14ac:dyDescent="0.35">
      <c r="A63" s="4" t="s">
        <v>920</v>
      </c>
      <c r="B63" s="24" t="s">
        <v>972</v>
      </c>
      <c r="C63" s="67">
        <v>44676</v>
      </c>
      <c r="D63" s="3">
        <v>2560</v>
      </c>
      <c r="E63" s="153" t="s">
        <v>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G63" s="3"/>
      <c r="AH63" s="3">
        <v>2560</v>
      </c>
      <c r="AK63" s="3">
        <f>SUM($F63:AJ63)</f>
        <v>2560</v>
      </c>
      <c r="AL63" s="22" t="s">
        <v>81</v>
      </c>
    </row>
    <row r="64" spans="1:38" x14ac:dyDescent="0.35">
      <c r="A64" s="4" t="s">
        <v>973</v>
      </c>
      <c r="B64" s="24" t="s">
        <v>974</v>
      </c>
      <c r="C64" s="67">
        <v>44676</v>
      </c>
      <c r="D64" s="3">
        <f>2*3000*1.19</f>
        <v>7140</v>
      </c>
      <c r="E64" s="15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AE64" s="3">
        <f>2*3000*1.19</f>
        <v>7140</v>
      </c>
      <c r="AG64" s="3"/>
      <c r="AK64" s="3">
        <f>SUM($F64:AJ64)</f>
        <v>7140</v>
      </c>
      <c r="AL64" s="22" t="s">
        <v>81</v>
      </c>
    </row>
    <row r="65" spans="1:39" x14ac:dyDescent="0.35">
      <c r="A65" s="4" t="s">
        <v>976</v>
      </c>
      <c r="B65" s="24">
        <f>95.69/8</f>
        <v>11.96125</v>
      </c>
      <c r="C65" s="67">
        <v>44679</v>
      </c>
      <c r="D65" s="3">
        <f>+B65*D70</f>
        <v>384388.40457499999</v>
      </c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AG65" s="3" t="s">
        <v>13</v>
      </c>
      <c r="AH65" s="3">
        <v>384388.40457499999</v>
      </c>
      <c r="AK65" s="3">
        <f>SUM($F65:AJ65)</f>
        <v>384388.40457499999</v>
      </c>
      <c r="AL65" s="22" t="s">
        <v>1557</v>
      </c>
    </row>
    <row r="66" spans="1:39" x14ac:dyDescent="0.35">
      <c r="A66" s="4" t="s">
        <v>908</v>
      </c>
      <c r="B66" s="24"/>
      <c r="C66" s="67">
        <v>44679</v>
      </c>
      <c r="D66" s="3">
        <f>6.9*2*1050/9+2000</f>
        <v>3610</v>
      </c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AG66" s="3"/>
      <c r="AH66" s="3">
        <v>3610</v>
      </c>
      <c r="AK66" s="3">
        <f>SUM($F66:AJ66)</f>
        <v>3610</v>
      </c>
      <c r="AL66" s="22" t="s">
        <v>81</v>
      </c>
    </row>
    <row r="67" spans="1:39" x14ac:dyDescent="0.35">
      <c r="A67" s="4" t="s">
        <v>857</v>
      </c>
      <c r="B67" s="24"/>
      <c r="C67" s="67">
        <v>44680</v>
      </c>
      <c r="D67" s="3">
        <f>12.9*1050/9+1100+1068+1736</f>
        <v>5409</v>
      </c>
      <c r="E67" s="15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AG67" s="3"/>
      <c r="AH67" s="3">
        <v>5410</v>
      </c>
      <c r="AK67" s="3">
        <f>SUM($F67:AJ67)</f>
        <v>5410</v>
      </c>
      <c r="AL67" s="22" t="s">
        <v>81</v>
      </c>
    </row>
    <row r="68" spans="1:39" x14ac:dyDescent="0.35">
      <c r="A68" s="4" t="s">
        <v>920</v>
      </c>
      <c r="B68" s="24" t="s">
        <v>977</v>
      </c>
      <c r="C68" s="67">
        <v>44679</v>
      </c>
      <c r="D68" s="3">
        <v>12340</v>
      </c>
      <c r="E68" s="153" t="s">
        <v>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AG68" s="3"/>
      <c r="AH68" s="3">
        <v>12340</v>
      </c>
      <c r="AK68" s="3">
        <f>SUM($F68:AJ68)</f>
        <v>12340</v>
      </c>
      <c r="AL68" s="22" t="s">
        <v>83</v>
      </c>
      <c r="AM68">
        <v>96307</v>
      </c>
    </row>
    <row r="69" spans="1:39" x14ac:dyDescent="0.35">
      <c r="A69" s="4"/>
      <c r="B69" s="24"/>
      <c r="C69" s="67"/>
      <c r="D69" s="3"/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AG69" s="3"/>
      <c r="AK69" s="3"/>
      <c r="AL69" s="22"/>
    </row>
    <row r="70" spans="1:39" x14ac:dyDescent="0.35">
      <c r="A70" s="4"/>
      <c r="B70" s="24"/>
      <c r="C70" s="67" t="s">
        <v>933</v>
      </c>
      <c r="D70" s="236">
        <v>32136.14</v>
      </c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J70" s="3"/>
      <c r="AK70" s="3" t="s">
        <v>13</v>
      </c>
      <c r="AL70" s="22"/>
    </row>
    <row r="71" spans="1:39" x14ac:dyDescent="0.35">
      <c r="A71" s="2" t="s">
        <v>9</v>
      </c>
      <c r="D71" s="3" t="s">
        <v>13</v>
      </c>
      <c r="F71" s="3">
        <f t="shared" ref="F71:AJ71" si="2">SUM(F30:F70)</f>
        <v>146076</v>
      </c>
      <c r="G71" s="3">
        <f t="shared" si="2"/>
        <v>0</v>
      </c>
      <c r="H71" s="3">
        <f t="shared" si="2"/>
        <v>0</v>
      </c>
      <c r="I71" s="3">
        <f t="shared" si="2"/>
        <v>0</v>
      </c>
      <c r="J71" s="3">
        <f t="shared" si="2"/>
        <v>19905</v>
      </c>
      <c r="K71" s="3">
        <f t="shared" si="2"/>
        <v>0</v>
      </c>
      <c r="L71" s="3">
        <f t="shared" si="2"/>
        <v>0</v>
      </c>
      <c r="M71" s="3">
        <f t="shared" si="2"/>
        <v>5235</v>
      </c>
      <c r="N71" s="3">
        <f t="shared" si="2"/>
        <v>0</v>
      </c>
      <c r="O71" s="3">
        <f t="shared" si="2"/>
        <v>0</v>
      </c>
      <c r="P71" s="3">
        <f t="shared" si="2"/>
        <v>45525</v>
      </c>
      <c r="Q71" s="3">
        <f t="shared" si="2"/>
        <v>0</v>
      </c>
      <c r="R71" s="3">
        <f t="shared" si="2"/>
        <v>136954</v>
      </c>
      <c r="S71" s="3">
        <f t="shared" si="2"/>
        <v>0</v>
      </c>
      <c r="T71" s="3">
        <f t="shared" si="2"/>
        <v>0</v>
      </c>
      <c r="U71" s="3">
        <f t="shared" si="2"/>
        <v>0</v>
      </c>
      <c r="V71" s="3">
        <f t="shared" si="2"/>
        <v>0</v>
      </c>
      <c r="W71" s="3">
        <f t="shared" si="2"/>
        <v>74660</v>
      </c>
      <c r="X71" s="3">
        <f t="shared" si="2"/>
        <v>0</v>
      </c>
      <c r="Y71" s="3">
        <f t="shared" si="2"/>
        <v>0</v>
      </c>
      <c r="Z71" s="3">
        <f t="shared" si="2"/>
        <v>14280</v>
      </c>
      <c r="AA71" s="3">
        <f t="shared" si="2"/>
        <v>0</v>
      </c>
      <c r="AB71" s="3">
        <f t="shared" si="2"/>
        <v>0</v>
      </c>
      <c r="AC71" s="3">
        <f t="shared" si="2"/>
        <v>0</v>
      </c>
      <c r="AD71" s="3">
        <f t="shared" si="2"/>
        <v>0</v>
      </c>
      <c r="AE71" s="3">
        <f t="shared" si="2"/>
        <v>7140</v>
      </c>
      <c r="AF71" s="3">
        <f t="shared" si="2"/>
        <v>0</v>
      </c>
      <c r="AG71" s="3">
        <f t="shared" si="2"/>
        <v>0</v>
      </c>
      <c r="AH71" s="3">
        <f t="shared" si="2"/>
        <v>480696.07124166668</v>
      </c>
      <c r="AI71" s="3">
        <f t="shared" si="2"/>
        <v>0</v>
      </c>
      <c r="AJ71" s="3">
        <f t="shared" si="2"/>
        <v>0</v>
      </c>
      <c r="AK71" s="72">
        <f>SUM(AK30:AK64)</f>
        <v>524722.66666666674</v>
      </c>
    </row>
    <row r="72" spans="1:39" x14ac:dyDescent="0.35">
      <c r="A72" t="s">
        <v>8</v>
      </c>
      <c r="F72" s="3">
        <f t="shared" ref="F72:AI72" si="3">+F27+F3-F71</f>
        <v>210098.58700280089</v>
      </c>
      <c r="G72" s="3">
        <f t="shared" si="3"/>
        <v>210098.58700280089</v>
      </c>
      <c r="H72" s="3">
        <f t="shared" si="3"/>
        <v>210098.58700280089</v>
      </c>
      <c r="I72" s="3">
        <f t="shared" si="3"/>
        <v>210098.58700280089</v>
      </c>
      <c r="J72" s="3">
        <f t="shared" si="3"/>
        <v>190193.58700280089</v>
      </c>
      <c r="K72" s="3">
        <f t="shared" si="3"/>
        <v>190193.58700280089</v>
      </c>
      <c r="L72" s="3">
        <f t="shared" si="3"/>
        <v>190193.58700280089</v>
      </c>
      <c r="M72" s="3">
        <f t="shared" si="3"/>
        <v>184958.58700280089</v>
      </c>
      <c r="N72" s="3">
        <f t="shared" si="3"/>
        <v>184958.58700280089</v>
      </c>
      <c r="O72" s="3">
        <f t="shared" si="3"/>
        <v>184958.58700280089</v>
      </c>
      <c r="P72" s="3">
        <f t="shared" si="3"/>
        <v>396359.58700280089</v>
      </c>
      <c r="Q72" s="3">
        <f t="shared" si="3"/>
        <v>396359.58700280089</v>
      </c>
      <c r="R72" s="3">
        <f t="shared" si="3"/>
        <v>259405.58700280089</v>
      </c>
      <c r="S72" s="3">
        <f t="shared" si="3"/>
        <v>259405.58700280089</v>
      </c>
      <c r="T72" s="3">
        <f t="shared" si="3"/>
        <v>259405.58700280089</v>
      </c>
      <c r="U72" s="3">
        <f t="shared" si="3"/>
        <v>259405.58700280089</v>
      </c>
      <c r="V72" s="3">
        <f t="shared" si="3"/>
        <v>259405.58700280089</v>
      </c>
      <c r="W72" s="3">
        <f t="shared" si="3"/>
        <v>184745.58700280089</v>
      </c>
      <c r="X72" s="3">
        <f t="shared" si="3"/>
        <v>356028.58700280089</v>
      </c>
      <c r="Y72" s="3">
        <f t="shared" si="3"/>
        <v>356028.58700280089</v>
      </c>
      <c r="Z72" s="3">
        <f t="shared" si="3"/>
        <v>341748.58700280089</v>
      </c>
      <c r="AA72" s="3">
        <f t="shared" si="3"/>
        <v>341748.58700280089</v>
      </c>
      <c r="AB72" s="3">
        <f t="shared" si="3"/>
        <v>341748.58700280089</v>
      </c>
      <c r="AC72" s="3">
        <f t="shared" si="3"/>
        <v>341748.58700280089</v>
      </c>
      <c r="AD72" s="3">
        <f t="shared" si="3"/>
        <v>513032.58700280089</v>
      </c>
      <c r="AE72" s="3">
        <f t="shared" si="3"/>
        <v>505892.58700280089</v>
      </c>
      <c r="AF72" s="3">
        <f t="shared" si="3"/>
        <v>505892.58700280089</v>
      </c>
      <c r="AG72" s="3">
        <f t="shared" si="3"/>
        <v>505892.58700280089</v>
      </c>
      <c r="AH72" s="3">
        <f t="shared" si="3"/>
        <v>107113.51576113421</v>
      </c>
      <c r="AI72" s="3">
        <f t="shared" si="3"/>
        <v>107113.51576113421</v>
      </c>
      <c r="AJ72" s="3">
        <f>+AJ3+AJ27-AJ71</f>
        <v>107113.51576113421</v>
      </c>
      <c r="AK72" s="3" t="s">
        <v>13</v>
      </c>
    </row>
    <row r="73" spans="1:39" x14ac:dyDescent="0.35">
      <c r="F73" s="3"/>
      <c r="G73" s="3"/>
      <c r="H73" s="3"/>
      <c r="I73" s="3" t="s">
        <v>13</v>
      </c>
      <c r="J73" s="3"/>
      <c r="K73" s="3"/>
      <c r="L73" s="3"/>
      <c r="M73" s="3"/>
      <c r="N73" s="3"/>
      <c r="O73" s="3"/>
      <c r="P73" s="3" t="s">
        <v>13</v>
      </c>
      <c r="Q73" s="3"/>
      <c r="R73" s="3"/>
      <c r="S73" s="3"/>
      <c r="T73" s="3" t="s">
        <v>13</v>
      </c>
      <c r="U73" s="3"/>
      <c r="V73" s="3"/>
      <c r="W73" s="3"/>
      <c r="Y73" s="3" t="s">
        <v>13</v>
      </c>
      <c r="AA73" s="3" t="s">
        <v>13</v>
      </c>
      <c r="AB73" s="3" t="s">
        <v>13</v>
      </c>
    </row>
    <row r="74" spans="1:39" x14ac:dyDescent="0.35">
      <c r="B74" t="s">
        <v>13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 t="s">
        <v>13</v>
      </c>
      <c r="Q74" s="3" t="s">
        <v>13</v>
      </c>
      <c r="R74" s="3" t="s">
        <v>13</v>
      </c>
      <c r="S74" s="3"/>
      <c r="T74" s="3"/>
      <c r="U74" s="3" t="s">
        <v>13</v>
      </c>
      <c r="V74" s="3"/>
      <c r="W74" s="3"/>
      <c r="AB74" s="3" t="s">
        <v>13</v>
      </c>
      <c r="AG74" s="3" t="s">
        <v>13</v>
      </c>
      <c r="AJ74" s="3" t="s">
        <v>13</v>
      </c>
    </row>
    <row r="75" spans="1:39" x14ac:dyDescent="0.35">
      <c r="B75" t="s">
        <v>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S75" s="3"/>
      <c r="T75" s="3" t="s">
        <v>13</v>
      </c>
      <c r="U75" s="3"/>
      <c r="V75" s="3"/>
      <c r="W75" s="3"/>
      <c r="AB75" s="3" t="s">
        <v>13</v>
      </c>
    </row>
    <row r="76" spans="1:39" x14ac:dyDescent="0.35">
      <c r="B76" t="s">
        <v>13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S76" s="3"/>
      <c r="T76" s="3"/>
      <c r="U76" s="3"/>
      <c r="V76" s="3"/>
      <c r="W76" s="3" t="s">
        <v>13</v>
      </c>
      <c r="AB76" s="3" t="s">
        <v>13</v>
      </c>
    </row>
    <row r="77" spans="1:39" x14ac:dyDescent="0.35">
      <c r="B77" t="s">
        <v>13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AB77" s="3" t="s">
        <v>13</v>
      </c>
      <c r="AC77" s="59" t="s">
        <v>13</v>
      </c>
      <c r="AD77" t="s">
        <v>13</v>
      </c>
      <c r="AE77" t="s">
        <v>13</v>
      </c>
    </row>
    <row r="78" spans="1:39" x14ac:dyDescent="0.35">
      <c r="B78" t="s">
        <v>13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AB78" s="3" t="s">
        <v>13</v>
      </c>
      <c r="AC78" t="s">
        <v>13</v>
      </c>
    </row>
    <row r="79" spans="1:39" x14ac:dyDescent="0.35">
      <c r="B79" t="s">
        <v>13</v>
      </c>
      <c r="F79" s="3"/>
      <c r="G79" s="3"/>
      <c r="H79" s="3"/>
      <c r="I79" s="3"/>
      <c r="J79" s="3"/>
      <c r="AC79" s="59" t="s">
        <v>13</v>
      </c>
    </row>
    <row r="80" spans="1:39" x14ac:dyDescent="0.35">
      <c r="B80" t="s">
        <v>13</v>
      </c>
      <c r="F80" s="3"/>
      <c r="G80" s="3"/>
      <c r="H80" s="3"/>
      <c r="I80" s="3"/>
      <c r="J80" s="3"/>
      <c r="AB80" t="s">
        <v>13</v>
      </c>
      <c r="AC80" t="s">
        <v>13</v>
      </c>
    </row>
    <row r="81" spans="2:10" x14ac:dyDescent="0.35">
      <c r="B81" t="s">
        <v>13</v>
      </c>
      <c r="F81" s="3"/>
      <c r="G81" s="3"/>
      <c r="H81" s="3"/>
      <c r="I81" s="3"/>
      <c r="J81" s="3"/>
    </row>
    <row r="82" spans="2:10" x14ac:dyDescent="0.35">
      <c r="B82" t="s">
        <v>13</v>
      </c>
      <c r="F82" s="3"/>
      <c r="G82" s="3"/>
      <c r="H82" s="3"/>
      <c r="I82" s="3"/>
      <c r="J82" s="3"/>
    </row>
    <row r="83" spans="2:10" x14ac:dyDescent="0.35">
      <c r="B83" t="s">
        <v>13</v>
      </c>
      <c r="F83" s="3"/>
      <c r="G83" s="3"/>
      <c r="H83" s="3"/>
      <c r="I83" s="3"/>
      <c r="J83" s="3"/>
    </row>
    <row r="84" spans="2:10" x14ac:dyDescent="0.35">
      <c r="B84" t="s">
        <v>13</v>
      </c>
      <c r="F84" s="3"/>
      <c r="G84" s="3"/>
      <c r="H84" s="3"/>
      <c r="I84" s="3"/>
      <c r="J84" s="3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AN87"/>
  <sheetViews>
    <sheetView topLeftCell="A42" workbookViewId="0">
      <selection activeCell="A63" sqref="A63"/>
    </sheetView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44682</v>
      </c>
      <c r="G2" s="1">
        <v>44683</v>
      </c>
      <c r="H2" s="1">
        <v>44684</v>
      </c>
      <c r="I2" s="1">
        <v>44685</v>
      </c>
      <c r="J2" s="1">
        <v>44686</v>
      </c>
      <c r="K2" s="1">
        <v>44687</v>
      </c>
      <c r="L2" s="1">
        <v>44688</v>
      </c>
      <c r="M2" s="1">
        <v>44689</v>
      </c>
      <c r="N2" s="1">
        <v>44690</v>
      </c>
      <c r="O2" s="1">
        <v>44691</v>
      </c>
      <c r="P2" s="1">
        <v>44692</v>
      </c>
      <c r="Q2" s="1">
        <v>44693</v>
      </c>
      <c r="R2" s="1">
        <v>44694</v>
      </c>
      <c r="S2" s="1">
        <v>44695</v>
      </c>
      <c r="T2" s="1">
        <v>44696</v>
      </c>
      <c r="U2" s="1">
        <v>44697</v>
      </c>
      <c r="V2" s="1">
        <v>44698</v>
      </c>
      <c r="W2" s="1">
        <v>44699</v>
      </c>
      <c r="X2" s="1">
        <v>44700</v>
      </c>
      <c r="Y2" s="1">
        <v>44701</v>
      </c>
      <c r="Z2" s="1">
        <v>44702</v>
      </c>
      <c r="AA2" s="1">
        <v>44703</v>
      </c>
      <c r="AB2" s="1">
        <v>44704</v>
      </c>
      <c r="AC2" s="1">
        <v>44705</v>
      </c>
      <c r="AD2" s="1">
        <v>44706</v>
      </c>
      <c r="AE2" s="1">
        <v>44707</v>
      </c>
      <c r="AF2" s="1">
        <v>44708</v>
      </c>
      <c r="AG2" s="1">
        <v>44709</v>
      </c>
      <c r="AH2" s="1">
        <v>44710</v>
      </c>
      <c r="AI2" s="1">
        <v>44711</v>
      </c>
      <c r="AJ2" s="1">
        <v>44712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+'ABR-22'!AI72</f>
        <v>107113.51576113421</v>
      </c>
      <c r="G3" s="3">
        <f>+F75</f>
        <v>107113.51576113421</v>
      </c>
      <c r="H3" s="3">
        <f t="shared" ref="H3:AI3" si="0">+G75</f>
        <v>278397.51576113421</v>
      </c>
      <c r="I3" s="3">
        <f t="shared" si="0"/>
        <v>278397.51576113421</v>
      </c>
      <c r="J3" s="3">
        <f t="shared" si="0"/>
        <v>158397.51576113421</v>
      </c>
      <c r="K3" s="3">
        <f t="shared" si="0"/>
        <v>24492.515761134215</v>
      </c>
      <c r="L3" s="3">
        <f t="shared" si="0"/>
        <v>24492.515761134215</v>
      </c>
      <c r="M3" s="3">
        <f t="shared" si="0"/>
        <v>24492.515761134215</v>
      </c>
      <c r="N3" s="3">
        <f t="shared" si="0"/>
        <v>24492.515761134215</v>
      </c>
      <c r="O3" s="3">
        <f t="shared" si="0"/>
        <v>307954.51576113421</v>
      </c>
      <c r="P3" s="3">
        <f t="shared" si="0"/>
        <v>307954.51576113421</v>
      </c>
      <c r="Q3" s="3">
        <f t="shared" si="0"/>
        <v>79205.515761134215</v>
      </c>
      <c r="R3" s="3">
        <f t="shared" si="0"/>
        <v>8632.5157611342147</v>
      </c>
      <c r="S3" s="3">
        <f t="shared" si="0"/>
        <v>8632.5157611342147</v>
      </c>
      <c r="T3" s="3">
        <f t="shared" si="0"/>
        <v>8632.5157611342147</v>
      </c>
      <c r="U3" s="3">
        <f t="shared" si="0"/>
        <v>8632.5157611342147</v>
      </c>
      <c r="V3" s="3">
        <f t="shared" si="0"/>
        <v>93248.515761134215</v>
      </c>
      <c r="W3" s="3">
        <f t="shared" si="0"/>
        <v>93248.515761134215</v>
      </c>
      <c r="X3" s="3">
        <f t="shared" si="0"/>
        <v>93248.515761134215</v>
      </c>
      <c r="Y3" s="3">
        <f t="shared" si="0"/>
        <v>93248.515761134215</v>
      </c>
      <c r="Z3" s="3">
        <f t="shared" si="0"/>
        <v>93248.515761134215</v>
      </c>
      <c r="AA3" s="3">
        <f t="shared" si="0"/>
        <v>93248.515761134215</v>
      </c>
      <c r="AB3" s="3">
        <f t="shared" si="0"/>
        <v>93248.515761134215</v>
      </c>
      <c r="AC3" s="3">
        <f t="shared" si="0"/>
        <v>93248.515761134215</v>
      </c>
      <c r="AD3" s="3">
        <f t="shared" si="0"/>
        <v>1256169.5157611342</v>
      </c>
      <c r="AE3" s="3">
        <f t="shared" si="0"/>
        <v>1093248.5157611342</v>
      </c>
      <c r="AF3" s="3">
        <f t="shared" si="0"/>
        <v>1304674.5157611342</v>
      </c>
      <c r="AG3" s="3">
        <f t="shared" si="0"/>
        <v>1304674.5157611342</v>
      </c>
      <c r="AH3" s="3">
        <f t="shared" si="0"/>
        <v>813995.9452611343</v>
      </c>
      <c r="AI3" s="3">
        <f t="shared" si="0"/>
        <v>813995.9452611343</v>
      </c>
      <c r="AJ3" s="3">
        <f>+AI75</f>
        <v>813995.9452611343</v>
      </c>
      <c r="AK3" s="3" t="s">
        <v>13</v>
      </c>
      <c r="AL3" s="6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x14ac:dyDescent="0.35">
      <c r="A5" t="s">
        <v>235</v>
      </c>
      <c r="B5" t="s">
        <v>234</v>
      </c>
      <c r="C5" s="5">
        <v>43882</v>
      </c>
      <c r="D5" s="3">
        <v>160200</v>
      </c>
      <c r="E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 t="s">
        <v>13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 t="s">
        <v>13</v>
      </c>
      <c r="AK5" s="3">
        <f>SUM($F5:AJ5)</f>
        <v>0</v>
      </c>
      <c r="AL5" s="22" t="s">
        <v>13</v>
      </c>
    </row>
    <row r="6" spans="1:38" x14ac:dyDescent="0.35">
      <c r="A6" t="s">
        <v>242</v>
      </c>
      <c r="B6" t="s">
        <v>243</v>
      </c>
      <c r="C6" s="5">
        <v>43889</v>
      </c>
      <c r="D6" s="3">
        <v>160200</v>
      </c>
      <c r="E6" t="s">
        <v>13</v>
      </c>
      <c r="F6" s="3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13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f>SUM($F6:AJ6)</f>
        <v>0</v>
      </c>
      <c r="AL6" s="22" t="s">
        <v>13</v>
      </c>
    </row>
    <row r="7" spans="1:38" x14ac:dyDescent="0.35">
      <c r="A7" t="s">
        <v>299</v>
      </c>
      <c r="B7" t="s">
        <v>300</v>
      </c>
      <c r="C7" s="5">
        <v>43904</v>
      </c>
      <c r="D7" s="3">
        <v>160200</v>
      </c>
      <c r="E7" t="s">
        <v>13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 t="s">
        <v>13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SUM($F7:AJ7)</f>
        <v>0</v>
      </c>
      <c r="AL7" s="22" t="s">
        <v>13</v>
      </c>
    </row>
    <row r="8" spans="1:38" x14ac:dyDescent="0.35">
      <c r="A8" t="s">
        <v>895</v>
      </c>
      <c r="B8" t="s">
        <v>886</v>
      </c>
      <c r="C8" s="5">
        <v>44618</v>
      </c>
      <c r="D8" s="3">
        <v>56708</v>
      </c>
      <c r="E8" t="s">
        <v>13</v>
      </c>
      <c r="F8" s="3"/>
      <c r="G8" s="3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0</v>
      </c>
      <c r="AL8" s="22"/>
    </row>
    <row r="9" spans="1:38" x14ac:dyDescent="0.35">
      <c r="A9" t="s">
        <v>961</v>
      </c>
      <c r="B9" t="s">
        <v>958</v>
      </c>
      <c r="C9" s="5">
        <v>44668</v>
      </c>
      <c r="D9" s="3">
        <v>85642</v>
      </c>
      <c r="E9" s="3" t="s">
        <v>13</v>
      </c>
      <c r="F9" s="3"/>
      <c r="G9" s="3">
        <v>85642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f>SUM($F9:AJ9)</f>
        <v>85642</v>
      </c>
      <c r="AL9" s="22"/>
    </row>
    <row r="10" spans="1:38" x14ac:dyDescent="0.35">
      <c r="A10" t="s">
        <v>970</v>
      </c>
      <c r="B10" t="s">
        <v>971</v>
      </c>
      <c r="C10" s="5">
        <v>44676</v>
      </c>
      <c r="D10" s="3">
        <v>85642</v>
      </c>
      <c r="F10" s="3"/>
      <c r="G10" s="3">
        <v>85642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SUM($F10:AJ10)</f>
        <v>85642</v>
      </c>
      <c r="AL10" s="22"/>
    </row>
    <row r="11" spans="1:38" x14ac:dyDescent="0.35">
      <c r="A11" t="s">
        <v>982</v>
      </c>
      <c r="B11" t="s">
        <v>978</v>
      </c>
      <c r="C11" s="5">
        <v>44680</v>
      </c>
      <c r="D11" s="3">
        <v>93496</v>
      </c>
      <c r="F11" s="3"/>
      <c r="G11" s="3"/>
      <c r="H11" s="3"/>
      <c r="I11" s="3"/>
      <c r="J11" s="3"/>
      <c r="K11" s="3"/>
      <c r="L11" s="3"/>
      <c r="M11" s="3"/>
      <c r="N11" s="3">
        <v>93496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f>SUM($F11:AJ11)</f>
        <v>93496</v>
      </c>
      <c r="AL11" s="22"/>
    </row>
    <row r="12" spans="1:38" x14ac:dyDescent="0.35">
      <c r="A12" t="s">
        <v>983</v>
      </c>
      <c r="B12" t="s">
        <v>979</v>
      </c>
      <c r="C12" s="5">
        <v>44680</v>
      </c>
      <c r="D12" s="3">
        <v>93496</v>
      </c>
      <c r="F12" s="3"/>
      <c r="G12" s="3"/>
      <c r="H12" s="3"/>
      <c r="I12" s="3"/>
      <c r="J12" s="3"/>
      <c r="K12" s="3"/>
      <c r="L12" s="3"/>
      <c r="M12" s="3"/>
      <c r="N12" s="3">
        <v>93496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f>SUM($F12:AJ12)</f>
        <v>93496</v>
      </c>
      <c r="AL12" s="22"/>
    </row>
    <row r="13" spans="1:38" x14ac:dyDescent="0.35">
      <c r="A13" t="s">
        <v>984</v>
      </c>
      <c r="B13" t="s">
        <v>980</v>
      </c>
      <c r="C13" s="5">
        <v>44680</v>
      </c>
      <c r="D13" s="3">
        <v>44308</v>
      </c>
      <c r="F13" s="3"/>
      <c r="G13" s="3"/>
      <c r="H13" s="3"/>
      <c r="I13" s="3"/>
      <c r="J13" s="3"/>
      <c r="K13" s="3"/>
      <c r="L13" s="3"/>
      <c r="M13" s="3"/>
      <c r="N13" s="3">
        <v>44308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f>SUM($F13:AJ13)</f>
        <v>44308</v>
      </c>
      <c r="AL13" s="22"/>
    </row>
    <row r="14" spans="1:38" x14ac:dyDescent="0.35">
      <c r="A14" t="s">
        <v>985</v>
      </c>
      <c r="B14" t="s">
        <v>981</v>
      </c>
      <c r="C14" s="5">
        <v>44680</v>
      </c>
      <c r="D14" s="3">
        <v>52162</v>
      </c>
      <c r="F14" s="3"/>
      <c r="G14" s="3"/>
      <c r="H14" s="3"/>
      <c r="I14" s="3"/>
      <c r="J14" s="3"/>
      <c r="K14" s="3"/>
      <c r="L14" s="3"/>
      <c r="M14" s="3"/>
      <c r="N14" s="3">
        <v>52162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f>SUM($F14:AJ14)</f>
        <v>52162</v>
      </c>
      <c r="AL14" s="22"/>
    </row>
    <row r="15" spans="1:38" x14ac:dyDescent="0.35">
      <c r="A15" t="s">
        <v>993</v>
      </c>
      <c r="B15" t="s">
        <v>990</v>
      </c>
      <c r="C15" s="5">
        <v>44687</v>
      </c>
      <c r="D15" s="3">
        <v>44308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44308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f>SUM($F15:AJ15)</f>
        <v>44308</v>
      </c>
      <c r="AL15" s="22"/>
    </row>
    <row r="16" spans="1:38" x14ac:dyDescent="0.35">
      <c r="A16" t="s">
        <v>994</v>
      </c>
      <c r="B16" t="s">
        <v>991</v>
      </c>
      <c r="C16" s="5">
        <v>44687</v>
      </c>
      <c r="D16" s="3">
        <v>44308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>
        <v>44308</v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f>SUM($F16:AJ16)</f>
        <v>44308</v>
      </c>
      <c r="AL16" s="22"/>
    </row>
    <row r="17" spans="1:38" x14ac:dyDescent="0.35">
      <c r="A17" t="s">
        <v>995</v>
      </c>
      <c r="B17" t="s">
        <v>992</v>
      </c>
      <c r="C17" s="5">
        <v>44687</v>
      </c>
      <c r="D17" s="3">
        <v>293399</v>
      </c>
      <c r="E17" s="6" t="s">
        <v>782</v>
      </c>
      <c r="F17" s="3"/>
      <c r="G17" s="3" t="s">
        <v>13</v>
      </c>
      <c r="H17" s="3"/>
      <c r="I17" s="3" t="s">
        <v>13</v>
      </c>
      <c r="J17" s="3" t="s">
        <v>13</v>
      </c>
      <c r="K17" s="104" t="s">
        <v>13</v>
      </c>
      <c r="L17" s="3" t="s">
        <v>13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f>SUM($F17:AJ17)</f>
        <v>0</v>
      </c>
      <c r="AL17" s="22"/>
    </row>
    <row r="18" spans="1:38" x14ac:dyDescent="0.35">
      <c r="A18" t="s">
        <v>1046</v>
      </c>
      <c r="B18" t="s">
        <v>1047</v>
      </c>
      <c r="C18" s="5">
        <v>44694</v>
      </c>
      <c r="D18" s="3">
        <v>85642</v>
      </c>
      <c r="E18" s="6" t="s">
        <v>782</v>
      </c>
      <c r="F18" s="3"/>
      <c r="G18" s="3"/>
      <c r="H18" s="3"/>
      <c r="I18" s="3"/>
      <c r="J18" s="3" t="s">
        <v>13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85642</v>
      </c>
      <c r="AF18" s="3"/>
      <c r="AG18" s="3"/>
      <c r="AH18" s="3"/>
      <c r="AI18" s="3"/>
      <c r="AJ18" s="3"/>
      <c r="AK18" s="3">
        <f>SUM($F18:AJ18)</f>
        <v>85642</v>
      </c>
      <c r="AL18" s="22"/>
    </row>
    <row r="19" spans="1:38" x14ac:dyDescent="0.35">
      <c r="A19" t="s">
        <v>1048</v>
      </c>
      <c r="B19" t="s">
        <v>1049</v>
      </c>
      <c r="C19" s="5">
        <v>44694</v>
      </c>
      <c r="D19" s="3">
        <v>44308</v>
      </c>
      <c r="E19" s="6" t="s">
        <v>782</v>
      </c>
      <c r="F19" s="3"/>
      <c r="G19" s="3"/>
      <c r="H19" s="3"/>
      <c r="I19" s="3"/>
      <c r="J19" s="3" t="s">
        <v>13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44308</v>
      </c>
      <c r="AF19" s="3"/>
      <c r="AG19" s="3"/>
      <c r="AH19" s="3"/>
      <c r="AI19" s="3"/>
      <c r="AJ19" s="3"/>
      <c r="AK19" s="3">
        <f>SUM($F19:AJ19)</f>
        <v>44308</v>
      </c>
      <c r="AL19" s="22"/>
    </row>
    <row r="20" spans="1:38" x14ac:dyDescent="0.35">
      <c r="A20" t="s">
        <v>1050</v>
      </c>
      <c r="B20" t="s">
        <v>1051</v>
      </c>
      <c r="C20" s="5">
        <v>44694</v>
      </c>
      <c r="D20" s="3">
        <v>44308</v>
      </c>
      <c r="E20" s="6" t="s">
        <v>782</v>
      </c>
      <c r="F20" s="3"/>
      <c r="G20" s="3"/>
      <c r="H20" s="3"/>
      <c r="I20" s="3"/>
      <c r="J20" s="3" t="s">
        <v>98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44308</v>
      </c>
      <c r="AF20" s="3"/>
      <c r="AG20" s="3"/>
      <c r="AH20" s="3"/>
      <c r="AI20" s="3"/>
      <c r="AJ20" s="3"/>
      <c r="AK20" s="3">
        <f>SUM($F20:AJ20)</f>
        <v>44308</v>
      </c>
      <c r="AL20" s="22"/>
    </row>
    <row r="21" spans="1:38" x14ac:dyDescent="0.35">
      <c r="A21" t="s">
        <v>1052</v>
      </c>
      <c r="B21" t="s">
        <v>1053</v>
      </c>
      <c r="C21" s="5">
        <v>44694</v>
      </c>
      <c r="D21" s="3">
        <v>44308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13</v>
      </c>
      <c r="Y21" s="3"/>
      <c r="Z21" s="3"/>
      <c r="AA21" s="3"/>
      <c r="AB21" s="3"/>
      <c r="AC21" s="3"/>
      <c r="AD21" s="3"/>
      <c r="AE21" s="3">
        <v>44308</v>
      </c>
      <c r="AF21" s="3"/>
      <c r="AG21" s="3"/>
      <c r="AH21" s="3"/>
      <c r="AI21" s="3"/>
      <c r="AJ21" s="3"/>
      <c r="AK21" s="3">
        <f>SUM($F21:AJ21)</f>
        <v>44308</v>
      </c>
      <c r="AL21" s="22"/>
    </row>
    <row r="22" spans="1:38" x14ac:dyDescent="0.35">
      <c r="A22" t="s">
        <v>1058</v>
      </c>
      <c r="B22" t="s">
        <v>1056</v>
      </c>
      <c r="C22" s="5">
        <v>44701</v>
      </c>
      <c r="D22" s="3">
        <v>44308</v>
      </c>
      <c r="E22" s="6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f>SUM($F22:AJ22)</f>
        <v>0</v>
      </c>
      <c r="AL22" s="22"/>
    </row>
    <row r="23" spans="1:38" x14ac:dyDescent="0.35">
      <c r="A23" t="s">
        <v>1059</v>
      </c>
      <c r="B23" t="s">
        <v>1057</v>
      </c>
      <c r="C23" s="5">
        <v>44701</v>
      </c>
      <c r="D23" s="3">
        <v>85642</v>
      </c>
      <c r="E23" s="6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f>SUM($F23:AJ23)</f>
        <v>0</v>
      </c>
      <c r="AL23" s="22"/>
    </row>
    <row r="24" spans="1:38" x14ac:dyDescent="0.35">
      <c r="A24" t="s">
        <v>1071</v>
      </c>
      <c r="B24" t="s">
        <v>1072</v>
      </c>
      <c r="C24" s="5">
        <v>44708</v>
      </c>
      <c r="D24" s="3">
        <v>85642</v>
      </c>
      <c r="E24" s="6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f>SUM($F24:AJ24)</f>
        <v>0</v>
      </c>
      <c r="AL24" s="22"/>
    </row>
    <row r="25" spans="1:38" x14ac:dyDescent="0.35">
      <c r="A25" t="s">
        <v>1073</v>
      </c>
      <c r="B25" t="s">
        <v>1074</v>
      </c>
      <c r="C25" s="5">
        <v>44708</v>
      </c>
      <c r="D25" s="3">
        <v>44308</v>
      </c>
      <c r="E25" s="6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>
        <f>SUM($F25:AJ25)</f>
        <v>0</v>
      </c>
      <c r="AL25" s="22"/>
    </row>
    <row r="26" spans="1:38" x14ac:dyDescent="0.35">
      <c r="A26" t="s">
        <v>854</v>
      </c>
      <c r="C26" s="5"/>
      <c r="D26" s="3">
        <v>3000000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3000000</v>
      </c>
      <c r="AD26" s="3"/>
      <c r="AE26" s="3"/>
      <c r="AF26" s="3"/>
      <c r="AG26" s="3"/>
      <c r="AH26" s="3"/>
      <c r="AI26" s="3"/>
      <c r="AJ26" s="3"/>
      <c r="AK26" s="3">
        <f>SUM($F26:AJ26)</f>
        <v>3000000</v>
      </c>
      <c r="AL26" s="22"/>
    </row>
    <row r="27" spans="1:38" x14ac:dyDescent="0.35">
      <c r="A27" t="s">
        <v>1071</v>
      </c>
      <c r="B27" t="s">
        <v>1072</v>
      </c>
      <c r="C27" s="5">
        <v>44708</v>
      </c>
      <c r="D27" s="3">
        <v>85642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f>SUM($F27:AJ27)</f>
        <v>0</v>
      </c>
      <c r="AL27" s="22"/>
    </row>
    <row r="28" spans="1:38" x14ac:dyDescent="0.35">
      <c r="A28" t="s">
        <v>1073</v>
      </c>
      <c r="B28" t="s">
        <v>1074</v>
      </c>
      <c r="C28" s="5">
        <v>44708</v>
      </c>
      <c r="D28" s="3">
        <v>44308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f>SUM($F28:AJ28)</f>
        <v>0</v>
      </c>
      <c r="AL28" s="22"/>
    </row>
    <row r="29" spans="1:38" x14ac:dyDescent="0.35">
      <c r="A29" t="s">
        <v>345</v>
      </c>
      <c r="B29" t="s">
        <v>344</v>
      </c>
      <c r="C29" s="5" t="s">
        <v>13</v>
      </c>
      <c r="D29" s="3">
        <v>0</v>
      </c>
      <c r="E29" t="s">
        <v>382</v>
      </c>
      <c r="F29" s="3" t="s">
        <v>13</v>
      </c>
      <c r="G29" s="3"/>
      <c r="H29" s="3"/>
      <c r="I29" s="3"/>
      <c r="J29" s="3" t="s">
        <v>13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f>SUM($F29:AJ29)</f>
        <v>0</v>
      </c>
      <c r="AL29" s="22" t="s">
        <v>13</v>
      </c>
    </row>
    <row r="30" spans="1:38" x14ac:dyDescent="0.35">
      <c r="A30" t="s">
        <v>13</v>
      </c>
      <c r="F30" s="3"/>
      <c r="G30" s="3" t="s">
        <v>13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 t="s">
        <v>13</v>
      </c>
    </row>
    <row r="31" spans="1:38" x14ac:dyDescent="0.35"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AK31" s="72">
        <f>SUM(AK5:AK30)</f>
        <v>3761928</v>
      </c>
      <c r="AL31" s="22">
        <f>+D33-AK31</f>
        <v>-1779443</v>
      </c>
    </row>
    <row r="32" spans="1:38" x14ac:dyDescent="0.35">
      <c r="A32" s="2" t="s">
        <v>6</v>
      </c>
      <c r="D32" s="3">
        <f>SUM(D15:D28)-D26</f>
        <v>990431</v>
      </c>
      <c r="F32" s="3">
        <f t="shared" ref="F32:AJ32" si="1">SUM(F5:F31)</f>
        <v>0</v>
      </c>
      <c r="G32" s="3">
        <f t="shared" si="1"/>
        <v>171284</v>
      </c>
      <c r="H32" s="3">
        <f t="shared" si="1"/>
        <v>0</v>
      </c>
      <c r="I32" s="3">
        <f t="shared" si="1"/>
        <v>0</v>
      </c>
      <c r="J32" s="3">
        <f t="shared" si="1"/>
        <v>0</v>
      </c>
      <c r="K32" s="3">
        <f t="shared" si="1"/>
        <v>0</v>
      </c>
      <c r="L32" s="3">
        <f t="shared" si="1"/>
        <v>0</v>
      </c>
      <c r="M32" s="3">
        <f t="shared" si="1"/>
        <v>0</v>
      </c>
      <c r="N32" s="3">
        <f t="shared" si="1"/>
        <v>283462</v>
      </c>
      <c r="O32" s="3">
        <f t="shared" si="1"/>
        <v>0</v>
      </c>
      <c r="P32" s="3">
        <f t="shared" si="1"/>
        <v>0</v>
      </c>
      <c r="Q32" s="3">
        <f t="shared" si="1"/>
        <v>0</v>
      </c>
      <c r="R32" s="3">
        <f t="shared" si="1"/>
        <v>0</v>
      </c>
      <c r="S32" s="3">
        <f t="shared" si="1"/>
        <v>0</v>
      </c>
      <c r="T32" s="3">
        <f t="shared" si="1"/>
        <v>0</v>
      </c>
      <c r="U32" s="3">
        <f t="shared" si="1"/>
        <v>88616</v>
      </c>
      <c r="V32" s="3">
        <f t="shared" si="1"/>
        <v>0</v>
      </c>
      <c r="W32" s="3">
        <f t="shared" si="1"/>
        <v>0</v>
      </c>
      <c r="X32" s="3">
        <f t="shared" si="1"/>
        <v>0</v>
      </c>
      <c r="Y32" s="3">
        <f t="shared" si="1"/>
        <v>0</v>
      </c>
      <c r="Z32" s="3">
        <f t="shared" si="1"/>
        <v>0</v>
      </c>
      <c r="AA32" s="3">
        <f t="shared" si="1"/>
        <v>0</v>
      </c>
      <c r="AB32" s="3">
        <f t="shared" si="1"/>
        <v>0</v>
      </c>
      <c r="AC32" s="3">
        <f t="shared" si="1"/>
        <v>3000000</v>
      </c>
      <c r="AD32" s="3">
        <f t="shared" si="1"/>
        <v>0</v>
      </c>
      <c r="AE32" s="3">
        <f t="shared" si="1"/>
        <v>218566</v>
      </c>
      <c r="AF32" s="3">
        <f t="shared" si="1"/>
        <v>0</v>
      </c>
      <c r="AG32" s="3">
        <f t="shared" si="1"/>
        <v>0</v>
      </c>
      <c r="AH32" s="3">
        <f t="shared" si="1"/>
        <v>0</v>
      </c>
      <c r="AI32" s="3">
        <f t="shared" si="1"/>
        <v>0</v>
      </c>
      <c r="AJ32" s="3">
        <f t="shared" si="1"/>
        <v>0</v>
      </c>
    </row>
    <row r="33" spans="1:38" x14ac:dyDescent="0.35">
      <c r="A33" s="2"/>
      <c r="D33" s="3">
        <f>SUM(D5:D28)-D26</f>
        <v>1982485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38" x14ac:dyDescent="0.35">
      <c r="A34" s="2" t="s">
        <v>2</v>
      </c>
      <c r="F34" s="3"/>
      <c r="G34" s="3"/>
      <c r="H34" s="3"/>
      <c r="I34" s="3"/>
      <c r="J34" s="3"/>
      <c r="K34" s="3"/>
      <c r="L34" s="3" t="s">
        <v>13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38" x14ac:dyDescent="0.35">
      <c r="A35" s="4" t="s">
        <v>1063</v>
      </c>
      <c r="B35" s="24" t="s">
        <v>1077</v>
      </c>
      <c r="C35" s="67">
        <v>44706</v>
      </c>
      <c r="D35" s="3">
        <v>500000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500000</v>
      </c>
      <c r="AD35" s="3"/>
      <c r="AE35" s="3"/>
      <c r="AF35" s="3"/>
      <c r="AG35" s="3"/>
      <c r="AH35" s="3"/>
      <c r="AI35" s="3"/>
      <c r="AJ35" s="3"/>
      <c r="AK35" s="3">
        <f>SUM($F35:AJ35)</f>
        <v>500000</v>
      </c>
    </row>
    <row r="36" spans="1:38" x14ac:dyDescent="0.35">
      <c r="A36" s="4" t="s">
        <v>1064</v>
      </c>
      <c r="B36" s="24" t="s">
        <v>1077</v>
      </c>
      <c r="C36" s="67">
        <v>44706</v>
      </c>
      <c r="D36" s="3">
        <v>500000</v>
      </c>
      <c r="F36" s="3"/>
      <c r="G36" s="3"/>
      <c r="H36" s="3"/>
      <c r="I36" s="3"/>
      <c r="J36" s="3"/>
      <c r="K36" s="3"/>
      <c r="L36" s="3"/>
      <c r="M36" s="3" t="s">
        <v>13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500000</v>
      </c>
      <c r="AD36" s="3"/>
      <c r="AE36" s="3"/>
      <c r="AF36" s="3"/>
      <c r="AG36" s="3"/>
      <c r="AH36" s="3"/>
      <c r="AI36" s="3"/>
      <c r="AJ36" s="3"/>
      <c r="AK36" s="3">
        <f>SUM($F36:AJ36)</f>
        <v>500000</v>
      </c>
    </row>
    <row r="37" spans="1:38" x14ac:dyDescent="0.35">
      <c r="A37" s="4" t="s">
        <v>1065</v>
      </c>
      <c r="B37" s="24" t="s">
        <v>1077</v>
      </c>
      <c r="C37" s="67">
        <v>44706</v>
      </c>
      <c r="D37" s="3">
        <v>500000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500000</v>
      </c>
      <c r="AD37" s="3"/>
      <c r="AE37" s="3"/>
      <c r="AF37" s="3"/>
      <c r="AG37" s="3"/>
      <c r="AH37" s="3"/>
      <c r="AI37" s="3"/>
      <c r="AJ37" s="3"/>
      <c r="AK37" s="3">
        <f>SUM($F37:AJ37)</f>
        <v>500000</v>
      </c>
    </row>
    <row r="38" spans="1:38" x14ac:dyDescent="0.35">
      <c r="A38" s="4" t="s">
        <v>1066</v>
      </c>
      <c r="B38" s="24" t="s">
        <v>1077</v>
      </c>
      <c r="C38" s="67">
        <v>44706</v>
      </c>
      <c r="D38" s="3">
        <v>500000</v>
      </c>
      <c r="F38" s="3"/>
      <c r="G38" s="3"/>
      <c r="H38" s="3" t="s">
        <v>13</v>
      </c>
      <c r="I38" s="3" t="s">
        <v>13</v>
      </c>
      <c r="J38" s="3" t="s">
        <v>13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337079</v>
      </c>
      <c r="AD38" s="3">
        <f>500000-AC38</f>
        <v>162921</v>
      </c>
      <c r="AE38" s="3"/>
      <c r="AF38" s="3"/>
      <c r="AG38" s="3"/>
      <c r="AH38" s="3"/>
      <c r="AI38" s="3"/>
      <c r="AJ38" s="3"/>
      <c r="AK38" s="3">
        <f>SUM($F38:AJ38)</f>
        <v>500000</v>
      </c>
    </row>
    <row r="39" spans="1:38" x14ac:dyDescent="0.35">
      <c r="A39" s="4" t="s">
        <v>629</v>
      </c>
      <c r="B39" s="24" t="s">
        <v>337</v>
      </c>
      <c r="C39" s="67"/>
      <c r="D39" s="3">
        <v>500000</v>
      </c>
      <c r="F39" s="3"/>
      <c r="G39" s="3"/>
      <c r="H39" s="3"/>
      <c r="I39" s="3"/>
      <c r="J39" s="3" t="s">
        <v>13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E39" s="3"/>
      <c r="AF39" s="3"/>
      <c r="AG39" s="3"/>
      <c r="AH39" s="3"/>
      <c r="AI39" s="3"/>
      <c r="AJ39" s="3"/>
      <c r="AK39" s="3">
        <f>SUM($F39:AJ39)</f>
        <v>0</v>
      </c>
    </row>
    <row r="40" spans="1:38" x14ac:dyDescent="0.35">
      <c r="A40" s="4" t="s">
        <v>646</v>
      </c>
      <c r="B40" s="24" t="s">
        <v>337</v>
      </c>
      <c r="C40" s="67"/>
      <c r="D40" s="3">
        <v>250000</v>
      </c>
      <c r="F40" s="3"/>
      <c r="G40" s="3"/>
      <c r="H40" s="3" t="s">
        <v>13</v>
      </c>
      <c r="I40" s="3"/>
      <c r="J40" s="3" t="s">
        <v>13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</row>
    <row r="41" spans="1:38" x14ac:dyDescent="0.35">
      <c r="A41" t="s">
        <v>1136</v>
      </c>
      <c r="B41" t="s">
        <v>337</v>
      </c>
      <c r="C41" s="5" t="s">
        <v>13</v>
      </c>
      <c r="D41" s="3">
        <f ca="1">+'MAR-21'!AK19*0.17+('ABR-21'!AJ18+'MAY-21'!AK16+'JUN-21'!AK14+'JUL-21'!AK28+'AGO-21'!AK22+'SEP-21'!AK14+'OCT-21'!AK19)*0.17</f>
        <v>309430.03333333333</v>
      </c>
      <c r="F41" s="3"/>
      <c r="G41" s="3" t="s">
        <v>13</v>
      </c>
      <c r="H41" s="3" t="s">
        <v>13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</row>
    <row r="42" spans="1:38" x14ac:dyDescent="0.35">
      <c r="A42" t="s">
        <v>1140</v>
      </c>
      <c r="B42" t="s">
        <v>337</v>
      </c>
      <c r="C42" s="5" t="s">
        <v>13</v>
      </c>
      <c r="D42" s="3">
        <f>+'ABR-22'!D37</f>
        <v>242556.17000000004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0</v>
      </c>
    </row>
    <row r="43" spans="1:38" x14ac:dyDescent="0.35">
      <c r="A43" t="s">
        <v>1138</v>
      </c>
      <c r="B43" t="s">
        <v>337</v>
      </c>
      <c r="C43" s="5"/>
      <c r="D43" s="3">
        <f>+(AK31-AK26)*0.17</f>
        <v>129527.76000000001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0</v>
      </c>
    </row>
    <row r="44" spans="1:38" x14ac:dyDescent="0.35">
      <c r="A44" s="4" t="s">
        <v>952</v>
      </c>
      <c r="C44" s="5"/>
      <c r="D44" s="3">
        <v>2400000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0</v>
      </c>
    </row>
    <row r="45" spans="1:38" x14ac:dyDescent="0.35">
      <c r="A45" s="4" t="s">
        <v>1008</v>
      </c>
      <c r="C45" s="5"/>
      <c r="D45" s="3">
        <v>2400000</v>
      </c>
      <c r="E45" s="3" t="s">
        <v>13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0</v>
      </c>
    </row>
    <row r="46" spans="1:38" x14ac:dyDescent="0.35">
      <c r="A46" s="4" t="s">
        <v>996</v>
      </c>
      <c r="B46" s="24" t="s">
        <v>13</v>
      </c>
      <c r="C46" s="67">
        <v>44656</v>
      </c>
      <c r="D46" s="3">
        <v>13905</v>
      </c>
      <c r="E46" s="3"/>
      <c r="F46" s="3"/>
      <c r="G46" s="3"/>
      <c r="H46" s="3"/>
      <c r="I46" s="3"/>
      <c r="J46" s="3">
        <v>13905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13905</v>
      </c>
    </row>
    <row r="47" spans="1:38" x14ac:dyDescent="0.35">
      <c r="A47" s="4" t="s">
        <v>920</v>
      </c>
      <c r="B47" s="24" t="s">
        <v>986</v>
      </c>
      <c r="C47" s="67">
        <v>44683</v>
      </c>
      <c r="D47" s="3">
        <v>5318</v>
      </c>
      <c r="E47" s="153" t="s">
        <v>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>
        <v>5318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f>SUM($F47:AJ47)</f>
        <v>5318</v>
      </c>
      <c r="AL47" s="6" t="s">
        <v>83</v>
      </c>
    </row>
    <row r="48" spans="1:38" x14ac:dyDescent="0.35">
      <c r="A48" s="4" t="s">
        <v>857</v>
      </c>
      <c r="B48" s="24"/>
      <c r="C48" s="67">
        <v>44683</v>
      </c>
      <c r="D48" s="3">
        <f>12.9*1050/9+1100+1068+1736</f>
        <v>5409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>
        <f>12.9*1050/9+1100+1068+1736</f>
        <v>5409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5409</v>
      </c>
      <c r="AL48" s="6" t="s">
        <v>81</v>
      </c>
    </row>
    <row r="49" spans="1:38" x14ac:dyDescent="0.35">
      <c r="A49" s="4" t="s">
        <v>988</v>
      </c>
      <c r="B49" t="s">
        <v>987</v>
      </c>
      <c r="C49" s="5">
        <v>44683</v>
      </c>
      <c r="D49" s="3">
        <v>5990</v>
      </c>
      <c r="E49" s="153" t="s">
        <v>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>
        <v>5990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5990</v>
      </c>
      <c r="AL49" s="6" t="s">
        <v>83</v>
      </c>
    </row>
    <row r="50" spans="1:38" x14ac:dyDescent="0.35">
      <c r="A50" s="4" t="s">
        <v>1003</v>
      </c>
      <c r="B50" s="24" t="s">
        <v>1000</v>
      </c>
      <c r="C50" s="67">
        <v>44685</v>
      </c>
      <c r="D50" s="3">
        <v>13599</v>
      </c>
      <c r="E50" s="153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>
        <v>13599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13599</v>
      </c>
      <c r="AL50" s="6" t="s">
        <v>83</v>
      </c>
    </row>
    <row r="51" spans="1:38" x14ac:dyDescent="0.35">
      <c r="A51" s="4" t="s">
        <v>998</v>
      </c>
      <c r="B51" t="s">
        <v>999</v>
      </c>
      <c r="C51" s="5">
        <v>44686</v>
      </c>
      <c r="D51" s="3">
        <v>240000</v>
      </c>
      <c r="E51" s="3"/>
      <c r="F51" s="3"/>
      <c r="G51" s="3"/>
      <c r="H51" s="3"/>
      <c r="I51" s="3">
        <v>120000</v>
      </c>
      <c r="J51" s="3">
        <v>120000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240000</v>
      </c>
      <c r="AL51" s="6" t="s">
        <v>82</v>
      </c>
    </row>
    <row r="52" spans="1:38" x14ac:dyDescent="0.35">
      <c r="A52" s="4" t="s">
        <v>1004</v>
      </c>
      <c r="B52" s="24" t="s">
        <v>1005</v>
      </c>
      <c r="C52" s="67">
        <v>44686</v>
      </c>
      <c r="D52" s="3">
        <v>18579</v>
      </c>
      <c r="E52" s="153" t="s">
        <v>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>
        <v>18579</v>
      </c>
      <c r="Q52" s="3"/>
      <c r="R52" s="3"/>
      <c r="S52" s="3"/>
      <c r="T52" s="3"/>
      <c r="U52" s="3"/>
      <c r="V52" s="3"/>
      <c r="W52" s="3"/>
      <c r="Y52" s="3"/>
      <c r="AG52" s="3"/>
      <c r="AK52" s="3">
        <f>SUM($F52:AJ52)</f>
        <v>18579</v>
      </c>
      <c r="AL52" s="22" t="s">
        <v>82</v>
      </c>
    </row>
    <row r="53" spans="1:38" x14ac:dyDescent="0.35">
      <c r="A53" s="4" t="s">
        <v>1006</v>
      </c>
      <c r="B53" s="24" t="s">
        <v>1007</v>
      </c>
      <c r="C53" s="67">
        <v>44686</v>
      </c>
      <c r="D53" s="3">
        <v>161730</v>
      </c>
      <c r="E53" s="153" t="s">
        <v>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>
        <v>161730</v>
      </c>
      <c r="Q53" s="3"/>
      <c r="R53" s="3"/>
      <c r="S53" s="3"/>
      <c r="T53" s="3"/>
      <c r="U53" s="3"/>
      <c r="V53" s="3"/>
      <c r="W53" s="3"/>
      <c r="Y53" s="3"/>
      <c r="AG53" s="3"/>
      <c r="AK53" s="3">
        <f>SUM($F53:AJ53)</f>
        <v>161730</v>
      </c>
      <c r="AL53" s="22" t="s">
        <v>83</v>
      </c>
    </row>
    <row r="54" spans="1:38" x14ac:dyDescent="0.35">
      <c r="A54" s="4" t="s">
        <v>1001</v>
      </c>
      <c r="B54" s="24" t="s">
        <v>1002</v>
      </c>
      <c r="C54" s="67">
        <v>44687</v>
      </c>
      <c r="D54" s="3">
        <v>4090</v>
      </c>
      <c r="E54" s="153" t="s">
        <v>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>
        <v>4090</v>
      </c>
      <c r="Q54" s="3"/>
      <c r="R54" s="3"/>
      <c r="S54" s="3"/>
      <c r="T54" s="3"/>
      <c r="U54" s="3"/>
      <c r="V54" s="3"/>
      <c r="W54" s="3"/>
      <c r="Y54" s="3"/>
      <c r="AG54" s="3"/>
      <c r="AK54" s="3">
        <f>SUM($F54:AJ54)</f>
        <v>4090</v>
      </c>
      <c r="AL54" s="22" t="s">
        <v>83</v>
      </c>
    </row>
    <row r="55" spans="1:38" x14ac:dyDescent="0.35">
      <c r="A55" s="4" t="s">
        <v>1009</v>
      </c>
      <c r="B55" s="24" t="s">
        <v>1010</v>
      </c>
      <c r="C55" s="67">
        <v>44691</v>
      </c>
      <c r="D55" s="3">
        <v>5990</v>
      </c>
      <c r="E55" s="153" t="s">
        <v>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>
        <v>5990</v>
      </c>
      <c r="Q55" s="3"/>
      <c r="R55" s="3"/>
      <c r="S55" s="3"/>
      <c r="T55" s="3"/>
      <c r="U55" s="3"/>
      <c r="V55" s="3"/>
      <c r="W55" s="3"/>
      <c r="Y55" s="3"/>
      <c r="AG55" s="3"/>
      <c r="AK55" s="3">
        <f>SUM($F55:AJ55)</f>
        <v>5990</v>
      </c>
      <c r="AL55" s="22" t="s">
        <v>83</v>
      </c>
    </row>
    <row r="56" spans="1:38" x14ac:dyDescent="0.35">
      <c r="A56" s="4" t="s">
        <v>1011</v>
      </c>
      <c r="B56" s="24"/>
      <c r="C56" s="67">
        <v>44692</v>
      </c>
      <c r="D56" s="3">
        <v>35573</v>
      </c>
      <c r="E56" s="15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>
        <v>35573</v>
      </c>
      <c r="R56" s="3"/>
      <c r="S56" s="3"/>
      <c r="T56" s="3"/>
      <c r="U56" s="3"/>
      <c r="V56" s="3"/>
      <c r="W56" s="3"/>
      <c r="Y56" s="3"/>
      <c r="AG56" s="3"/>
      <c r="AK56" s="3">
        <f>SUM($F56:AJ56)</f>
        <v>35573</v>
      </c>
      <c r="AL56" s="22" t="s">
        <v>81</v>
      </c>
    </row>
    <row r="57" spans="1:38" x14ac:dyDescent="0.35">
      <c r="A57" s="4" t="s">
        <v>1029</v>
      </c>
      <c r="B57" s="24"/>
      <c r="C57" s="67">
        <v>44693</v>
      </c>
      <c r="D57" s="3">
        <v>26000</v>
      </c>
      <c r="E57" s="15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>
        <v>26000</v>
      </c>
      <c r="R57" s="3"/>
      <c r="S57" s="3"/>
      <c r="T57" s="3"/>
      <c r="U57" s="3"/>
      <c r="V57" s="3"/>
      <c r="W57" s="3"/>
      <c r="Y57" s="3"/>
      <c r="AG57" s="3"/>
      <c r="AK57" s="3">
        <f>SUM($F57:AJ57)</f>
        <v>26000</v>
      </c>
      <c r="AL57" s="22" t="s">
        <v>81</v>
      </c>
    </row>
    <row r="58" spans="1:38" x14ac:dyDescent="0.35">
      <c r="A58" s="4" t="s">
        <v>1054</v>
      </c>
      <c r="B58" s="24"/>
      <c r="C58" s="67">
        <v>44693</v>
      </c>
      <c r="D58" s="3">
        <v>9000</v>
      </c>
      <c r="E58" s="15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>
        <v>9000</v>
      </c>
      <c r="R58" s="3"/>
      <c r="S58" s="3"/>
      <c r="T58" s="3"/>
      <c r="U58" s="3"/>
      <c r="V58" s="3"/>
      <c r="W58" s="3"/>
      <c r="Y58" s="3"/>
      <c r="AG58" s="3"/>
      <c r="AK58" s="3">
        <f>SUM($F58:AJ58)</f>
        <v>9000</v>
      </c>
      <c r="AL58" s="22" t="s">
        <v>81</v>
      </c>
    </row>
    <row r="59" spans="1:38" x14ac:dyDescent="0.35">
      <c r="A59" s="4" t="s">
        <v>997</v>
      </c>
      <c r="B59" s="24"/>
      <c r="C59" s="67">
        <v>44694</v>
      </c>
      <c r="D59" s="3">
        <f>(15.3+3.1+14)*1150/9+1100+1068+1736</f>
        <v>8044.0000000000009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>
        <f>(15.3+3.1+14)*1150/9+1100+1068+1736</f>
        <v>8044.0000000000009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f>SUM($F59:AJ59)</f>
        <v>8044.0000000000009</v>
      </c>
      <c r="AL59" s="6" t="s">
        <v>81</v>
      </c>
    </row>
    <row r="60" spans="1:38" x14ac:dyDescent="0.35">
      <c r="A60" s="4" t="s">
        <v>920</v>
      </c>
      <c r="B60" s="24" t="s">
        <v>1061</v>
      </c>
      <c r="C60" s="67">
        <v>44694</v>
      </c>
      <c r="D60" s="3">
        <v>10470</v>
      </c>
      <c r="E60" s="153" t="s">
        <v>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G60" s="3"/>
      <c r="AK60" s="3">
        <f>SUM($F60:AJ60)</f>
        <v>0</v>
      </c>
      <c r="AL60" s="22" t="s">
        <v>83</v>
      </c>
    </row>
    <row r="61" spans="1:38" x14ac:dyDescent="0.35">
      <c r="A61" s="4" t="s">
        <v>908</v>
      </c>
      <c r="B61" s="24"/>
      <c r="C61" s="67">
        <v>44694</v>
      </c>
      <c r="D61" s="3">
        <f>6.9*2*1050/9+2000</f>
        <v>3610</v>
      </c>
      <c r="E61" s="15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G61" s="3"/>
      <c r="AK61" s="3">
        <f>SUM($F61:AJ61)</f>
        <v>0</v>
      </c>
      <c r="AL61" s="22" t="s">
        <v>81</v>
      </c>
    </row>
    <row r="62" spans="1:38" x14ac:dyDescent="0.35">
      <c r="A62" s="4" t="s">
        <v>844</v>
      </c>
      <c r="B62" s="24"/>
      <c r="C62" s="67">
        <v>44694</v>
      </c>
      <c r="D62" s="3">
        <f>13.9*1150/9+2000</f>
        <v>3776.1111111111113</v>
      </c>
      <c r="E62" s="15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G62" s="3"/>
      <c r="AK62" s="3">
        <f>SUM($F62:AJ62)</f>
        <v>0</v>
      </c>
      <c r="AL62" s="22" t="s">
        <v>81</v>
      </c>
    </row>
    <row r="63" spans="1:38" x14ac:dyDescent="0.35">
      <c r="A63" s="4" t="s">
        <v>1055</v>
      </c>
      <c r="B63" s="24"/>
      <c r="C63" s="67">
        <v>44697</v>
      </c>
      <c r="D63" s="3">
        <v>4000</v>
      </c>
      <c r="E63" s="15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4000</v>
      </c>
      <c r="V63" s="3"/>
      <c r="W63" s="3"/>
      <c r="Y63" s="3"/>
      <c r="AG63" s="3"/>
      <c r="AK63" s="3">
        <f>SUM($F63:AJ63)</f>
        <v>4000</v>
      </c>
      <c r="AL63" s="22" t="s">
        <v>81</v>
      </c>
    </row>
    <row r="64" spans="1:38" x14ac:dyDescent="0.35">
      <c r="A64" s="4" t="s">
        <v>920</v>
      </c>
      <c r="B64" s="24" t="s">
        <v>1060</v>
      </c>
      <c r="C64" s="67">
        <v>44701</v>
      </c>
      <c r="D64" s="3">
        <v>17007</v>
      </c>
      <c r="E64" s="153" t="s">
        <v>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AG64" s="3"/>
      <c r="AK64" s="3">
        <f>SUM($F64:AJ64)</f>
        <v>0</v>
      </c>
      <c r="AL64" s="22" t="s">
        <v>83</v>
      </c>
    </row>
    <row r="65" spans="1:40" x14ac:dyDescent="0.35">
      <c r="A65" s="4" t="s">
        <v>908</v>
      </c>
      <c r="B65" s="24"/>
      <c r="C65" s="67">
        <v>44701</v>
      </c>
      <c r="D65" s="3">
        <f>6.9*2*1050/9+2000</f>
        <v>3610</v>
      </c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AG65" s="3"/>
      <c r="AK65" s="3">
        <f>SUM($F65:AJ65)</f>
        <v>0</v>
      </c>
      <c r="AL65" s="22" t="s">
        <v>81</v>
      </c>
    </row>
    <row r="66" spans="1:40" x14ac:dyDescent="0.35">
      <c r="A66" s="4" t="s">
        <v>1067</v>
      </c>
      <c r="B66" s="24" t="s">
        <v>1068</v>
      </c>
      <c r="C66" s="67">
        <v>44707</v>
      </c>
      <c r="D66" s="3">
        <v>7140</v>
      </c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AE66" s="3">
        <v>7140</v>
      </c>
      <c r="AG66" s="3"/>
      <c r="AK66" s="3">
        <f>SUM($F66:AJ66)</f>
        <v>7140</v>
      </c>
      <c r="AL66" s="22" t="s">
        <v>81</v>
      </c>
    </row>
    <row r="67" spans="1:40" x14ac:dyDescent="0.35">
      <c r="A67" s="4" t="s">
        <v>1070</v>
      </c>
      <c r="B67" s="24" t="s">
        <v>1069</v>
      </c>
      <c r="C67" s="67">
        <v>44707</v>
      </c>
      <c r="D67" s="3">
        <f>59420+5942</f>
        <v>65362</v>
      </c>
      <c r="E67" s="153" t="s">
        <v>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AE67" s="3" t="s">
        <v>13</v>
      </c>
      <c r="AG67" s="3"/>
      <c r="AK67" s="3">
        <f>SUM($F67:AJ67)</f>
        <v>0</v>
      </c>
      <c r="AL67" s="22" t="s">
        <v>81</v>
      </c>
    </row>
    <row r="68" spans="1:40" x14ac:dyDescent="0.35">
      <c r="A68" s="4" t="s">
        <v>857</v>
      </c>
      <c r="B68" s="24"/>
      <c r="C68" s="67">
        <v>44708</v>
      </c>
      <c r="D68" s="3">
        <f>12.9*1050/9+1100+1068+1736</f>
        <v>5409</v>
      </c>
      <c r="E68" s="15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AG68" s="3"/>
      <c r="AK68" s="3">
        <f>SUM($F68:AJ68)</f>
        <v>0</v>
      </c>
      <c r="AL68" s="22" t="s">
        <v>81</v>
      </c>
    </row>
    <row r="69" spans="1:40" ht="15" thickBot="1" x14ac:dyDescent="0.4">
      <c r="A69" s="169" t="s">
        <v>1081</v>
      </c>
      <c r="B69" s="363"/>
      <c r="C69" s="373">
        <v>44711</v>
      </c>
      <c r="D69" s="71">
        <v>100316</v>
      </c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AG69" s="3">
        <v>100316</v>
      </c>
      <c r="AK69" s="3">
        <f>SUM($F69:AJ69)</f>
        <v>100316</v>
      </c>
      <c r="AL69" s="22" t="s">
        <v>81</v>
      </c>
    </row>
    <row r="70" spans="1:40" x14ac:dyDescent="0.35">
      <c r="A70" s="4"/>
      <c r="B70" s="24"/>
      <c r="C70" s="67"/>
      <c r="D70" s="3"/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G70" s="3"/>
      <c r="AK70" s="3">
        <f>SUM($F70:AJ70)</f>
        <v>0</v>
      </c>
      <c r="AL70" s="22"/>
      <c r="AM70" s="11" t="s">
        <v>91</v>
      </c>
      <c r="AN70" s="53">
        <f>+D32/1.19</f>
        <v>832294.95798319334</v>
      </c>
    </row>
    <row r="71" spans="1:40" x14ac:dyDescent="0.35">
      <c r="A71" s="4"/>
      <c r="B71" s="24"/>
      <c r="C71" s="67"/>
      <c r="D71" s="3"/>
      <c r="E71" s="15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AG71" s="3"/>
      <c r="AK71" s="3">
        <f>SUM($F71:AJ71)</f>
        <v>0</v>
      </c>
      <c r="AL71" s="22"/>
      <c r="AM71" s="14" t="s">
        <v>1558</v>
      </c>
      <c r="AN71" s="15">
        <f>+SUMIF(AL34:AL75,"CD",D34:D75)/1.19</f>
        <v>188398.31932773109</v>
      </c>
    </row>
    <row r="72" spans="1:40" x14ac:dyDescent="0.35">
      <c r="A72" s="4" t="s">
        <v>1045</v>
      </c>
      <c r="B72" s="24">
        <f>95.69/8</f>
        <v>11.96125</v>
      </c>
      <c r="C72" s="67">
        <v>44709</v>
      </c>
      <c r="D72" s="3">
        <f>+B72*D73</f>
        <v>390362.57049999997</v>
      </c>
      <c r="E72" s="15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AG72" s="3">
        <v>390362.57049999997</v>
      </c>
      <c r="AK72" s="3">
        <f>SUM($F72:AJ72)</f>
        <v>390362.57049999997</v>
      </c>
      <c r="AL72" s="22" t="s">
        <v>1557</v>
      </c>
      <c r="AM72" s="14" t="s">
        <v>1559</v>
      </c>
      <c r="AN72" s="15">
        <f>+AN70-AN71</f>
        <v>643896.6386554623</v>
      </c>
    </row>
    <row r="73" spans="1:40" x14ac:dyDescent="0.35">
      <c r="A73" s="4"/>
      <c r="B73" s="24"/>
      <c r="C73" s="67" t="s">
        <v>933</v>
      </c>
      <c r="D73" s="236">
        <v>32635.599999999999</v>
      </c>
      <c r="E73" s="15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AJ73" s="3"/>
      <c r="AK73" s="3" t="s">
        <v>13</v>
      </c>
      <c r="AL73" s="22" t="s">
        <v>1388</v>
      </c>
      <c r="AM73" s="14" t="s">
        <v>1560</v>
      </c>
      <c r="AN73" s="327">
        <f>+AN72/AN70</f>
        <v>0.77363996078474939</v>
      </c>
    </row>
    <row r="74" spans="1:40" x14ac:dyDescent="0.35">
      <c r="A74" s="2" t="s">
        <v>9</v>
      </c>
      <c r="D74" s="72">
        <f>SUM(D46:D72)</f>
        <v>1164289.6816111112</v>
      </c>
      <c r="F74" s="3">
        <f t="shared" ref="F74:AJ74" si="2">SUM(F35:F73)</f>
        <v>0</v>
      </c>
      <c r="G74" s="3">
        <f t="shared" si="2"/>
        <v>0</v>
      </c>
      <c r="H74" s="3">
        <f t="shared" si="2"/>
        <v>0</v>
      </c>
      <c r="I74" s="3">
        <f t="shared" si="2"/>
        <v>120000</v>
      </c>
      <c r="J74" s="3">
        <f t="shared" si="2"/>
        <v>133905</v>
      </c>
      <c r="K74" s="3">
        <f t="shared" si="2"/>
        <v>0</v>
      </c>
      <c r="L74" s="3">
        <f t="shared" si="2"/>
        <v>0</v>
      </c>
      <c r="M74" s="3">
        <f t="shared" si="2"/>
        <v>0</v>
      </c>
      <c r="N74" s="3">
        <f t="shared" si="2"/>
        <v>0</v>
      </c>
      <c r="O74" s="3">
        <f t="shared" si="2"/>
        <v>0</v>
      </c>
      <c r="P74" s="3">
        <f t="shared" si="2"/>
        <v>228749</v>
      </c>
      <c r="Q74" s="3">
        <f t="shared" si="2"/>
        <v>70573</v>
      </c>
      <c r="R74" s="3">
        <f t="shared" si="2"/>
        <v>0</v>
      </c>
      <c r="S74" s="3">
        <f t="shared" si="2"/>
        <v>0</v>
      </c>
      <c r="T74" s="3">
        <f t="shared" si="2"/>
        <v>0</v>
      </c>
      <c r="U74" s="3">
        <f t="shared" si="2"/>
        <v>4000</v>
      </c>
      <c r="V74" s="3">
        <f t="shared" si="2"/>
        <v>0</v>
      </c>
      <c r="W74" s="3">
        <f t="shared" si="2"/>
        <v>0</v>
      </c>
      <c r="X74" s="3">
        <f t="shared" si="2"/>
        <v>0</v>
      </c>
      <c r="Y74" s="3">
        <f t="shared" si="2"/>
        <v>0</v>
      </c>
      <c r="Z74" s="3">
        <f t="shared" si="2"/>
        <v>0</v>
      </c>
      <c r="AA74" s="3">
        <f t="shared" si="2"/>
        <v>0</v>
      </c>
      <c r="AB74" s="3">
        <f t="shared" si="2"/>
        <v>0</v>
      </c>
      <c r="AC74" s="3">
        <f t="shared" si="2"/>
        <v>1837079</v>
      </c>
      <c r="AD74" s="3">
        <f t="shared" si="2"/>
        <v>162921</v>
      </c>
      <c r="AE74" s="3">
        <f t="shared" si="2"/>
        <v>7140</v>
      </c>
      <c r="AF74" s="3">
        <f t="shared" si="2"/>
        <v>0</v>
      </c>
      <c r="AG74" s="3">
        <f t="shared" si="2"/>
        <v>490678.57049999997</v>
      </c>
      <c r="AH74" s="3">
        <f t="shared" si="2"/>
        <v>0</v>
      </c>
      <c r="AI74" s="3">
        <f t="shared" si="2"/>
        <v>0</v>
      </c>
      <c r="AJ74" s="3">
        <f t="shared" si="2"/>
        <v>0</v>
      </c>
      <c r="AK74" s="72">
        <f>SUM(AK46:AK72)</f>
        <v>1055045.5704999999</v>
      </c>
      <c r="AL74" s="22">
        <f>+D74-AK74</f>
        <v>109244.11111111124</v>
      </c>
      <c r="AM74" s="14" t="s">
        <v>81</v>
      </c>
      <c r="AN74" s="15">
        <f>+SUMIF(AL34:AL75,"GAV",D34:D75)/1.19</f>
        <v>232982.4463118581</v>
      </c>
    </row>
    <row r="75" spans="1:40" x14ac:dyDescent="0.35">
      <c r="A75" t="s">
        <v>8</v>
      </c>
      <c r="F75" s="3">
        <f t="shared" ref="F75:AI75" si="3">+F32+F3-F74</f>
        <v>107113.51576113421</v>
      </c>
      <c r="G75" s="3">
        <f t="shared" si="3"/>
        <v>278397.51576113421</v>
      </c>
      <c r="H75" s="3">
        <f t="shared" si="3"/>
        <v>278397.51576113421</v>
      </c>
      <c r="I75" s="3">
        <f t="shared" si="3"/>
        <v>158397.51576113421</v>
      </c>
      <c r="J75" s="3">
        <f t="shared" si="3"/>
        <v>24492.515761134215</v>
      </c>
      <c r="K75" s="3">
        <f t="shared" si="3"/>
        <v>24492.515761134215</v>
      </c>
      <c r="L75" s="3">
        <f t="shared" si="3"/>
        <v>24492.515761134215</v>
      </c>
      <c r="M75" s="3">
        <f t="shared" si="3"/>
        <v>24492.515761134215</v>
      </c>
      <c r="N75" s="3">
        <f t="shared" si="3"/>
        <v>307954.51576113421</v>
      </c>
      <c r="O75" s="3">
        <f t="shared" si="3"/>
        <v>307954.51576113421</v>
      </c>
      <c r="P75" s="3">
        <f t="shared" si="3"/>
        <v>79205.515761134215</v>
      </c>
      <c r="Q75" s="3">
        <f t="shared" si="3"/>
        <v>8632.5157611342147</v>
      </c>
      <c r="R75" s="3">
        <f t="shared" si="3"/>
        <v>8632.5157611342147</v>
      </c>
      <c r="S75" s="3">
        <f t="shared" si="3"/>
        <v>8632.5157611342147</v>
      </c>
      <c r="T75" s="3">
        <f t="shared" si="3"/>
        <v>8632.5157611342147</v>
      </c>
      <c r="U75" s="3">
        <f t="shared" si="3"/>
        <v>93248.515761134215</v>
      </c>
      <c r="V75" s="3">
        <f t="shared" si="3"/>
        <v>93248.515761134215</v>
      </c>
      <c r="W75" s="3">
        <f t="shared" si="3"/>
        <v>93248.515761134215</v>
      </c>
      <c r="X75" s="3">
        <f t="shared" si="3"/>
        <v>93248.515761134215</v>
      </c>
      <c r="Y75" s="3">
        <f t="shared" si="3"/>
        <v>93248.515761134215</v>
      </c>
      <c r="Z75" s="3">
        <f t="shared" si="3"/>
        <v>93248.515761134215</v>
      </c>
      <c r="AA75" s="3">
        <f t="shared" si="3"/>
        <v>93248.515761134215</v>
      </c>
      <c r="AB75" s="3">
        <f t="shared" si="3"/>
        <v>93248.515761134215</v>
      </c>
      <c r="AC75" s="3">
        <f t="shared" si="3"/>
        <v>1256169.5157611342</v>
      </c>
      <c r="AD75" s="3">
        <f t="shared" si="3"/>
        <v>1093248.5157611342</v>
      </c>
      <c r="AE75" s="3">
        <f t="shared" si="3"/>
        <v>1304674.5157611342</v>
      </c>
      <c r="AF75" s="3">
        <f t="shared" si="3"/>
        <v>1304674.5157611342</v>
      </c>
      <c r="AG75" s="3">
        <f t="shared" si="3"/>
        <v>813995.9452611343</v>
      </c>
      <c r="AH75" s="3">
        <f t="shared" si="3"/>
        <v>813995.9452611343</v>
      </c>
      <c r="AI75" s="3">
        <f t="shared" si="3"/>
        <v>813995.9452611343</v>
      </c>
      <c r="AJ75" s="3">
        <f>+AJ3+AJ32-AJ74</f>
        <v>813995.9452611343</v>
      </c>
      <c r="AK75" s="3" t="s">
        <v>13</v>
      </c>
      <c r="AL75" s="22">
        <f>+AL31-AL74+AJ75</f>
        <v>-1074691.1658499769</v>
      </c>
      <c r="AM75" s="14" t="s">
        <v>1561</v>
      </c>
      <c r="AN75" s="15">
        <f>+AN72-AN74</f>
        <v>410914.19234360417</v>
      </c>
    </row>
    <row r="76" spans="1:40" x14ac:dyDescent="0.35">
      <c r="F76" s="3"/>
      <c r="G76" s="3"/>
      <c r="H76" s="3"/>
      <c r="I76" s="3" t="s">
        <v>13</v>
      </c>
      <c r="J76" s="3"/>
      <c r="K76" s="3"/>
      <c r="L76" s="3"/>
      <c r="M76" s="3"/>
      <c r="N76" s="3"/>
      <c r="O76" s="3"/>
      <c r="P76" s="3" t="s">
        <v>13</v>
      </c>
      <c r="Q76" s="3"/>
      <c r="R76" s="3"/>
      <c r="S76" s="3"/>
      <c r="T76" s="3" t="s">
        <v>13</v>
      </c>
      <c r="U76" s="3"/>
      <c r="V76" s="3"/>
      <c r="W76" s="3"/>
      <c r="Y76" s="3" t="s">
        <v>13</v>
      </c>
      <c r="AA76" s="3" t="s">
        <v>13</v>
      </c>
      <c r="AB76" s="3" t="s">
        <v>13</v>
      </c>
      <c r="AJ76" s="3" t="s">
        <v>13</v>
      </c>
      <c r="AM76" s="14" t="s">
        <v>1563</v>
      </c>
      <c r="AN76" s="15">
        <f>+SUMIF(AL34:AL75,"GF",D34:D75)</f>
        <v>390362.57049999997</v>
      </c>
    </row>
    <row r="77" spans="1:40" x14ac:dyDescent="0.35">
      <c r="B77" t="s">
        <v>13</v>
      </c>
      <c r="F77" s="3"/>
      <c r="G77" s="3"/>
      <c r="H77" s="3" t="s">
        <v>13</v>
      </c>
      <c r="I77" s="3"/>
      <c r="J77" s="3"/>
      <c r="K77" s="3"/>
      <c r="L77" s="3"/>
      <c r="M77" s="3"/>
      <c r="N77" s="3"/>
      <c r="O77" s="3"/>
      <c r="P77" s="3" t="s">
        <v>13</v>
      </c>
      <c r="Q77" s="3" t="s">
        <v>13</v>
      </c>
      <c r="R77" s="3" t="s">
        <v>13</v>
      </c>
      <c r="S77" s="3"/>
      <c r="T77" s="3"/>
      <c r="U77" s="3" t="s">
        <v>13</v>
      </c>
      <c r="V77" s="3"/>
      <c r="W77" s="3"/>
      <c r="AB77" s="3" t="s">
        <v>13</v>
      </c>
      <c r="AG77" s="3" t="s">
        <v>13</v>
      </c>
      <c r="AJ77" s="3" t="s">
        <v>13</v>
      </c>
      <c r="AM77" s="14" t="s">
        <v>82</v>
      </c>
      <c r="AN77" s="15">
        <f>+SUMIF(AL34:AL75,"AF",D34:D75)/1.19</f>
        <v>217293.27731092437</v>
      </c>
    </row>
    <row r="78" spans="1:40" ht="15" thickBot="1" x14ac:dyDescent="0.4">
      <c r="B78" s="5" t="s">
        <v>13</v>
      </c>
      <c r="D78" s="236" t="s">
        <v>13</v>
      </c>
      <c r="F78" s="3"/>
      <c r="G78" s="3" t="s">
        <v>13</v>
      </c>
      <c r="H78" s="3" t="s">
        <v>13</v>
      </c>
      <c r="I78" s="3"/>
      <c r="J78" s="3"/>
      <c r="K78" s="3"/>
      <c r="L78" s="3"/>
      <c r="M78" s="3"/>
      <c r="N78" s="3"/>
      <c r="O78" s="3"/>
      <c r="P78" s="3"/>
      <c r="S78" s="3"/>
      <c r="T78" s="3" t="s">
        <v>13</v>
      </c>
      <c r="U78" s="3"/>
      <c r="V78" s="3"/>
      <c r="W78" s="3"/>
      <c r="AB78" s="3" t="s">
        <v>13</v>
      </c>
      <c r="AM78" s="16"/>
      <c r="AN78" s="19">
        <f>+AN75-AN76-AN77</f>
        <v>-196741.65546732018</v>
      </c>
    </row>
    <row r="79" spans="1:40" x14ac:dyDescent="0.35">
      <c r="A79" s="5" t="s">
        <v>13</v>
      </c>
      <c r="B79" s="236" t="s">
        <v>13</v>
      </c>
      <c r="C79" s="236" t="s">
        <v>13</v>
      </c>
      <c r="F79" s="3"/>
      <c r="G79" s="3">
        <f>5956.57*1.19</f>
        <v>7088.318299999999</v>
      </c>
      <c r="H79" s="3"/>
      <c r="I79" s="3"/>
      <c r="J79" s="3"/>
      <c r="K79" s="3"/>
      <c r="L79" s="3"/>
      <c r="M79" s="3"/>
      <c r="N79" s="3"/>
      <c r="O79" s="3"/>
      <c r="P79" s="3"/>
      <c r="S79" s="3"/>
      <c r="T79" s="3"/>
      <c r="U79" s="3"/>
      <c r="V79" s="3"/>
      <c r="W79" s="3" t="s">
        <v>13</v>
      </c>
      <c r="AB79" s="3" t="s">
        <v>13</v>
      </c>
    </row>
    <row r="80" spans="1:40" x14ac:dyDescent="0.35">
      <c r="B80" t="s">
        <v>13</v>
      </c>
      <c r="C80" t="s">
        <v>13</v>
      </c>
      <c r="D80" s="236" t="s">
        <v>13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 t="s">
        <v>13</v>
      </c>
      <c r="Q80" s="3"/>
      <c r="R80" s="3"/>
      <c r="S80" s="3"/>
      <c r="T80" s="3"/>
      <c r="U80" s="3"/>
      <c r="V80" s="3" t="s">
        <v>13</v>
      </c>
      <c r="W80" s="3"/>
      <c r="AB80" s="3" t="s">
        <v>13</v>
      </c>
      <c r="AC80" s="59" t="s">
        <v>13</v>
      </c>
      <c r="AD80" t="s">
        <v>13</v>
      </c>
      <c r="AE80" t="s">
        <v>13</v>
      </c>
    </row>
    <row r="81" spans="2:29" x14ac:dyDescent="0.35">
      <c r="B81" t="s">
        <v>13</v>
      </c>
      <c r="C81" s="236" t="s">
        <v>13</v>
      </c>
      <c r="D81" s="286" t="s">
        <v>13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AB81" s="3" t="s">
        <v>13</v>
      </c>
      <c r="AC81" t="s">
        <v>13</v>
      </c>
    </row>
    <row r="82" spans="2:29" x14ac:dyDescent="0.35">
      <c r="B82" t="s">
        <v>13</v>
      </c>
      <c r="C82" t="s">
        <v>13</v>
      </c>
      <c r="D82" t="s">
        <v>13</v>
      </c>
      <c r="F82" s="3"/>
      <c r="G82" s="3"/>
      <c r="H82" s="3"/>
      <c r="I82" s="3"/>
      <c r="J82" s="3"/>
      <c r="AC82" s="59" t="s">
        <v>13</v>
      </c>
    </row>
    <row r="83" spans="2:29" x14ac:dyDescent="0.35">
      <c r="B83" t="s">
        <v>13</v>
      </c>
      <c r="D83" t="s">
        <v>13</v>
      </c>
      <c r="F83" s="3"/>
      <c r="G83" s="3"/>
      <c r="H83" s="3"/>
      <c r="I83" s="3"/>
      <c r="J83" s="3"/>
      <c r="AB83" t="s">
        <v>13</v>
      </c>
      <c r="AC83" t="s">
        <v>13</v>
      </c>
    </row>
    <row r="84" spans="2:29" x14ac:dyDescent="0.35">
      <c r="B84" t="s">
        <v>13</v>
      </c>
      <c r="F84" s="3"/>
      <c r="G84" s="3"/>
      <c r="H84" s="3"/>
      <c r="I84" s="3"/>
      <c r="J84" s="3"/>
    </row>
    <row r="85" spans="2:29" x14ac:dyDescent="0.35">
      <c r="B85" t="s">
        <v>13</v>
      </c>
      <c r="F85" s="3"/>
      <c r="G85" s="3"/>
      <c r="H85" s="3"/>
      <c r="I85" s="3"/>
      <c r="J85" s="3"/>
    </row>
    <row r="86" spans="2:29" x14ac:dyDescent="0.35">
      <c r="B86" t="s">
        <v>13</v>
      </c>
      <c r="F86" s="3"/>
      <c r="G86" s="3"/>
      <c r="H86" s="3"/>
      <c r="I86" s="3"/>
      <c r="J86" s="3"/>
    </row>
    <row r="87" spans="2:29" x14ac:dyDescent="0.35">
      <c r="B87" t="s">
        <v>13</v>
      </c>
      <c r="F87" s="3"/>
      <c r="G87" s="3"/>
      <c r="H87" s="3"/>
      <c r="I87" s="3"/>
      <c r="J87" s="3"/>
    </row>
  </sheetData>
  <pageMargins left="0.7" right="0.7" top="0.75" bottom="0.75" header="0.3" footer="0.3"/>
  <pageSetup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AN87"/>
  <sheetViews>
    <sheetView workbookViewId="0"/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44713</v>
      </c>
      <c r="G2" s="1">
        <v>44714</v>
      </c>
      <c r="H2" s="1">
        <v>44715</v>
      </c>
      <c r="I2" s="1">
        <v>44716</v>
      </c>
      <c r="J2" s="1">
        <v>44717</v>
      </c>
      <c r="K2" s="1">
        <v>44718</v>
      </c>
      <c r="L2" s="1">
        <v>44719</v>
      </c>
      <c r="M2" s="1">
        <v>44720</v>
      </c>
      <c r="N2" s="1">
        <v>44721</v>
      </c>
      <c r="O2" s="1">
        <v>44722</v>
      </c>
      <c r="P2" s="1">
        <v>44723</v>
      </c>
      <c r="Q2" s="1">
        <v>44724</v>
      </c>
      <c r="R2" s="1">
        <v>44725</v>
      </c>
      <c r="S2" s="1">
        <v>44726</v>
      </c>
      <c r="T2" s="1">
        <v>44727</v>
      </c>
      <c r="U2" s="1">
        <v>44728</v>
      </c>
      <c r="V2" s="1">
        <v>44729</v>
      </c>
      <c r="W2" s="1">
        <v>44730</v>
      </c>
      <c r="X2" s="1">
        <v>44731</v>
      </c>
      <c r="Y2" s="1">
        <v>44732</v>
      </c>
      <c r="Z2" s="1">
        <v>44733</v>
      </c>
      <c r="AA2" s="1">
        <v>44734</v>
      </c>
      <c r="AB2" s="1">
        <v>44735</v>
      </c>
      <c r="AC2" s="1">
        <v>44736</v>
      </c>
      <c r="AD2" s="1">
        <v>44737</v>
      </c>
      <c r="AE2" s="1">
        <v>44738</v>
      </c>
      <c r="AF2" s="1">
        <v>44739</v>
      </c>
      <c r="AG2" s="1">
        <v>44740</v>
      </c>
      <c r="AH2" s="1">
        <v>44741</v>
      </c>
      <c r="AI2" s="1">
        <v>44742</v>
      </c>
      <c r="AJ2" s="1" t="s">
        <v>13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+'May-22'!AJ75</f>
        <v>813995.9452611343</v>
      </c>
      <c r="G3" s="3">
        <f>+F75</f>
        <v>813995.9452611343</v>
      </c>
      <c r="H3" s="3">
        <f t="shared" ref="H3:AI3" si="0">+G75</f>
        <v>810245.9452611343</v>
      </c>
      <c r="I3" s="3">
        <f t="shared" si="0"/>
        <v>810245.9452611343</v>
      </c>
      <c r="J3" s="3">
        <f t="shared" si="0"/>
        <v>810245.9452611343</v>
      </c>
      <c r="K3" s="3">
        <f t="shared" si="0"/>
        <v>810245.9452611343</v>
      </c>
      <c r="L3" s="3">
        <f t="shared" si="0"/>
        <v>796340.9452611343</v>
      </c>
      <c r="M3" s="3">
        <f t="shared" si="0"/>
        <v>796340.9452611343</v>
      </c>
      <c r="N3" s="3">
        <f t="shared" si="0"/>
        <v>1021540.9452611343</v>
      </c>
      <c r="O3" s="3">
        <f t="shared" si="0"/>
        <v>771540.9452611343</v>
      </c>
      <c r="P3" s="3">
        <f t="shared" si="0"/>
        <v>1195258.9452611343</v>
      </c>
      <c r="Q3" s="3">
        <f t="shared" si="0"/>
        <v>1195258.9452611343</v>
      </c>
      <c r="R3" s="3">
        <f t="shared" si="0"/>
        <v>1195258.9452611343</v>
      </c>
      <c r="S3" s="3">
        <f t="shared" si="0"/>
        <v>775198.9452611343</v>
      </c>
      <c r="T3" s="3">
        <f t="shared" si="0"/>
        <v>775198.9452611343</v>
      </c>
      <c r="U3" s="3">
        <f t="shared" si="0"/>
        <v>775198.9452611343</v>
      </c>
      <c r="V3" s="3">
        <f t="shared" si="0"/>
        <v>775198.9452611343</v>
      </c>
      <c r="W3" s="3">
        <f t="shared" si="0"/>
        <v>775198.9452611343</v>
      </c>
      <c r="X3" s="3">
        <f t="shared" si="0"/>
        <v>775198.9452611343</v>
      </c>
      <c r="Y3" s="3">
        <f t="shared" si="0"/>
        <v>775198.9452611343</v>
      </c>
      <c r="Z3" s="3">
        <f t="shared" si="0"/>
        <v>854784.05637224542</v>
      </c>
      <c r="AA3" s="3">
        <f t="shared" si="0"/>
        <v>836585.05637224542</v>
      </c>
      <c r="AB3" s="3">
        <f t="shared" si="0"/>
        <v>836585.05637224542</v>
      </c>
      <c r="AC3" s="3">
        <f t="shared" si="0"/>
        <v>815263.05637224542</v>
      </c>
      <c r="AD3" s="3">
        <f t="shared" si="0"/>
        <v>815263.05637224542</v>
      </c>
      <c r="AE3" s="3">
        <f t="shared" si="0"/>
        <v>815263.05637224542</v>
      </c>
      <c r="AF3" s="3">
        <f t="shared" si="0"/>
        <v>815263.05637224542</v>
      </c>
      <c r="AG3" s="3">
        <f t="shared" si="0"/>
        <v>815263.05637224542</v>
      </c>
      <c r="AH3" s="3">
        <f t="shared" si="0"/>
        <v>37224.808484745445</v>
      </c>
      <c r="AI3" s="3">
        <f t="shared" si="0"/>
        <v>37224.808484745445</v>
      </c>
      <c r="AJ3" s="3" t="s">
        <v>13</v>
      </c>
      <c r="AK3" s="3" t="s">
        <v>13</v>
      </c>
      <c r="AL3" s="6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x14ac:dyDescent="0.35">
      <c r="A5" t="s">
        <v>235</v>
      </c>
      <c r="B5" t="s">
        <v>234</v>
      </c>
      <c r="C5" s="5">
        <v>43882</v>
      </c>
      <c r="D5" s="3">
        <v>160200</v>
      </c>
      <c r="E5" t="s">
        <v>13</v>
      </c>
      <c r="F5" s="3"/>
      <c r="G5" s="3"/>
      <c r="H5" s="3"/>
      <c r="I5" s="3"/>
      <c r="J5" s="3"/>
      <c r="K5" s="3"/>
      <c r="L5" s="3"/>
      <c r="M5" s="3"/>
      <c r="N5" s="3"/>
      <c r="O5" s="3">
        <v>160200</v>
      </c>
      <c r="P5" s="3"/>
      <c r="Q5" s="3"/>
      <c r="R5" s="3"/>
      <c r="S5" s="3"/>
      <c r="T5" s="3" t="s">
        <v>13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 t="s">
        <v>13</v>
      </c>
      <c r="AK5" s="3">
        <f>SUM($F5:AJ5)</f>
        <v>160200</v>
      </c>
      <c r="AL5" s="22" t="s">
        <v>13</v>
      </c>
    </row>
    <row r="6" spans="1:38" x14ac:dyDescent="0.35">
      <c r="A6" t="s">
        <v>242</v>
      </c>
      <c r="B6" t="s">
        <v>243</v>
      </c>
      <c r="C6" s="5">
        <v>43889</v>
      </c>
      <c r="D6" s="3">
        <v>160200</v>
      </c>
      <c r="E6" t="s">
        <v>13</v>
      </c>
      <c r="F6" s="3" t="s">
        <v>13</v>
      </c>
      <c r="G6" s="3"/>
      <c r="H6" s="3"/>
      <c r="I6" s="3"/>
      <c r="J6" s="3"/>
      <c r="K6" s="3"/>
      <c r="L6" s="3"/>
      <c r="M6" s="3"/>
      <c r="N6" s="3"/>
      <c r="O6" s="3">
        <v>160200</v>
      </c>
      <c r="P6" s="3"/>
      <c r="Q6" s="3"/>
      <c r="R6" s="3"/>
      <c r="S6" s="3"/>
      <c r="T6" s="3" t="s">
        <v>13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f>SUM($F6:AJ6)</f>
        <v>160200</v>
      </c>
      <c r="AL6" s="22" t="s">
        <v>13</v>
      </c>
    </row>
    <row r="7" spans="1:38" x14ac:dyDescent="0.35">
      <c r="A7" t="s">
        <v>299</v>
      </c>
      <c r="B7" t="s">
        <v>300</v>
      </c>
      <c r="C7" s="5">
        <v>43904</v>
      </c>
      <c r="D7" s="3">
        <v>160200</v>
      </c>
      <c r="E7" t="s">
        <v>13</v>
      </c>
      <c r="F7" s="3" t="s">
        <v>13</v>
      </c>
      <c r="G7" s="3"/>
      <c r="H7" s="3"/>
      <c r="I7" s="3"/>
      <c r="J7" s="3"/>
      <c r="K7" s="3"/>
      <c r="L7" s="3"/>
      <c r="M7" s="3"/>
      <c r="N7" s="3"/>
      <c r="O7" s="3">
        <v>160200</v>
      </c>
      <c r="P7" s="3"/>
      <c r="Q7" s="3"/>
      <c r="R7" s="3"/>
      <c r="S7" s="3" t="s">
        <v>13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SUM($F7:AJ7)</f>
        <v>160200</v>
      </c>
      <c r="AL7" s="22" t="s">
        <v>13</v>
      </c>
    </row>
    <row r="8" spans="1:38" x14ac:dyDescent="0.35">
      <c r="A8" t="s">
        <v>895</v>
      </c>
      <c r="B8" t="s">
        <v>886</v>
      </c>
      <c r="C8" s="5">
        <v>44618</v>
      </c>
      <c r="D8" s="3">
        <v>56708</v>
      </c>
      <c r="E8" t="s">
        <v>13</v>
      </c>
      <c r="F8" s="3"/>
      <c r="G8" s="3" t="s">
        <v>13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0</v>
      </c>
      <c r="AL8" s="22"/>
    </row>
    <row r="9" spans="1:38" x14ac:dyDescent="0.35">
      <c r="A9" t="s">
        <v>995</v>
      </c>
      <c r="B9" t="s">
        <v>992</v>
      </c>
      <c r="C9" s="5">
        <v>44687</v>
      </c>
      <c r="D9" s="3">
        <v>293399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f>SUM($F9:AJ9)</f>
        <v>0</v>
      </c>
      <c r="AL9" s="22"/>
    </row>
    <row r="10" spans="1:38" x14ac:dyDescent="0.35">
      <c r="A10" t="s">
        <v>1058</v>
      </c>
      <c r="B10" t="s">
        <v>1056</v>
      </c>
      <c r="C10" s="5">
        <v>44701</v>
      </c>
      <c r="D10" s="3">
        <v>44308</v>
      </c>
      <c r="E10" s="6" t="s">
        <v>782</v>
      </c>
      <c r="F10" s="3"/>
      <c r="G10" s="3"/>
      <c r="H10" s="3"/>
      <c r="I10" s="3"/>
      <c r="J10" s="3"/>
      <c r="K10" s="3"/>
      <c r="L10" s="3"/>
      <c r="M10" s="3">
        <v>44308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SUM($F10:AJ10)</f>
        <v>44308</v>
      </c>
      <c r="AL10" s="22"/>
    </row>
    <row r="11" spans="1:38" x14ac:dyDescent="0.35">
      <c r="A11" t="s">
        <v>1059</v>
      </c>
      <c r="B11" t="s">
        <v>1057</v>
      </c>
      <c r="C11" s="5">
        <v>44701</v>
      </c>
      <c r="D11" s="3">
        <v>85642</v>
      </c>
      <c r="E11" s="6" t="s">
        <v>782</v>
      </c>
      <c r="F11" s="3"/>
      <c r="G11" s="3"/>
      <c r="H11" s="3"/>
      <c r="I11" s="3"/>
      <c r="J11" s="3"/>
      <c r="K11" s="3"/>
      <c r="L11" s="3"/>
      <c r="M11" s="3">
        <v>85642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f>SUM($F11:AJ11)</f>
        <v>85642</v>
      </c>
      <c r="AL11" s="22"/>
    </row>
    <row r="12" spans="1:38" x14ac:dyDescent="0.35">
      <c r="A12" t="s">
        <v>1071</v>
      </c>
      <c r="B12" t="s">
        <v>1072</v>
      </c>
      <c r="C12" s="5">
        <v>44708</v>
      </c>
      <c r="D12" s="3">
        <v>85642</v>
      </c>
      <c r="E12" s="6" t="s">
        <v>782</v>
      </c>
      <c r="F12" s="3"/>
      <c r="G12" s="3"/>
      <c r="H12" s="3"/>
      <c r="I12" s="3"/>
      <c r="J12" s="3"/>
      <c r="K12" s="3"/>
      <c r="L12" s="3"/>
      <c r="M12" s="3">
        <v>85642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f>SUM($F12:AJ12)</f>
        <v>85642</v>
      </c>
      <c r="AL12" s="22"/>
    </row>
    <row r="13" spans="1:38" x14ac:dyDescent="0.35">
      <c r="A13" t="s">
        <v>1073</v>
      </c>
      <c r="B13" t="s">
        <v>1074</v>
      </c>
      <c r="C13" s="5">
        <v>44708</v>
      </c>
      <c r="D13" s="3">
        <v>44308</v>
      </c>
      <c r="E13" s="6" t="s">
        <v>782</v>
      </c>
      <c r="F13" s="3"/>
      <c r="G13" s="3"/>
      <c r="H13" s="3"/>
      <c r="I13" s="3"/>
      <c r="J13" s="3"/>
      <c r="K13" s="3"/>
      <c r="L13" s="3"/>
      <c r="M13" s="3">
        <v>44308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f>SUM($F13:AJ13)</f>
        <v>44308</v>
      </c>
      <c r="AL13" s="22"/>
    </row>
    <row r="14" spans="1:38" x14ac:dyDescent="0.35">
      <c r="A14" t="s">
        <v>1075</v>
      </c>
      <c r="B14" t="s">
        <v>1076</v>
      </c>
      <c r="C14" s="5">
        <v>44715</v>
      </c>
      <c r="D14" s="3">
        <v>85642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85642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f>SUM($F14:AJ14)</f>
        <v>85642</v>
      </c>
      <c r="AL14" s="22"/>
    </row>
    <row r="15" spans="1:38" x14ac:dyDescent="0.35">
      <c r="A15" t="s">
        <v>1089</v>
      </c>
      <c r="B15" t="s">
        <v>1087</v>
      </c>
      <c r="C15" s="5">
        <v>44722</v>
      </c>
      <c r="D15" s="3">
        <v>85642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85642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f>SUM($F15:AJ15)</f>
        <v>85642</v>
      </c>
      <c r="AL15" s="22"/>
    </row>
    <row r="16" spans="1:38" x14ac:dyDescent="0.35">
      <c r="A16" t="s">
        <v>1090</v>
      </c>
      <c r="B16" t="s">
        <v>1088</v>
      </c>
      <c r="C16" s="5">
        <v>44722</v>
      </c>
      <c r="D16" s="3">
        <v>85642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>
        <v>85642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f>SUM($F16:AJ16)</f>
        <v>85642</v>
      </c>
      <c r="AL16" s="22"/>
    </row>
    <row r="17" spans="1:38" x14ac:dyDescent="0.35">
      <c r="A17" t="s">
        <v>1095</v>
      </c>
      <c r="B17" t="s">
        <v>1096</v>
      </c>
      <c r="C17" s="5">
        <v>44729</v>
      </c>
      <c r="D17" s="3">
        <v>85642</v>
      </c>
      <c r="E17" s="6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f>SUM($F17:AJ17)</f>
        <v>0</v>
      </c>
      <c r="AL17" s="22"/>
    </row>
    <row r="18" spans="1:38" x14ac:dyDescent="0.35">
      <c r="A18" t="s">
        <v>1107</v>
      </c>
      <c r="B18" t="s">
        <v>1105</v>
      </c>
      <c r="C18" s="5">
        <v>44735</v>
      </c>
      <c r="D18" s="3">
        <v>85642</v>
      </c>
      <c r="E18" s="6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>
        <f>SUM($F18:AJ18)</f>
        <v>0</v>
      </c>
      <c r="AL18" s="22"/>
    </row>
    <row r="19" spans="1:38" x14ac:dyDescent="0.35">
      <c r="A19" t="s">
        <v>1108</v>
      </c>
      <c r="B19" t="s">
        <v>1106</v>
      </c>
      <c r="C19" s="5">
        <v>44735</v>
      </c>
      <c r="D19" s="3">
        <v>85642</v>
      </c>
      <c r="E19" s="6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f>SUM($F19:AJ19)</f>
        <v>0</v>
      </c>
      <c r="AL19" s="22"/>
    </row>
    <row r="20" spans="1:38" x14ac:dyDescent="0.35">
      <c r="A20" t="s">
        <v>1109</v>
      </c>
      <c r="B20" t="s">
        <v>1110</v>
      </c>
      <c r="C20" s="5">
        <v>44736</v>
      </c>
      <c r="D20" s="3">
        <v>85642</v>
      </c>
      <c r="E20" s="6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>
        <f>SUM($F20:AJ20)</f>
        <v>0</v>
      </c>
      <c r="AL20" s="22"/>
    </row>
    <row r="21" spans="1:38" x14ac:dyDescent="0.35">
      <c r="A21" t="s">
        <v>1115</v>
      </c>
      <c r="B21" t="s">
        <v>1117</v>
      </c>
      <c r="C21" s="5">
        <v>44742</v>
      </c>
      <c r="D21" s="3">
        <v>168309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f>SUM($F21:AJ21)</f>
        <v>0</v>
      </c>
      <c r="AL21" s="22"/>
    </row>
    <row r="22" spans="1:38" x14ac:dyDescent="0.35">
      <c r="A22" t="s">
        <v>1116</v>
      </c>
      <c r="B22" t="s">
        <v>1118</v>
      </c>
      <c r="C22" s="5">
        <v>44742</v>
      </c>
      <c r="D22" s="3">
        <v>44308</v>
      </c>
      <c r="E22" s="6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f>SUM($F22:AJ22)</f>
        <v>0</v>
      </c>
      <c r="AL22" s="22"/>
    </row>
    <row r="23" spans="1:38" x14ac:dyDescent="0.35">
      <c r="C23" s="5"/>
      <c r="D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f>SUM($F23:AJ23)</f>
        <v>0</v>
      </c>
      <c r="AL23" s="22"/>
    </row>
    <row r="24" spans="1:38" x14ac:dyDescent="0.35">
      <c r="C24" s="5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f>SUM($F24:AJ24)</f>
        <v>0</v>
      </c>
      <c r="AL24" s="22"/>
    </row>
    <row r="25" spans="1:38" x14ac:dyDescent="0.35">
      <c r="C25" s="5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>
        <f>SUM($F25:AJ25)</f>
        <v>0</v>
      </c>
      <c r="AL25" s="22"/>
    </row>
    <row r="26" spans="1:38" x14ac:dyDescent="0.35">
      <c r="A26" t="s">
        <v>345</v>
      </c>
      <c r="B26" t="s">
        <v>344</v>
      </c>
      <c r="C26" s="5" t="s">
        <v>13</v>
      </c>
      <c r="D26" s="3">
        <v>0</v>
      </c>
      <c r="E26" t="s">
        <v>382</v>
      </c>
      <c r="F26" s="3" t="s">
        <v>13</v>
      </c>
      <c r="G26" s="3"/>
      <c r="H26" s="3"/>
      <c r="I26" s="3"/>
      <c r="J26" s="3" t="s">
        <v>13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f>SUM($F26:AJ26)</f>
        <v>0</v>
      </c>
      <c r="AL26" s="22" t="s">
        <v>13</v>
      </c>
    </row>
    <row r="27" spans="1:38" x14ac:dyDescent="0.35">
      <c r="A27" t="s">
        <v>13</v>
      </c>
      <c r="F27" s="3"/>
      <c r="G27" s="3" t="s">
        <v>13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 t="s">
        <v>13</v>
      </c>
    </row>
    <row r="28" spans="1:38" x14ac:dyDescent="0.3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AK28" s="72">
        <f>SUM(AK5:AK27)</f>
        <v>997426</v>
      </c>
    </row>
    <row r="29" spans="1:38" x14ac:dyDescent="0.35">
      <c r="A29" s="2" t="s">
        <v>6</v>
      </c>
      <c r="D29" s="3">
        <f>SUM(D14:D22)</f>
        <v>812111</v>
      </c>
      <c r="F29" s="3">
        <f t="shared" ref="F29:AJ29" si="1">SUM(F5:F28)</f>
        <v>0</v>
      </c>
      <c r="G29" s="3">
        <f t="shared" si="1"/>
        <v>0</v>
      </c>
      <c r="H29" s="3">
        <f t="shared" si="1"/>
        <v>0</v>
      </c>
      <c r="I29" s="3">
        <f t="shared" si="1"/>
        <v>0</v>
      </c>
      <c r="J29" s="3">
        <f t="shared" si="1"/>
        <v>0</v>
      </c>
      <c r="K29" s="3">
        <f t="shared" si="1"/>
        <v>0</v>
      </c>
      <c r="L29" s="3">
        <f t="shared" si="1"/>
        <v>0</v>
      </c>
      <c r="M29" s="3">
        <f t="shared" si="1"/>
        <v>259900</v>
      </c>
      <c r="N29" s="3">
        <f t="shared" si="1"/>
        <v>0</v>
      </c>
      <c r="O29" s="3">
        <f t="shared" si="1"/>
        <v>480600</v>
      </c>
      <c r="P29" s="3">
        <f t="shared" si="1"/>
        <v>0</v>
      </c>
      <c r="Q29" s="3">
        <f t="shared" si="1"/>
        <v>0</v>
      </c>
      <c r="R29" s="3">
        <f t="shared" si="1"/>
        <v>0</v>
      </c>
      <c r="S29" s="3">
        <f t="shared" si="1"/>
        <v>0</v>
      </c>
      <c r="T29" s="3">
        <f t="shared" si="1"/>
        <v>0</v>
      </c>
      <c r="U29" s="3">
        <f t="shared" si="1"/>
        <v>0</v>
      </c>
      <c r="V29" s="3">
        <f t="shared" si="1"/>
        <v>0</v>
      </c>
      <c r="W29" s="3">
        <f t="shared" si="1"/>
        <v>0</v>
      </c>
      <c r="X29" s="3">
        <f t="shared" si="1"/>
        <v>0</v>
      </c>
      <c r="Y29" s="3">
        <f t="shared" si="1"/>
        <v>256926</v>
      </c>
      <c r="Z29" s="3">
        <f t="shared" si="1"/>
        <v>0</v>
      </c>
      <c r="AA29" s="3">
        <f t="shared" si="1"/>
        <v>0</v>
      </c>
      <c r="AB29" s="3">
        <f t="shared" si="1"/>
        <v>0</v>
      </c>
      <c r="AC29" s="3">
        <f t="shared" si="1"/>
        <v>0</v>
      </c>
      <c r="AD29" s="3">
        <f t="shared" si="1"/>
        <v>0</v>
      </c>
      <c r="AE29" s="3">
        <f t="shared" si="1"/>
        <v>0</v>
      </c>
      <c r="AF29" s="3">
        <f t="shared" si="1"/>
        <v>0</v>
      </c>
      <c r="AG29" s="3">
        <f t="shared" si="1"/>
        <v>0</v>
      </c>
      <c r="AH29" s="3">
        <f t="shared" si="1"/>
        <v>0</v>
      </c>
      <c r="AI29" s="3">
        <f t="shared" si="1"/>
        <v>0</v>
      </c>
      <c r="AJ29" s="3">
        <f t="shared" si="1"/>
        <v>0</v>
      </c>
    </row>
    <row r="30" spans="1:38" x14ac:dyDescent="0.35">
      <c r="A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8" x14ac:dyDescent="0.35">
      <c r="A31" s="2" t="s">
        <v>2</v>
      </c>
      <c r="F31" s="3"/>
      <c r="G31" s="3"/>
      <c r="H31" s="3"/>
      <c r="I31" s="3"/>
      <c r="J31" s="3"/>
      <c r="K31" s="3"/>
      <c r="L31" s="3" t="s">
        <v>13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8" x14ac:dyDescent="0.35">
      <c r="A32" s="4" t="s">
        <v>629</v>
      </c>
      <c r="B32" s="24" t="s">
        <v>337</v>
      </c>
      <c r="C32" s="67"/>
      <c r="D32" s="3">
        <v>500000</v>
      </c>
      <c r="F32" s="3"/>
      <c r="G32" s="3"/>
      <c r="H32" s="3"/>
      <c r="I32" s="3"/>
      <c r="J32" s="3" t="s">
        <v>13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E32" s="3"/>
      <c r="AF32" s="3"/>
      <c r="AG32" s="3"/>
      <c r="AH32" s="3"/>
      <c r="AI32" s="3"/>
      <c r="AJ32" s="3"/>
      <c r="AK32" s="3">
        <f>SUM($F32:AJ32)</f>
        <v>0</v>
      </c>
    </row>
    <row r="33" spans="1:38" x14ac:dyDescent="0.35">
      <c r="A33" s="4" t="s">
        <v>646</v>
      </c>
      <c r="B33" s="24" t="s">
        <v>1086</v>
      </c>
      <c r="C33" s="67"/>
      <c r="D33" s="3">
        <v>250000</v>
      </c>
      <c r="F33" s="3"/>
      <c r="G33" s="3"/>
      <c r="H33" s="3" t="s">
        <v>13</v>
      </c>
      <c r="I33" s="3"/>
      <c r="J33" s="3" t="s">
        <v>13</v>
      </c>
      <c r="K33" s="3"/>
      <c r="L33" s="3"/>
      <c r="M33" s="3"/>
      <c r="N33" s="3">
        <v>250000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250000</v>
      </c>
    </row>
    <row r="34" spans="1:38" x14ac:dyDescent="0.35">
      <c r="A34" t="s">
        <v>1136</v>
      </c>
      <c r="B34" t="s">
        <v>337</v>
      </c>
      <c r="C34" s="5" t="s">
        <v>13</v>
      </c>
      <c r="D34" s="3">
        <f ca="1">+'MAR-21'!AK19*0.17+('ABR-21'!AJ18+'MAY-21'!AK16+'JUN-21'!AK14+'JUL-21'!AK28+'AGO-21'!AK22+'SEP-21'!AK14+'OCT-21'!AK19)*0.17</f>
        <v>309430.03333333333</v>
      </c>
      <c r="F34" s="3"/>
      <c r="G34" s="3" t="s">
        <v>13</v>
      </c>
      <c r="H34" s="3" t="s">
        <v>13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0</v>
      </c>
    </row>
    <row r="35" spans="1:38" x14ac:dyDescent="0.35">
      <c r="A35" t="s">
        <v>1140</v>
      </c>
      <c r="B35" t="s">
        <v>337</v>
      </c>
      <c r="C35" s="5" t="s">
        <v>13</v>
      </c>
      <c r="D35" s="3">
        <f>+'May-22'!D42</f>
        <v>242556.17000000004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0</v>
      </c>
    </row>
    <row r="36" spans="1:38" x14ac:dyDescent="0.35">
      <c r="A36" t="s">
        <v>1139</v>
      </c>
      <c r="B36" t="s">
        <v>337</v>
      </c>
      <c r="C36" s="5" t="s">
        <v>13</v>
      </c>
      <c r="D36" s="3">
        <f>+'May-22'!D43+'Jun-22'!AK28*0.17</f>
        <v>299090.18000000005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0</v>
      </c>
    </row>
    <row r="37" spans="1:38" x14ac:dyDescent="0.35">
      <c r="A37" s="4" t="s">
        <v>952</v>
      </c>
      <c r="C37" s="5"/>
      <c r="D37" s="3">
        <v>2400000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0</v>
      </c>
    </row>
    <row r="38" spans="1:38" x14ac:dyDescent="0.35">
      <c r="A38" s="4" t="s">
        <v>1008</v>
      </c>
      <c r="C38" s="5"/>
      <c r="D38" s="3">
        <v>2400000</v>
      </c>
      <c r="E38" s="3" t="s">
        <v>13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0</v>
      </c>
    </row>
    <row r="39" spans="1:38" x14ac:dyDescent="0.35">
      <c r="A39" s="4" t="s">
        <v>920</v>
      </c>
      <c r="B39" s="24" t="s">
        <v>1061</v>
      </c>
      <c r="C39" s="67">
        <v>44694</v>
      </c>
      <c r="D39" s="3">
        <v>10470</v>
      </c>
      <c r="E39" s="153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Y39" s="3">
        <v>10470</v>
      </c>
      <c r="AG39" s="3"/>
      <c r="AK39" s="3">
        <f>SUM($F39:AJ39)</f>
        <v>10470</v>
      </c>
      <c r="AL39" s="22"/>
    </row>
    <row r="40" spans="1:38" x14ac:dyDescent="0.35">
      <c r="A40" s="4" t="s">
        <v>908</v>
      </c>
      <c r="B40" s="24"/>
      <c r="C40" s="67">
        <v>44694</v>
      </c>
      <c r="D40" s="3">
        <f>6.9*2*1050/9+2000</f>
        <v>3610</v>
      </c>
      <c r="E40" s="15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>
        <f>6.9*2*1050/9+2000</f>
        <v>3610</v>
      </c>
      <c r="AG40" s="3"/>
      <c r="AK40" s="3">
        <f>SUM($F40:AJ40)</f>
        <v>3610</v>
      </c>
      <c r="AL40" s="22"/>
    </row>
    <row r="41" spans="1:38" x14ac:dyDescent="0.35">
      <c r="A41" s="4" t="s">
        <v>844</v>
      </c>
      <c r="B41" s="24"/>
      <c r="C41" s="67">
        <v>44694</v>
      </c>
      <c r="D41" s="3">
        <f>13.9*1150/9+2000</f>
        <v>3776.1111111111113</v>
      </c>
      <c r="E41" s="15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>
        <f>13.9*1150/9+2000</f>
        <v>3776.1111111111113</v>
      </c>
      <c r="AG41" s="3"/>
      <c r="AK41" s="3">
        <f>SUM($F41:AJ41)</f>
        <v>3776.1111111111113</v>
      </c>
      <c r="AL41" s="22"/>
    </row>
    <row r="42" spans="1:38" x14ac:dyDescent="0.35">
      <c r="A42" s="4" t="s">
        <v>920</v>
      </c>
      <c r="B42" s="24" t="s">
        <v>1060</v>
      </c>
      <c r="C42" s="67">
        <v>44701</v>
      </c>
      <c r="D42" s="3">
        <v>17007</v>
      </c>
      <c r="E42" s="153" t="s">
        <v>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>
        <v>17007</v>
      </c>
      <c r="AG42" s="3"/>
      <c r="AK42" s="3">
        <f>SUM($F42:AJ42)</f>
        <v>17007</v>
      </c>
      <c r="AL42" s="22"/>
    </row>
    <row r="43" spans="1:38" x14ac:dyDescent="0.35">
      <c r="A43" s="4" t="s">
        <v>908</v>
      </c>
      <c r="B43" s="24"/>
      <c r="C43" s="67">
        <v>44701</v>
      </c>
      <c r="D43" s="3">
        <f>6.9*2*1050/9+2000</f>
        <v>3610</v>
      </c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>
        <f>6.9*2*1050/9+2000</f>
        <v>3610</v>
      </c>
      <c r="AG43" s="3"/>
      <c r="AK43" s="3">
        <f>SUM($F43:AJ43)</f>
        <v>3610</v>
      </c>
      <c r="AL43" s="22"/>
    </row>
    <row r="44" spans="1:38" x14ac:dyDescent="0.35">
      <c r="A44" s="4" t="s">
        <v>1070</v>
      </c>
      <c r="B44" s="24" t="s">
        <v>1069</v>
      </c>
      <c r="C44" s="67">
        <v>44707</v>
      </c>
      <c r="D44" s="3">
        <f>59420+5942</f>
        <v>65362</v>
      </c>
      <c r="E44" s="153" t="s"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>
        <f>59420+5942</f>
        <v>65362</v>
      </c>
      <c r="AE44" s="3" t="s">
        <v>13</v>
      </c>
      <c r="AG44" s="3"/>
      <c r="AK44" s="3">
        <f>SUM($F44:AJ44)</f>
        <v>65362</v>
      </c>
      <c r="AL44" s="22"/>
    </row>
    <row r="45" spans="1:38" x14ac:dyDescent="0.35">
      <c r="A45" s="4" t="s">
        <v>857</v>
      </c>
      <c r="B45" s="24"/>
      <c r="C45" s="67">
        <v>44708</v>
      </c>
      <c r="D45" s="3">
        <f>12.9*1050/9+1100+1068+1736</f>
        <v>5409</v>
      </c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>
        <f>12.9*1050/9+1100+1068+1736</f>
        <v>5409</v>
      </c>
      <c r="AG45" s="3"/>
      <c r="AK45" s="3">
        <f>SUM($F45:AJ45)</f>
        <v>5409</v>
      </c>
      <c r="AL45" s="22"/>
    </row>
    <row r="46" spans="1:38" x14ac:dyDescent="0.35">
      <c r="A46" s="4" t="s">
        <v>920</v>
      </c>
      <c r="B46" s="24" t="s">
        <v>1119</v>
      </c>
      <c r="C46" s="67">
        <v>44711</v>
      </c>
      <c r="D46" s="3">
        <v>10150</v>
      </c>
      <c r="E46" s="153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G46" s="3"/>
      <c r="AK46" s="3">
        <f>SUM($F46:AJ46)</f>
        <v>0</v>
      </c>
      <c r="AL46" s="22"/>
    </row>
    <row r="47" spans="1:38" x14ac:dyDescent="0.35">
      <c r="A47" s="4" t="s">
        <v>1080</v>
      </c>
      <c r="B47" s="24" t="s">
        <v>1079</v>
      </c>
      <c r="C47" s="67">
        <v>44714</v>
      </c>
      <c r="D47" s="3">
        <v>3750</v>
      </c>
      <c r="E47" s="153"/>
      <c r="F47" s="3"/>
      <c r="G47" s="3">
        <v>3750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G47" s="3"/>
      <c r="AK47" s="3">
        <f>SUM($F47:AJ47)</f>
        <v>3750</v>
      </c>
      <c r="AL47" s="22" t="s">
        <v>81</v>
      </c>
    </row>
    <row r="48" spans="1:38" x14ac:dyDescent="0.35">
      <c r="A48" s="4" t="s">
        <v>844</v>
      </c>
      <c r="B48" s="24"/>
      <c r="C48" s="67">
        <v>44715</v>
      </c>
      <c r="D48" s="3">
        <f>13.9*1150/9+2000</f>
        <v>3776.1111111111113</v>
      </c>
      <c r="E48" s="15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>
        <f>13.9*1150/9+2000</f>
        <v>3776.1111111111113</v>
      </c>
      <c r="AG48" s="3"/>
      <c r="AK48" s="3">
        <f>SUM($F48:AJ48)</f>
        <v>3776.1111111111113</v>
      </c>
      <c r="AL48" s="22" t="s">
        <v>81</v>
      </c>
    </row>
    <row r="49" spans="1:38" x14ac:dyDescent="0.35">
      <c r="A49" s="4" t="s">
        <v>1082</v>
      </c>
      <c r="B49" s="24" t="s">
        <v>13</v>
      </c>
      <c r="C49" s="67">
        <v>44718</v>
      </c>
      <c r="D49" s="3">
        <v>13905</v>
      </c>
      <c r="E49" s="3"/>
      <c r="F49" s="3"/>
      <c r="G49" s="3"/>
      <c r="H49" s="3"/>
      <c r="I49" s="3"/>
      <c r="K49" s="3">
        <v>13905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G49" s="3"/>
      <c r="AK49" s="3">
        <f>SUM($F49:AJ49)</f>
        <v>13905</v>
      </c>
      <c r="AL49" s="22" t="s">
        <v>1557</v>
      </c>
    </row>
    <row r="50" spans="1:38" x14ac:dyDescent="0.35">
      <c r="A50" s="4" t="s">
        <v>1083</v>
      </c>
      <c r="B50" s="24" t="s">
        <v>1085</v>
      </c>
      <c r="C50" s="67">
        <v>44719</v>
      </c>
      <c r="D50" s="3">
        <v>34700</v>
      </c>
      <c r="E50" s="153" t="s">
        <v>13</v>
      </c>
      <c r="F50" s="3"/>
      <c r="G50" s="3"/>
      <c r="H50" s="3"/>
      <c r="I50" s="3"/>
      <c r="J50" s="3"/>
      <c r="K50" s="3"/>
      <c r="L50" s="3"/>
      <c r="M50" s="3">
        <v>34700</v>
      </c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G50" s="3"/>
      <c r="AK50" s="3">
        <f>SUM($F50:AJ50)</f>
        <v>34700</v>
      </c>
      <c r="AL50" s="22" t="s">
        <v>81</v>
      </c>
    </row>
    <row r="51" spans="1:38" x14ac:dyDescent="0.35">
      <c r="A51" s="4" t="s">
        <v>1092</v>
      </c>
      <c r="B51" s="24" t="s">
        <v>1084</v>
      </c>
      <c r="C51" s="67">
        <v>44719</v>
      </c>
      <c r="D51" s="3">
        <v>40222</v>
      </c>
      <c r="E51" s="153"/>
      <c r="F51" s="3"/>
      <c r="G51" s="3"/>
      <c r="H51" s="3"/>
      <c r="I51" s="3"/>
      <c r="J51" s="3"/>
      <c r="K51" s="3"/>
      <c r="L51" s="3"/>
      <c r="M51" s="3"/>
      <c r="N51" s="3"/>
      <c r="O51" s="3">
        <v>40222</v>
      </c>
      <c r="P51" s="3"/>
      <c r="Q51" s="3"/>
      <c r="R51" s="3"/>
      <c r="S51" s="3"/>
      <c r="T51" s="3"/>
      <c r="U51" s="3"/>
      <c r="V51" s="3"/>
      <c r="W51" s="3"/>
      <c r="Y51" s="3"/>
      <c r="AG51" s="3"/>
      <c r="AK51" s="3">
        <f>SUM($F51:AJ51)</f>
        <v>40222</v>
      </c>
      <c r="AL51" s="22" t="s">
        <v>82</v>
      </c>
    </row>
    <row r="52" spans="1:38" x14ac:dyDescent="0.35">
      <c r="A52" s="4" t="s">
        <v>1093</v>
      </c>
      <c r="B52" s="24" t="s">
        <v>1091</v>
      </c>
      <c r="C52" s="67">
        <v>44722</v>
      </c>
      <c r="D52" s="3">
        <v>16660</v>
      </c>
      <c r="E52" s="153"/>
      <c r="F52" s="3"/>
      <c r="G52" s="3"/>
      <c r="H52" s="3"/>
      <c r="I52" s="3"/>
      <c r="J52" s="3"/>
      <c r="K52" s="3"/>
      <c r="L52" s="3"/>
      <c r="M52" s="3"/>
      <c r="N52" s="3"/>
      <c r="O52" s="3">
        <v>16660</v>
      </c>
      <c r="P52" s="3"/>
      <c r="Q52" s="3"/>
      <c r="R52" s="3"/>
      <c r="S52" s="3"/>
      <c r="T52" s="3"/>
      <c r="U52" s="3"/>
      <c r="V52" s="3"/>
      <c r="W52" s="3"/>
      <c r="Y52" s="3"/>
      <c r="AG52" s="3"/>
      <c r="AK52" s="3">
        <f>SUM($F52:AJ52)</f>
        <v>16660</v>
      </c>
      <c r="AL52" s="22" t="s">
        <v>83</v>
      </c>
    </row>
    <row r="53" spans="1:38" x14ac:dyDescent="0.35">
      <c r="A53" s="4" t="s">
        <v>920</v>
      </c>
      <c r="B53" s="24" t="s">
        <v>1097</v>
      </c>
      <c r="C53" s="67">
        <v>44722</v>
      </c>
      <c r="D53" s="3">
        <v>12804</v>
      </c>
      <c r="E53" s="15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>
        <v>12804</v>
      </c>
      <c r="AG53" s="3"/>
      <c r="AK53" s="3">
        <f>SUM($F53:AJ53)</f>
        <v>12804</v>
      </c>
      <c r="AL53" s="22" t="s">
        <v>83</v>
      </c>
    </row>
    <row r="54" spans="1:38" x14ac:dyDescent="0.35">
      <c r="A54" s="4" t="s">
        <v>908</v>
      </c>
      <c r="B54" s="24"/>
      <c r="C54" s="67">
        <v>44722</v>
      </c>
      <c r="D54" s="3">
        <f>6.9*2*1150/9+2000</f>
        <v>3763.333333333333</v>
      </c>
      <c r="E54" s="15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>
        <f>6.9*2*1150/9+2000</f>
        <v>3763.333333333333</v>
      </c>
      <c r="AG54" s="3"/>
      <c r="AK54" s="3">
        <f>SUM($F54:AJ54)</f>
        <v>3763.333333333333</v>
      </c>
      <c r="AL54" s="22" t="s">
        <v>81</v>
      </c>
    </row>
    <row r="55" spans="1:38" x14ac:dyDescent="0.35">
      <c r="A55" s="4" t="s">
        <v>1094</v>
      </c>
      <c r="B55" s="24"/>
      <c r="C55" s="67">
        <v>44725</v>
      </c>
      <c r="D55" s="3">
        <v>420060</v>
      </c>
      <c r="E55" s="153"/>
      <c r="F55" s="3"/>
      <c r="G55" s="3"/>
      <c r="H55" s="3"/>
      <c r="I55" s="3"/>
      <c r="J55" s="3"/>
      <c r="K55" s="3"/>
      <c r="L55" s="3"/>
      <c r="M55" s="3"/>
      <c r="N55" s="3"/>
      <c r="O55" s="3" t="s">
        <v>13</v>
      </c>
      <c r="P55" s="3"/>
      <c r="Q55" s="3"/>
      <c r="R55" s="3">
        <v>420060</v>
      </c>
      <c r="S55" s="3"/>
      <c r="T55" s="3"/>
      <c r="U55" s="3"/>
      <c r="V55" s="3"/>
      <c r="W55" s="3"/>
      <c r="Y55" s="3"/>
      <c r="AG55" s="3"/>
      <c r="AK55" s="3">
        <f>SUM($F55:AJ55)</f>
        <v>420060</v>
      </c>
      <c r="AL55" s="22" t="s">
        <v>81</v>
      </c>
    </row>
    <row r="56" spans="1:38" x14ac:dyDescent="0.35">
      <c r="A56" s="4" t="s">
        <v>1098</v>
      </c>
      <c r="B56" s="24" t="s">
        <v>1099</v>
      </c>
      <c r="C56" s="67">
        <v>44728</v>
      </c>
      <c r="D56" s="3">
        <v>11610</v>
      </c>
      <c r="E56" s="15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>
        <v>11610</v>
      </c>
      <c r="AG56" s="3"/>
      <c r="AK56" s="3">
        <f>SUM($F56:AJ56)</f>
        <v>11610</v>
      </c>
      <c r="AL56" s="22" t="s">
        <v>83</v>
      </c>
    </row>
    <row r="57" spans="1:38" x14ac:dyDescent="0.35">
      <c r="A57" s="4" t="s">
        <v>1101</v>
      </c>
      <c r="B57" s="24" t="s">
        <v>1100</v>
      </c>
      <c r="C57" s="67">
        <v>44728</v>
      </c>
      <c r="D57" s="3">
        <v>30591</v>
      </c>
      <c r="E57" s="15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>
        <v>30591</v>
      </c>
      <c r="AG57" s="3"/>
      <c r="AK57" s="3">
        <f>SUM($F57:AJ57)</f>
        <v>30591</v>
      </c>
      <c r="AL57" s="22" t="s">
        <v>83</v>
      </c>
    </row>
    <row r="58" spans="1:38" x14ac:dyDescent="0.35">
      <c r="A58" s="4" t="s">
        <v>857</v>
      </c>
      <c r="B58" s="24"/>
      <c r="C58" s="67">
        <v>44729</v>
      </c>
      <c r="D58" s="3">
        <f>12.9*1150/9+1100+1068+1736</f>
        <v>5552.333333333333</v>
      </c>
      <c r="E58" s="15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>
        <f>12.9*1150/9+1100+1068+1736</f>
        <v>5552.333333333333</v>
      </c>
      <c r="AG58" s="3"/>
      <c r="AK58" s="3">
        <f>SUM($F58:AJ58)</f>
        <v>5552.333333333333</v>
      </c>
      <c r="AL58" s="22" t="s">
        <v>81</v>
      </c>
    </row>
    <row r="59" spans="1:38" x14ac:dyDescent="0.35">
      <c r="A59" s="4" t="s">
        <v>1102</v>
      </c>
      <c r="B59" s="24" t="s">
        <v>1103</v>
      </c>
      <c r="C59" s="67">
        <v>44732</v>
      </c>
      <c r="D59" s="3">
        <v>18199</v>
      </c>
      <c r="E59" s="15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Z59" s="3">
        <v>18199</v>
      </c>
      <c r="AG59" s="3"/>
      <c r="AK59" s="3">
        <f>SUM($F59:AJ59)</f>
        <v>18199</v>
      </c>
      <c r="AL59" s="22" t="s">
        <v>82</v>
      </c>
    </row>
    <row r="60" spans="1:38" x14ac:dyDescent="0.35">
      <c r="A60" s="4" t="s">
        <v>843</v>
      </c>
      <c r="B60" s="24"/>
      <c r="C60" s="67">
        <v>44735</v>
      </c>
      <c r="D60" s="3">
        <f>82*2*1150/9+6000</f>
        <v>26955.555555555555</v>
      </c>
      <c r="E60" s="15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B60" s="3"/>
      <c r="AG60" s="3"/>
      <c r="AK60" s="3">
        <f>SUM($F60:AJ60)</f>
        <v>0</v>
      </c>
      <c r="AL60" s="22" t="s">
        <v>81</v>
      </c>
    </row>
    <row r="61" spans="1:38" x14ac:dyDescent="0.35">
      <c r="A61" s="4" t="s">
        <v>1111</v>
      </c>
      <c r="B61" s="24" t="s">
        <v>1146</v>
      </c>
      <c r="C61" s="67">
        <v>44735</v>
      </c>
      <c r="D61" s="3">
        <f>220*400*1.19</f>
        <v>104720</v>
      </c>
      <c r="E61" s="15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B61" s="3"/>
      <c r="AG61" s="3"/>
      <c r="AK61" s="3">
        <f>SUM($F61:AJ61)</f>
        <v>0</v>
      </c>
      <c r="AL61" s="22" t="s">
        <v>83</v>
      </c>
    </row>
    <row r="62" spans="1:38" x14ac:dyDescent="0.35">
      <c r="A62" s="4" t="s">
        <v>844</v>
      </c>
      <c r="B62" s="24"/>
      <c r="C62" s="67">
        <v>44735</v>
      </c>
      <c r="D62" s="3">
        <f>13.9*1150/9+2000</f>
        <v>3776.1111111111113</v>
      </c>
      <c r="E62" s="15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B62" s="3"/>
      <c r="AG62" s="3"/>
      <c r="AK62" s="3">
        <f>SUM($F62:AJ62)</f>
        <v>0</v>
      </c>
      <c r="AL62" s="22" t="s">
        <v>81</v>
      </c>
    </row>
    <row r="63" spans="1:38" x14ac:dyDescent="0.35">
      <c r="A63" s="4" t="s">
        <v>857</v>
      </c>
      <c r="B63" s="24"/>
      <c r="C63" s="67">
        <v>44735</v>
      </c>
      <c r="D63" s="3">
        <f>12.9*1150/9+1100+1068+1736</f>
        <v>5552.333333333333</v>
      </c>
      <c r="E63" s="15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B63" s="3"/>
      <c r="AG63" s="3"/>
      <c r="AK63" s="3">
        <f>SUM($F63:AJ63)</f>
        <v>0</v>
      </c>
      <c r="AL63" s="22" t="s">
        <v>81</v>
      </c>
    </row>
    <row r="64" spans="1:38" x14ac:dyDescent="0.35">
      <c r="A64" s="4" t="s">
        <v>920</v>
      </c>
      <c r="B64" s="24" t="s">
        <v>1112</v>
      </c>
      <c r="C64" s="67">
        <v>44735</v>
      </c>
      <c r="D64" s="3">
        <v>14250</v>
      </c>
      <c r="E64" s="153" t="s">
        <v>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AG64" s="3"/>
      <c r="AK64" s="3">
        <f>SUM($F64:AJ64)</f>
        <v>0</v>
      </c>
      <c r="AL64" s="22" t="s">
        <v>83</v>
      </c>
    </row>
    <row r="65" spans="1:40" x14ac:dyDescent="0.35">
      <c r="A65" s="4" t="s">
        <v>1104</v>
      </c>
      <c r="B65" s="24" t="s">
        <v>1113</v>
      </c>
      <c r="C65" s="67">
        <v>44736</v>
      </c>
      <c r="D65" s="3">
        <v>21322</v>
      </c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AB65" s="3">
        <v>21322</v>
      </c>
      <c r="AG65" s="3"/>
      <c r="AK65" s="3">
        <f>SUM($F65:AJ65)</f>
        <v>21322</v>
      </c>
      <c r="AL65" s="22" t="s">
        <v>83</v>
      </c>
    </row>
    <row r="66" spans="1:40" x14ac:dyDescent="0.35">
      <c r="A66" s="4" t="s">
        <v>908</v>
      </c>
      <c r="B66" s="24"/>
      <c r="C66" s="67">
        <v>44736</v>
      </c>
      <c r="D66" s="3">
        <f>6.9*2*1150/9+2000</f>
        <v>3763.333333333333</v>
      </c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AB66" s="3"/>
      <c r="AG66" s="3"/>
      <c r="AK66" s="3">
        <f>SUM($F66:AJ66)</f>
        <v>0</v>
      </c>
      <c r="AL66" s="22" t="s">
        <v>81</v>
      </c>
    </row>
    <row r="67" spans="1:40" x14ac:dyDescent="0.35">
      <c r="A67" s="4" t="s">
        <v>1120</v>
      </c>
      <c r="B67" s="24" t="s">
        <v>1121</v>
      </c>
      <c r="C67" s="67">
        <v>44741</v>
      </c>
      <c r="D67" s="3">
        <v>3382</v>
      </c>
      <c r="E67" s="153" t="s">
        <v>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AG67" s="3"/>
      <c r="AK67" s="3">
        <f>SUM($F67:AJ67)</f>
        <v>0</v>
      </c>
      <c r="AL67" s="22" t="s">
        <v>82</v>
      </c>
    </row>
    <row r="68" spans="1:40" x14ac:dyDescent="0.35">
      <c r="A68" s="4" t="s">
        <v>857</v>
      </c>
      <c r="B68" s="24"/>
      <c r="C68" s="67">
        <v>44742</v>
      </c>
      <c r="D68" s="3">
        <f>12.9*1150/9+1100+1068+1736</f>
        <v>5552.333333333333</v>
      </c>
      <c r="E68" s="15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AG68" s="3"/>
      <c r="AK68" s="3">
        <f>SUM($F68:AJ68)</f>
        <v>0</v>
      </c>
      <c r="AL68" s="22" t="s">
        <v>81</v>
      </c>
    </row>
    <row r="69" spans="1:40" ht="15" thickBot="1" x14ac:dyDescent="0.4">
      <c r="A69" s="4" t="s">
        <v>1131</v>
      </c>
      <c r="B69" s="24" t="s">
        <v>1132</v>
      </c>
      <c r="C69" s="67">
        <v>44741</v>
      </c>
      <c r="D69" s="3">
        <f>+(4300+1400*10)*1.19</f>
        <v>21777</v>
      </c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AG69" s="3"/>
      <c r="AK69" s="3">
        <f>SUM($F69:AJ69)</f>
        <v>0</v>
      </c>
      <c r="AL69" s="22" t="s">
        <v>82</v>
      </c>
    </row>
    <row r="70" spans="1:40" x14ac:dyDescent="0.35">
      <c r="A70" s="4"/>
      <c r="B70" s="24"/>
      <c r="C70" s="67"/>
      <c r="D70" s="3"/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G70" s="3"/>
      <c r="AK70" s="3" t="s">
        <v>13</v>
      </c>
      <c r="AL70" s="22"/>
      <c r="AM70" s="11" t="s">
        <v>91</v>
      </c>
      <c r="AN70" s="53">
        <f>+D32/1.19</f>
        <v>420168.06722689077</v>
      </c>
    </row>
    <row r="71" spans="1:40" x14ac:dyDescent="0.35">
      <c r="A71" s="4" t="s">
        <v>1078</v>
      </c>
      <c r="B71" s="24">
        <f>95.69/8</f>
        <v>11.96125</v>
      </c>
      <c r="C71" s="67">
        <v>44740</v>
      </c>
      <c r="D71" s="3">
        <f>+B71*D73</f>
        <v>395445.2644625</v>
      </c>
      <c r="E71" s="15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AG71" s="3">
        <f>+D71</f>
        <v>395445.2644625</v>
      </c>
      <c r="AK71" s="3">
        <f>SUM($F71:AJ71)</f>
        <v>395445.2644625</v>
      </c>
      <c r="AL71" s="22" t="s">
        <v>1557</v>
      </c>
      <c r="AM71" s="14" t="s">
        <v>1558</v>
      </c>
      <c r="AN71" s="15">
        <f>+SUMIF(AL34:AL75,"CD",D34:D75)/1.19</f>
        <v>178115.12605042016</v>
      </c>
    </row>
    <row r="72" spans="1:40" x14ac:dyDescent="0.35">
      <c r="A72" s="4" t="s">
        <v>1114</v>
      </c>
      <c r="B72" s="24">
        <f>92.58/8</f>
        <v>11.5725</v>
      </c>
      <c r="C72" s="67">
        <v>44740</v>
      </c>
      <c r="D72" s="3">
        <f>+B72*D73</f>
        <v>382592.98342499998</v>
      </c>
      <c r="E72" s="15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AG72" s="3">
        <f>+D72</f>
        <v>382592.98342499998</v>
      </c>
      <c r="AK72" s="3">
        <f>SUM($F72:AJ72)</f>
        <v>382592.98342499998</v>
      </c>
      <c r="AL72" s="22" t="s">
        <v>1557</v>
      </c>
      <c r="AM72" s="14" t="s">
        <v>1559</v>
      </c>
      <c r="AN72" s="15">
        <f>+AN70-AN71</f>
        <v>242052.9411764706</v>
      </c>
    </row>
    <row r="73" spans="1:40" x14ac:dyDescent="0.35">
      <c r="A73" s="4"/>
      <c r="B73" s="24"/>
      <c r="C73" s="67" t="s">
        <v>933</v>
      </c>
      <c r="D73" s="236">
        <v>33060.53</v>
      </c>
      <c r="E73" s="15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AJ73" s="3"/>
      <c r="AK73" s="3" t="s">
        <v>13</v>
      </c>
      <c r="AL73" s="22"/>
      <c r="AM73" s="14" t="s">
        <v>1560</v>
      </c>
      <c r="AN73" s="327">
        <f>+AN72/AN70</f>
        <v>0.57608599999999999</v>
      </c>
    </row>
    <row r="74" spans="1:40" x14ac:dyDescent="0.35">
      <c r="A74" s="2" t="s">
        <v>9</v>
      </c>
      <c r="D74" s="3" t="s">
        <v>13</v>
      </c>
      <c r="F74" s="3">
        <f t="shared" ref="F74:AJ74" si="2">SUM(F32:F73)</f>
        <v>0</v>
      </c>
      <c r="G74" s="3">
        <f t="shared" si="2"/>
        <v>3750</v>
      </c>
      <c r="H74" s="3">
        <f t="shared" si="2"/>
        <v>0</v>
      </c>
      <c r="I74" s="3">
        <f t="shared" si="2"/>
        <v>0</v>
      </c>
      <c r="J74" s="3">
        <f t="shared" si="2"/>
        <v>0</v>
      </c>
      <c r="K74" s="3">
        <f t="shared" si="2"/>
        <v>13905</v>
      </c>
      <c r="L74" s="3">
        <f t="shared" si="2"/>
        <v>0</v>
      </c>
      <c r="M74" s="3">
        <f t="shared" si="2"/>
        <v>34700</v>
      </c>
      <c r="N74" s="3">
        <f t="shared" si="2"/>
        <v>250000</v>
      </c>
      <c r="O74" s="3">
        <f t="shared" si="2"/>
        <v>56882</v>
      </c>
      <c r="P74" s="3">
        <f t="shared" si="2"/>
        <v>0</v>
      </c>
      <c r="Q74" s="3">
        <f t="shared" si="2"/>
        <v>0</v>
      </c>
      <c r="R74" s="3">
        <f t="shared" si="2"/>
        <v>420060</v>
      </c>
      <c r="S74" s="3">
        <f t="shared" si="2"/>
        <v>0</v>
      </c>
      <c r="T74" s="3">
        <f t="shared" si="2"/>
        <v>0</v>
      </c>
      <c r="U74" s="3">
        <f t="shared" si="2"/>
        <v>0</v>
      </c>
      <c r="V74" s="3">
        <f t="shared" si="2"/>
        <v>0</v>
      </c>
      <c r="W74" s="3">
        <f t="shared" si="2"/>
        <v>0</v>
      </c>
      <c r="X74" s="3">
        <f t="shared" si="2"/>
        <v>0</v>
      </c>
      <c r="Y74" s="3">
        <f t="shared" si="2"/>
        <v>177340.88888888891</v>
      </c>
      <c r="Z74" s="3">
        <f t="shared" si="2"/>
        <v>18199</v>
      </c>
      <c r="AA74" s="3">
        <f t="shared" si="2"/>
        <v>0</v>
      </c>
      <c r="AB74" s="3">
        <f t="shared" si="2"/>
        <v>21322</v>
      </c>
      <c r="AC74" s="3">
        <f t="shared" si="2"/>
        <v>0</v>
      </c>
      <c r="AD74" s="3">
        <f t="shared" si="2"/>
        <v>0</v>
      </c>
      <c r="AE74" s="3">
        <f t="shared" si="2"/>
        <v>0</v>
      </c>
      <c r="AF74" s="3">
        <f t="shared" si="2"/>
        <v>0</v>
      </c>
      <c r="AG74" s="3">
        <f t="shared" si="2"/>
        <v>778038.24788749998</v>
      </c>
      <c r="AH74" s="3">
        <f t="shared" si="2"/>
        <v>0</v>
      </c>
      <c r="AI74" s="3">
        <f t="shared" si="2"/>
        <v>0</v>
      </c>
      <c r="AJ74" s="3">
        <f t="shared" si="2"/>
        <v>0</v>
      </c>
      <c r="AK74" s="72">
        <f>SUM(AK32:AK72)</f>
        <v>1774197.1367763889</v>
      </c>
      <c r="AM74" s="14" t="s">
        <v>81</v>
      </c>
      <c r="AN74" s="15">
        <f>+SUMIF(AL34:AL75,"GAV",D34:D75)/1.19</f>
        <v>434623.06255835661</v>
      </c>
    </row>
    <row r="75" spans="1:40" x14ac:dyDescent="0.35">
      <c r="A75" t="s">
        <v>8</v>
      </c>
      <c r="F75" s="3">
        <f t="shared" ref="F75:AI75" si="3">+F29+F3-F74</f>
        <v>813995.9452611343</v>
      </c>
      <c r="G75" s="3">
        <f t="shared" si="3"/>
        <v>810245.9452611343</v>
      </c>
      <c r="H75" s="3">
        <f t="shared" si="3"/>
        <v>810245.9452611343</v>
      </c>
      <c r="I75" s="3">
        <f t="shared" si="3"/>
        <v>810245.9452611343</v>
      </c>
      <c r="J75" s="3">
        <f t="shared" si="3"/>
        <v>810245.9452611343</v>
      </c>
      <c r="K75" s="3">
        <f t="shared" si="3"/>
        <v>796340.9452611343</v>
      </c>
      <c r="L75" s="3">
        <f t="shared" si="3"/>
        <v>796340.9452611343</v>
      </c>
      <c r="M75" s="3">
        <f t="shared" si="3"/>
        <v>1021540.9452611343</v>
      </c>
      <c r="N75" s="3">
        <f t="shared" si="3"/>
        <v>771540.9452611343</v>
      </c>
      <c r="O75" s="3">
        <f t="shared" si="3"/>
        <v>1195258.9452611343</v>
      </c>
      <c r="P75" s="3">
        <f t="shared" si="3"/>
        <v>1195258.9452611343</v>
      </c>
      <c r="Q75" s="3">
        <f t="shared" si="3"/>
        <v>1195258.9452611343</v>
      </c>
      <c r="R75" s="3">
        <f t="shared" si="3"/>
        <v>775198.9452611343</v>
      </c>
      <c r="S75" s="3">
        <f t="shared" si="3"/>
        <v>775198.9452611343</v>
      </c>
      <c r="T75" s="3">
        <f t="shared" si="3"/>
        <v>775198.9452611343</v>
      </c>
      <c r="U75" s="3">
        <f t="shared" si="3"/>
        <v>775198.9452611343</v>
      </c>
      <c r="V75" s="3">
        <f t="shared" si="3"/>
        <v>775198.9452611343</v>
      </c>
      <c r="W75" s="3">
        <f t="shared" si="3"/>
        <v>775198.9452611343</v>
      </c>
      <c r="X75" s="3">
        <f t="shared" si="3"/>
        <v>775198.9452611343</v>
      </c>
      <c r="Y75" s="3">
        <f t="shared" si="3"/>
        <v>854784.05637224542</v>
      </c>
      <c r="Z75" s="3">
        <f t="shared" si="3"/>
        <v>836585.05637224542</v>
      </c>
      <c r="AA75" s="3">
        <f t="shared" si="3"/>
        <v>836585.05637224542</v>
      </c>
      <c r="AB75" s="3">
        <f t="shared" si="3"/>
        <v>815263.05637224542</v>
      </c>
      <c r="AC75" s="3">
        <f t="shared" si="3"/>
        <v>815263.05637224542</v>
      </c>
      <c r="AD75" s="3">
        <f t="shared" si="3"/>
        <v>815263.05637224542</v>
      </c>
      <c r="AE75" s="3">
        <f t="shared" si="3"/>
        <v>815263.05637224542</v>
      </c>
      <c r="AF75" s="3">
        <f t="shared" si="3"/>
        <v>815263.05637224542</v>
      </c>
      <c r="AG75" s="3">
        <f t="shared" si="3"/>
        <v>37224.808484745445</v>
      </c>
      <c r="AH75" s="3">
        <f t="shared" si="3"/>
        <v>37224.808484745445</v>
      </c>
      <c r="AI75" s="3">
        <f t="shared" si="3"/>
        <v>37224.808484745445</v>
      </c>
      <c r="AJ75" s="3" t="e">
        <f>+AJ3+AJ29-AJ74</f>
        <v>#VALUE!</v>
      </c>
      <c r="AK75" s="3" t="s">
        <v>13</v>
      </c>
      <c r="AM75" s="14" t="s">
        <v>1561</v>
      </c>
      <c r="AN75" s="15">
        <f>+AN72-AN74</f>
        <v>-192570.12138188601</v>
      </c>
    </row>
    <row r="76" spans="1:40" x14ac:dyDescent="0.35">
      <c r="F76" s="3"/>
      <c r="G76" s="3"/>
      <c r="H76" s="3"/>
      <c r="I76" s="3" t="s">
        <v>13</v>
      </c>
      <c r="J76" s="3"/>
      <c r="K76" s="3"/>
      <c r="L76" s="3"/>
      <c r="M76" s="3"/>
      <c r="N76" s="3"/>
      <c r="O76" s="3"/>
      <c r="P76" s="3" t="s">
        <v>13</v>
      </c>
      <c r="Q76" s="3"/>
      <c r="R76" s="3"/>
      <c r="S76" s="3"/>
      <c r="T76" s="3" t="s">
        <v>13</v>
      </c>
      <c r="U76" s="3"/>
      <c r="V76" s="3"/>
      <c r="W76" s="3"/>
      <c r="Y76" s="3" t="s">
        <v>13</v>
      </c>
      <c r="AA76" s="3" t="s">
        <v>13</v>
      </c>
      <c r="AB76" s="3" t="s">
        <v>13</v>
      </c>
      <c r="AM76" s="14" t="s">
        <v>1563</v>
      </c>
      <c r="AN76" s="15">
        <f>+SUMIF(AL34:AL75,"GF",D34:D75)</f>
        <v>791943.24788749998</v>
      </c>
    </row>
    <row r="77" spans="1:40" x14ac:dyDescent="0.35">
      <c r="B77" t="s">
        <v>13</v>
      </c>
      <c r="F77" s="3"/>
      <c r="G77" s="3"/>
      <c r="H77" s="3" t="s">
        <v>13</v>
      </c>
      <c r="I77" s="3"/>
      <c r="J77" s="3"/>
      <c r="K77" s="3"/>
      <c r="L77" s="3"/>
      <c r="M77" s="3"/>
      <c r="N77" s="3"/>
      <c r="O77" s="3"/>
      <c r="P77" s="3" t="s">
        <v>13</v>
      </c>
      <c r="Q77" s="3" t="s">
        <v>13</v>
      </c>
      <c r="R77" s="3" t="s">
        <v>13</v>
      </c>
      <c r="S77" s="3"/>
      <c r="T77" s="3"/>
      <c r="U77" s="3" t="s">
        <v>13</v>
      </c>
      <c r="V77" s="3"/>
      <c r="W77" s="3"/>
      <c r="AB77" s="3" t="s">
        <v>13</v>
      </c>
      <c r="AG77" s="3" t="s">
        <v>13</v>
      </c>
      <c r="AJ77" s="3" t="s">
        <v>13</v>
      </c>
      <c r="AM77" s="14" t="s">
        <v>82</v>
      </c>
      <c r="AN77" s="15">
        <f>+SUMIF(AL34:AL75,"AF",D34:D75)/1.19</f>
        <v>70235.294117647063</v>
      </c>
    </row>
    <row r="78" spans="1:40" ht="15" thickBot="1" x14ac:dyDescent="0.4">
      <c r="B78" s="5" t="s">
        <v>13</v>
      </c>
      <c r="D78" s="236" t="s">
        <v>13</v>
      </c>
      <c r="F78" s="3"/>
      <c r="G78" s="3" t="s">
        <v>13</v>
      </c>
      <c r="H78" s="3" t="s">
        <v>13</v>
      </c>
      <c r="I78" s="3"/>
      <c r="J78" s="3"/>
      <c r="K78" s="3"/>
      <c r="L78" s="3"/>
      <c r="M78" s="3"/>
      <c r="N78" s="3"/>
      <c r="O78" s="3"/>
      <c r="P78" s="3"/>
      <c r="S78" s="3"/>
      <c r="T78" s="3" t="s">
        <v>13</v>
      </c>
      <c r="U78" s="3"/>
      <c r="V78" s="3"/>
      <c r="W78" s="3"/>
      <c r="AB78" s="3" t="s">
        <v>13</v>
      </c>
      <c r="AM78" s="16"/>
      <c r="AN78" s="19">
        <f>+AN75-AN76-AN77</f>
        <v>-1054748.6633870329</v>
      </c>
    </row>
    <row r="79" spans="1:40" x14ac:dyDescent="0.35">
      <c r="A79" s="5" t="s">
        <v>13</v>
      </c>
      <c r="B79" s="236" t="s">
        <v>13</v>
      </c>
      <c r="C79" s="236" t="s">
        <v>13</v>
      </c>
      <c r="F79" s="3"/>
      <c r="G79" s="3" t="s">
        <v>13</v>
      </c>
      <c r="H79" s="3"/>
      <c r="I79" s="3"/>
      <c r="J79" s="3"/>
      <c r="K79" s="3"/>
      <c r="L79" s="3"/>
      <c r="M79" s="3"/>
      <c r="N79" s="3"/>
      <c r="O79" s="3"/>
      <c r="P79" s="3"/>
      <c r="S79" s="3"/>
      <c r="T79" s="3"/>
      <c r="U79" s="3"/>
      <c r="V79" s="3"/>
      <c r="W79" s="3" t="s">
        <v>13</v>
      </c>
      <c r="AB79" s="3" t="s">
        <v>13</v>
      </c>
    </row>
    <row r="80" spans="1:40" x14ac:dyDescent="0.35">
      <c r="B80" t="s">
        <v>13</v>
      </c>
      <c r="C80" t="s">
        <v>13</v>
      </c>
      <c r="D80" s="236" t="s">
        <v>13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 t="s">
        <v>13</v>
      </c>
      <c r="Q80" s="3"/>
      <c r="R80" s="3"/>
      <c r="S80" s="3"/>
      <c r="T80" s="3"/>
      <c r="U80" s="3"/>
      <c r="V80" s="3" t="s">
        <v>13</v>
      </c>
      <c r="W80" s="3"/>
      <c r="AB80" s="3" t="s">
        <v>13</v>
      </c>
      <c r="AC80" s="59" t="s">
        <v>13</v>
      </c>
      <c r="AD80" t="s">
        <v>13</v>
      </c>
      <c r="AE80" t="s">
        <v>13</v>
      </c>
    </row>
    <row r="81" spans="2:29" x14ac:dyDescent="0.35">
      <c r="B81" t="s">
        <v>13</v>
      </c>
      <c r="C81" s="236" t="s">
        <v>13</v>
      </c>
      <c r="D81" s="286" t="s">
        <v>13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AB81" s="3" t="s">
        <v>13</v>
      </c>
      <c r="AC81" t="s">
        <v>13</v>
      </c>
    </row>
    <row r="82" spans="2:29" x14ac:dyDescent="0.35">
      <c r="B82" t="s">
        <v>13</v>
      </c>
      <c r="C82" t="s">
        <v>13</v>
      </c>
      <c r="D82" t="s">
        <v>13</v>
      </c>
      <c r="F82" s="3"/>
      <c r="G82" s="3"/>
      <c r="H82" s="3"/>
      <c r="I82" s="3"/>
      <c r="J82" s="3"/>
      <c r="AC82" s="59" t="s">
        <v>13</v>
      </c>
    </row>
    <row r="83" spans="2:29" x14ac:dyDescent="0.35">
      <c r="B83" t="s">
        <v>13</v>
      </c>
      <c r="D83" t="s">
        <v>13</v>
      </c>
      <c r="F83" s="3"/>
      <c r="G83" s="3"/>
      <c r="H83" s="3"/>
      <c r="I83" s="3"/>
      <c r="J83" s="3"/>
      <c r="AB83" t="s">
        <v>13</v>
      </c>
      <c r="AC83" t="s">
        <v>13</v>
      </c>
    </row>
    <row r="84" spans="2:29" x14ac:dyDescent="0.35">
      <c r="B84" t="s">
        <v>13</v>
      </c>
      <c r="F84" s="3"/>
      <c r="G84" s="3"/>
      <c r="H84" s="3"/>
      <c r="I84" s="3"/>
      <c r="J84" s="3"/>
    </row>
    <row r="85" spans="2:29" x14ac:dyDescent="0.35">
      <c r="B85" t="s">
        <v>13</v>
      </c>
      <c r="F85" s="3"/>
      <c r="G85" s="3"/>
      <c r="H85" s="3"/>
      <c r="I85" s="3"/>
      <c r="J85" s="3"/>
    </row>
    <row r="86" spans="2:29" x14ac:dyDescent="0.35">
      <c r="B86" t="s">
        <v>13</v>
      </c>
      <c r="F86" s="3"/>
      <c r="G86" s="3"/>
      <c r="H86" s="3"/>
      <c r="I86" s="3"/>
      <c r="J86" s="3"/>
    </row>
    <row r="87" spans="2:29" x14ac:dyDescent="0.35">
      <c r="B87" t="s">
        <v>13</v>
      </c>
      <c r="F87" s="3"/>
      <c r="G87" s="3"/>
      <c r="H87" s="3"/>
      <c r="I87" s="3"/>
      <c r="J87" s="3"/>
    </row>
  </sheetData>
  <pageMargins left="0.7" right="0.7" top="0.75" bottom="0.75" header="0.3" footer="0.3"/>
  <pageSetup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AN85"/>
  <sheetViews>
    <sheetView workbookViewId="0"/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44743</v>
      </c>
      <c r="G2" s="1">
        <v>44744</v>
      </c>
      <c r="H2" s="1">
        <v>44745</v>
      </c>
      <c r="I2" s="1">
        <v>44746</v>
      </c>
      <c r="J2" s="1">
        <v>44747</v>
      </c>
      <c r="K2" s="1">
        <v>44748</v>
      </c>
      <c r="L2" s="1">
        <v>44749</v>
      </c>
      <c r="M2" s="1">
        <v>44750</v>
      </c>
      <c r="N2" s="1">
        <v>44751</v>
      </c>
      <c r="O2" s="1">
        <v>44752</v>
      </c>
      <c r="P2" s="1">
        <v>44753</v>
      </c>
      <c r="Q2" s="1">
        <v>44754</v>
      </c>
      <c r="R2" s="1">
        <v>44755</v>
      </c>
      <c r="S2" s="1">
        <v>44756</v>
      </c>
      <c r="T2" s="1">
        <v>44757</v>
      </c>
      <c r="U2" s="1">
        <v>44758</v>
      </c>
      <c r="V2" s="1">
        <v>44759</v>
      </c>
      <c r="W2" s="1">
        <v>44760</v>
      </c>
      <c r="X2" s="1">
        <v>44761</v>
      </c>
      <c r="Y2" s="1">
        <v>44762</v>
      </c>
      <c r="Z2" s="1">
        <v>44763</v>
      </c>
      <c r="AA2" s="1">
        <v>44764</v>
      </c>
      <c r="AB2" s="1">
        <v>44765</v>
      </c>
      <c r="AC2" s="1">
        <v>44766</v>
      </c>
      <c r="AD2" s="1">
        <v>44767</v>
      </c>
      <c r="AE2" s="1">
        <v>44768</v>
      </c>
      <c r="AF2" s="1">
        <v>44769</v>
      </c>
      <c r="AG2" s="1">
        <v>44770</v>
      </c>
      <c r="AH2" s="1">
        <v>44771</v>
      </c>
      <c r="AI2" s="1">
        <v>44772</v>
      </c>
      <c r="AJ2" s="1">
        <v>44773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+'Jun-22'!AI75</f>
        <v>37224.808484745445</v>
      </c>
      <c r="G3" s="3">
        <f>+F73</f>
        <v>37224.808484745445</v>
      </c>
      <c r="H3" s="3">
        <f t="shared" ref="H3:AJ3" si="0">+G73</f>
        <v>37224.808484745445</v>
      </c>
      <c r="I3" s="3">
        <f t="shared" si="0"/>
        <v>37224.808484745445</v>
      </c>
      <c r="J3" s="3">
        <f t="shared" si="0"/>
        <v>37224.808484745445</v>
      </c>
      <c r="K3" s="3">
        <f t="shared" si="0"/>
        <v>23319.808484745445</v>
      </c>
      <c r="L3" s="3">
        <f t="shared" si="0"/>
        <v>23319.808484745445</v>
      </c>
      <c r="M3" s="3">
        <f t="shared" si="0"/>
        <v>23319.808484745445</v>
      </c>
      <c r="N3" s="3">
        <f t="shared" si="0"/>
        <v>23319.808484745445</v>
      </c>
      <c r="O3" s="3">
        <f t="shared" si="0"/>
        <v>23319.808484745445</v>
      </c>
      <c r="P3" s="3">
        <f t="shared" si="0"/>
        <v>23319.808484745445</v>
      </c>
      <c r="Q3" s="3">
        <f t="shared" si="0"/>
        <v>23319.808484745445</v>
      </c>
      <c r="R3" s="3">
        <f t="shared" si="0"/>
        <v>198290.69737363435</v>
      </c>
      <c r="S3" s="3">
        <f t="shared" si="0"/>
        <v>69436.69737363435</v>
      </c>
      <c r="T3" s="3">
        <f t="shared" si="0"/>
        <v>69436.69737363435</v>
      </c>
      <c r="U3" s="3">
        <f t="shared" si="0"/>
        <v>69436.69737363435</v>
      </c>
      <c r="V3" s="3">
        <f t="shared" si="0"/>
        <v>69436.69737363435</v>
      </c>
      <c r="W3" s="3">
        <f t="shared" si="0"/>
        <v>69436.69737363435</v>
      </c>
      <c r="X3" s="3">
        <f t="shared" si="0"/>
        <v>177333.69737363432</v>
      </c>
      <c r="Y3" s="3">
        <f t="shared" si="0"/>
        <v>177333.69737363432</v>
      </c>
      <c r="Z3" s="3">
        <f t="shared" si="0"/>
        <v>167333.69737363432</v>
      </c>
      <c r="AA3" s="3">
        <f t="shared" si="0"/>
        <v>167333.69737363432</v>
      </c>
      <c r="AB3" s="3">
        <f t="shared" si="0"/>
        <v>167333.69737363432</v>
      </c>
      <c r="AC3" s="3">
        <f t="shared" si="0"/>
        <v>167333.69737363432</v>
      </c>
      <c r="AD3" s="3">
        <f t="shared" si="0"/>
        <v>167333.69737363432</v>
      </c>
      <c r="AE3" s="3">
        <f t="shared" si="0"/>
        <v>384913.91959585657</v>
      </c>
      <c r="AF3" s="3">
        <f t="shared" si="0"/>
        <v>384913.91959585657</v>
      </c>
      <c r="AG3" s="3">
        <f t="shared" si="0"/>
        <v>487603.91959585657</v>
      </c>
      <c r="AH3" s="3">
        <f t="shared" si="0"/>
        <v>531613.91959585657</v>
      </c>
      <c r="AI3" s="3">
        <f t="shared" si="0"/>
        <v>531613.91959585657</v>
      </c>
      <c r="AJ3" s="3">
        <f t="shared" si="0"/>
        <v>531613.91959585657</v>
      </c>
      <c r="AK3" s="3" t="s">
        <v>13</v>
      </c>
      <c r="AL3" s="6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2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x14ac:dyDescent="0.35">
      <c r="A5" t="s">
        <v>895</v>
      </c>
      <c r="B5" t="s">
        <v>886</v>
      </c>
      <c r="C5" s="5">
        <v>44618</v>
      </c>
      <c r="D5" s="3">
        <v>56708</v>
      </c>
      <c r="E5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8" x14ac:dyDescent="0.35">
      <c r="A6" t="s">
        <v>995</v>
      </c>
      <c r="B6" t="s">
        <v>992</v>
      </c>
      <c r="C6" s="5">
        <v>44687</v>
      </c>
      <c r="D6" s="3">
        <v>293399</v>
      </c>
      <c r="F6" s="3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102690</v>
      </c>
      <c r="AG6" s="3">
        <v>44010</v>
      </c>
      <c r="AH6" s="3"/>
      <c r="AI6" s="3"/>
      <c r="AJ6" s="3"/>
      <c r="AK6" s="3">
        <f>SUM($F6:AJ6)</f>
        <v>146700</v>
      </c>
      <c r="AL6" s="22"/>
    </row>
    <row r="7" spans="1:38" x14ac:dyDescent="0.35">
      <c r="A7" t="s">
        <v>1095</v>
      </c>
      <c r="B7" t="s">
        <v>1096</v>
      </c>
      <c r="C7" s="5">
        <v>44729</v>
      </c>
      <c r="D7" s="3">
        <v>85642</v>
      </c>
      <c r="E7" s="6" t="s">
        <v>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 t="s">
        <v>13</v>
      </c>
      <c r="Q7" s="3">
        <v>85642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SUM($F7:AJ7)</f>
        <v>85642</v>
      </c>
      <c r="AL7" s="22"/>
    </row>
    <row r="8" spans="1:38" x14ac:dyDescent="0.35">
      <c r="A8" t="s">
        <v>1107</v>
      </c>
      <c r="B8" t="s">
        <v>1105</v>
      </c>
      <c r="C8" s="5">
        <v>44735</v>
      </c>
      <c r="D8" s="3">
        <v>85642</v>
      </c>
      <c r="E8" s="6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13</v>
      </c>
      <c r="Q8" s="3">
        <v>85642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85642</v>
      </c>
      <c r="AL8" s="22"/>
    </row>
    <row r="9" spans="1:38" x14ac:dyDescent="0.35">
      <c r="A9" t="s">
        <v>1108</v>
      </c>
      <c r="B9" t="s">
        <v>1106</v>
      </c>
      <c r="C9" s="5">
        <v>44735</v>
      </c>
      <c r="D9" s="3">
        <v>85642</v>
      </c>
      <c r="E9" s="6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 t="s">
        <v>13</v>
      </c>
      <c r="Q9" s="3">
        <v>85642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f>SUM($F9:AJ9)</f>
        <v>85642</v>
      </c>
      <c r="AL9" s="22"/>
    </row>
    <row r="10" spans="1:38" x14ac:dyDescent="0.35">
      <c r="A10" t="s">
        <v>1109</v>
      </c>
      <c r="B10" t="s">
        <v>1110</v>
      </c>
      <c r="C10" s="5">
        <v>44736</v>
      </c>
      <c r="D10" s="3">
        <v>85642</v>
      </c>
      <c r="E10" s="6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 t="s">
        <v>13</v>
      </c>
      <c r="Q10" s="3">
        <v>85642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SUM($F10:AJ10)</f>
        <v>85642</v>
      </c>
      <c r="AL10" s="22"/>
    </row>
    <row r="11" spans="1:38" x14ac:dyDescent="0.35">
      <c r="A11" t="s">
        <v>1115</v>
      </c>
      <c r="B11" t="s">
        <v>1117</v>
      </c>
      <c r="C11" s="5">
        <v>44742</v>
      </c>
      <c r="D11" s="3">
        <v>168309</v>
      </c>
      <c r="E11" s="6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 t="s">
        <v>13</v>
      </c>
      <c r="Q11" s="3"/>
      <c r="R11" s="3"/>
      <c r="S11" s="3"/>
      <c r="T11" s="3"/>
      <c r="U11" s="3"/>
      <c r="V11" s="3"/>
      <c r="W11" s="3">
        <v>168309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f>SUM($F11:AJ11)</f>
        <v>168309</v>
      </c>
      <c r="AL11" s="22"/>
    </row>
    <row r="12" spans="1:38" x14ac:dyDescent="0.35">
      <c r="A12" t="s">
        <v>1116</v>
      </c>
      <c r="B12" t="s">
        <v>1118</v>
      </c>
      <c r="C12" s="5">
        <v>44742</v>
      </c>
      <c r="D12" s="3">
        <v>44308</v>
      </c>
      <c r="E12" s="6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 t="s">
        <v>13</v>
      </c>
      <c r="Q12" s="3"/>
      <c r="R12" s="3"/>
      <c r="S12" s="3"/>
      <c r="T12" s="3"/>
      <c r="U12" s="3"/>
      <c r="V12" s="3"/>
      <c r="W12" s="3">
        <v>44308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f>SUM($F12:AJ12)</f>
        <v>44308</v>
      </c>
      <c r="AL12" s="22"/>
    </row>
    <row r="13" spans="1:38" x14ac:dyDescent="0.35">
      <c r="A13" t="s">
        <v>1125</v>
      </c>
      <c r="B13" t="s">
        <v>1128</v>
      </c>
      <c r="C13" s="5">
        <v>44749</v>
      </c>
      <c r="D13" s="3">
        <v>85642</v>
      </c>
      <c r="E13" s="6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85642</v>
      </c>
      <c r="AE13" s="3"/>
      <c r="AF13" s="3"/>
      <c r="AG13" s="3"/>
      <c r="AH13" s="3"/>
      <c r="AI13" s="3"/>
      <c r="AJ13" s="3"/>
      <c r="AK13" s="3">
        <f>SUM($F13:AJ13)</f>
        <v>85642</v>
      </c>
      <c r="AL13" s="22"/>
    </row>
    <row r="14" spans="1:38" x14ac:dyDescent="0.35">
      <c r="A14" t="s">
        <v>1126</v>
      </c>
      <c r="B14" t="s">
        <v>1129</v>
      </c>
      <c r="C14" s="5">
        <v>44749</v>
      </c>
      <c r="D14" s="3">
        <v>85642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85642</v>
      </c>
      <c r="AE14" s="3"/>
      <c r="AF14" s="3"/>
      <c r="AG14" s="3"/>
      <c r="AH14" s="3"/>
      <c r="AI14" s="3"/>
      <c r="AJ14" s="3"/>
      <c r="AK14" s="3">
        <f>SUM($F14:AJ14)</f>
        <v>85642</v>
      </c>
      <c r="AL14" s="22"/>
    </row>
    <row r="15" spans="1:38" x14ac:dyDescent="0.35">
      <c r="A15" t="s">
        <v>1127</v>
      </c>
      <c r="B15" t="s">
        <v>1130</v>
      </c>
      <c r="C15" s="5">
        <v>44750</v>
      </c>
      <c r="D15" s="3">
        <v>85642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85642</v>
      </c>
      <c r="AE15" s="3"/>
      <c r="AF15" s="3"/>
      <c r="AG15" s="3"/>
      <c r="AH15" s="3"/>
      <c r="AI15" s="3"/>
      <c r="AJ15" s="3"/>
      <c r="AK15" s="3">
        <f>SUM($F15:AJ15)</f>
        <v>85642</v>
      </c>
      <c r="AL15" s="22"/>
    </row>
    <row r="16" spans="1:38" x14ac:dyDescent="0.35">
      <c r="A16" t="s">
        <v>1149</v>
      </c>
      <c r="B16" t="s">
        <v>1150</v>
      </c>
      <c r="C16" s="5">
        <v>44761</v>
      </c>
      <c r="D16" s="3">
        <v>85642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>
        <v>85642</v>
      </c>
      <c r="AK16" s="3">
        <f>SUM($F16:AJ16)</f>
        <v>85642</v>
      </c>
      <c r="AL16" s="22"/>
    </row>
    <row r="17" spans="1:38" x14ac:dyDescent="0.35">
      <c r="A17" t="s">
        <v>1151</v>
      </c>
      <c r="B17" t="s">
        <v>1152</v>
      </c>
      <c r="C17" s="5">
        <v>44761</v>
      </c>
      <c r="D17" s="3">
        <v>85642</v>
      </c>
      <c r="E17" s="6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85642</v>
      </c>
      <c r="AK17" s="3">
        <f>SUM($F17:AJ17)</f>
        <v>85642</v>
      </c>
      <c r="AL17" s="22"/>
    </row>
    <row r="18" spans="1:38" x14ac:dyDescent="0.35">
      <c r="A18" t="s">
        <v>1154</v>
      </c>
      <c r="B18" t="s">
        <v>1155</v>
      </c>
      <c r="C18" s="5">
        <v>44763</v>
      </c>
      <c r="D18" s="3">
        <v>85642</v>
      </c>
      <c r="E18" s="6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>
        <v>85642</v>
      </c>
      <c r="AK18" s="3">
        <f>SUM($F18:AJ18)</f>
        <v>85642</v>
      </c>
      <c r="AL18" s="22"/>
    </row>
    <row r="19" spans="1:38" x14ac:dyDescent="0.35">
      <c r="A19" t="s">
        <v>1156</v>
      </c>
      <c r="B19" t="s">
        <v>1157</v>
      </c>
      <c r="C19" s="5">
        <v>44763</v>
      </c>
      <c r="D19" s="3">
        <v>85642</v>
      </c>
      <c r="E19" s="6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85642</v>
      </c>
      <c r="AK19" s="3">
        <f>SUM($F19:AJ19)</f>
        <v>85642</v>
      </c>
      <c r="AL19" s="22"/>
    </row>
    <row r="20" spans="1:38" x14ac:dyDescent="0.35">
      <c r="A20" t="s">
        <v>1158</v>
      </c>
      <c r="B20" t="s">
        <v>1159</v>
      </c>
      <c r="C20" s="5">
        <v>44764</v>
      </c>
      <c r="D20" s="3">
        <v>85642</v>
      </c>
      <c r="E20" s="6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>
        <v>85642</v>
      </c>
      <c r="AK20" s="3">
        <f>SUM($F20:AJ20)</f>
        <v>85642</v>
      </c>
      <c r="AL20" s="22"/>
    </row>
    <row r="21" spans="1:38" x14ac:dyDescent="0.35">
      <c r="A21" t="s">
        <v>1168</v>
      </c>
      <c r="B21" t="s">
        <v>1164</v>
      </c>
      <c r="C21" s="5">
        <v>44770</v>
      </c>
      <c r="D21" s="3">
        <v>85642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f>SUM($F21:AJ21)</f>
        <v>0</v>
      </c>
      <c r="AL21" s="22"/>
    </row>
    <row r="22" spans="1:38" x14ac:dyDescent="0.35">
      <c r="A22" t="s">
        <v>1169</v>
      </c>
      <c r="B22" t="s">
        <v>1165</v>
      </c>
      <c r="C22" s="5">
        <v>44770</v>
      </c>
      <c r="D22" s="3">
        <v>44308</v>
      </c>
      <c r="E22" s="6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f>SUM($F22:AJ22)</f>
        <v>0</v>
      </c>
      <c r="AL22" s="22"/>
    </row>
    <row r="23" spans="1:38" x14ac:dyDescent="0.35">
      <c r="A23" t="s">
        <v>1170</v>
      </c>
      <c r="B23" t="s">
        <v>1166</v>
      </c>
      <c r="C23" s="5">
        <v>44771</v>
      </c>
      <c r="D23" s="3">
        <v>138542</v>
      </c>
      <c r="E23" s="6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f>SUM($F23:AJ23)</f>
        <v>0</v>
      </c>
      <c r="AL23" s="22"/>
    </row>
    <row r="24" spans="1:38" x14ac:dyDescent="0.35">
      <c r="A24" t="s">
        <v>1171</v>
      </c>
      <c r="B24" t="s">
        <v>1167</v>
      </c>
      <c r="C24" s="5">
        <v>44771</v>
      </c>
      <c r="D24" s="3">
        <v>85642</v>
      </c>
      <c r="E24" s="6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>
        <f>SUM($F24:AJ24)</f>
        <v>0</v>
      </c>
      <c r="AL24" s="22"/>
    </row>
    <row r="25" spans="1:38" x14ac:dyDescent="0.35">
      <c r="C25" s="5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22"/>
    </row>
    <row r="26" spans="1:38" x14ac:dyDescent="0.35">
      <c r="A26" t="s">
        <v>13</v>
      </c>
      <c r="F26" s="3"/>
      <c r="G26" s="3" t="s">
        <v>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f>SUM($F26:AJ26)</f>
        <v>0</v>
      </c>
    </row>
    <row r="27" spans="1:38" x14ac:dyDescent="0.35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AK27" s="72">
        <f>SUM(AK5:AK26)</f>
        <v>1387021</v>
      </c>
    </row>
    <row r="28" spans="1:38" x14ac:dyDescent="0.35">
      <c r="A28" s="2" t="s">
        <v>6</v>
      </c>
      <c r="D28" s="3">
        <f>SUM(D13:D27)</f>
        <v>1039270</v>
      </c>
      <c r="F28" s="3">
        <f t="shared" ref="F28:AJ28" si="1">SUM(F5:F27)</f>
        <v>0</v>
      </c>
      <c r="G28" s="3">
        <f t="shared" si="1"/>
        <v>0</v>
      </c>
      <c r="H28" s="3">
        <f t="shared" si="1"/>
        <v>0</v>
      </c>
      <c r="I28" s="3">
        <f t="shared" si="1"/>
        <v>0</v>
      </c>
      <c r="J28" s="3">
        <f t="shared" si="1"/>
        <v>0</v>
      </c>
      <c r="K28" s="3">
        <f t="shared" si="1"/>
        <v>0</v>
      </c>
      <c r="L28" s="3">
        <f t="shared" si="1"/>
        <v>0</v>
      </c>
      <c r="M28" s="3">
        <f t="shared" si="1"/>
        <v>0</v>
      </c>
      <c r="N28" s="3">
        <f t="shared" si="1"/>
        <v>0</v>
      </c>
      <c r="O28" s="3">
        <f t="shared" si="1"/>
        <v>0</v>
      </c>
      <c r="P28" s="3">
        <f t="shared" si="1"/>
        <v>0</v>
      </c>
      <c r="Q28" s="3">
        <f t="shared" si="1"/>
        <v>342568</v>
      </c>
      <c r="R28" s="3">
        <f t="shared" si="1"/>
        <v>0</v>
      </c>
      <c r="S28" s="3">
        <f t="shared" si="1"/>
        <v>0</v>
      </c>
      <c r="T28" s="3">
        <f t="shared" si="1"/>
        <v>0</v>
      </c>
      <c r="U28" s="3">
        <f t="shared" si="1"/>
        <v>0</v>
      </c>
      <c r="V28" s="3">
        <f t="shared" si="1"/>
        <v>0</v>
      </c>
      <c r="W28" s="3">
        <f t="shared" si="1"/>
        <v>212617</v>
      </c>
      <c r="X28" s="3">
        <f t="shared" si="1"/>
        <v>0</v>
      </c>
      <c r="Y28" s="3">
        <f t="shared" si="1"/>
        <v>0</v>
      </c>
      <c r="Z28" s="3">
        <f t="shared" si="1"/>
        <v>0</v>
      </c>
      <c r="AA28" s="3">
        <f t="shared" si="1"/>
        <v>0</v>
      </c>
      <c r="AB28" s="3">
        <f t="shared" si="1"/>
        <v>0</v>
      </c>
      <c r="AC28" s="3">
        <f t="shared" si="1"/>
        <v>0</v>
      </c>
      <c r="AD28" s="3">
        <f t="shared" si="1"/>
        <v>256926</v>
      </c>
      <c r="AE28" s="3">
        <f t="shared" si="1"/>
        <v>0</v>
      </c>
      <c r="AF28" s="3">
        <f t="shared" si="1"/>
        <v>102690</v>
      </c>
      <c r="AG28" s="3">
        <f t="shared" si="1"/>
        <v>44010</v>
      </c>
      <c r="AH28" s="3">
        <f t="shared" si="1"/>
        <v>0</v>
      </c>
      <c r="AI28" s="3">
        <f t="shared" si="1"/>
        <v>0</v>
      </c>
      <c r="AJ28" s="3">
        <f t="shared" si="1"/>
        <v>428210</v>
      </c>
    </row>
    <row r="29" spans="1:38" x14ac:dyDescent="0.35">
      <c r="A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38" x14ac:dyDescent="0.35">
      <c r="A30" s="2" t="s">
        <v>2</v>
      </c>
      <c r="F30" s="3"/>
      <c r="G30" s="3"/>
      <c r="H30" s="3"/>
      <c r="I30" s="3"/>
      <c r="J30" s="3"/>
      <c r="K30" s="3"/>
      <c r="L30" s="3" t="s">
        <v>13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8" x14ac:dyDescent="0.35">
      <c r="A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38" x14ac:dyDescent="0.35">
      <c r="A32" t="s">
        <v>1136</v>
      </c>
      <c r="B32" t="s">
        <v>337</v>
      </c>
      <c r="C32" s="5" t="s">
        <v>13</v>
      </c>
      <c r="D32" s="3">
        <f ca="1">+'MAR-21'!AK19*0.17+('ABR-21'!AJ18+'MAY-21'!AK16+'JUN-21'!AK14+'JUL-21'!AK28+'AGO-21'!AK22+'SEP-21'!AK14+'OCT-21'!AK19)*0.17</f>
        <v>309430.03333333333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AK32" s="3">
        <f>SUM($F32:AJ32)</f>
        <v>0</v>
      </c>
    </row>
    <row r="33" spans="1:38" x14ac:dyDescent="0.35">
      <c r="A33" t="s">
        <v>1140</v>
      </c>
      <c r="B33" t="s">
        <v>337</v>
      </c>
      <c r="C33" s="5" t="s">
        <v>13</v>
      </c>
      <c r="D33" s="3">
        <f>+'Jun-22'!D35</f>
        <v>242556.17000000004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AK33" s="3">
        <f>SUM($F33:AJ33)</f>
        <v>0</v>
      </c>
    </row>
    <row r="34" spans="1:38" x14ac:dyDescent="0.35">
      <c r="A34" t="s">
        <v>1141</v>
      </c>
      <c r="B34" t="s">
        <v>337</v>
      </c>
      <c r="C34" s="5" t="s">
        <v>13</v>
      </c>
      <c r="D34" s="3">
        <f>+'Jun-22'!D36+AK27*0.17</f>
        <v>534883.75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K34" s="3">
        <f>SUM($F34:AJ34)</f>
        <v>0</v>
      </c>
    </row>
    <row r="35" spans="1:38" x14ac:dyDescent="0.35">
      <c r="A35" s="4" t="s">
        <v>629</v>
      </c>
      <c r="B35" s="24" t="s">
        <v>337</v>
      </c>
      <c r="C35" s="67"/>
      <c r="D35" s="3">
        <v>500000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K35" s="3">
        <f>SUM($F35:AJ35)</f>
        <v>0</v>
      </c>
    </row>
    <row r="36" spans="1:38" x14ac:dyDescent="0.35">
      <c r="A36" s="4" t="s">
        <v>952</v>
      </c>
      <c r="B36" s="24" t="s">
        <v>337</v>
      </c>
      <c r="C36" s="5"/>
      <c r="D36" s="3">
        <v>2400000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K36" s="3">
        <f>SUM($F36:AJ36)</f>
        <v>0</v>
      </c>
    </row>
    <row r="37" spans="1:38" x14ac:dyDescent="0.35">
      <c r="A37" s="4" t="s">
        <v>1008</v>
      </c>
      <c r="B37" s="24" t="s">
        <v>337</v>
      </c>
      <c r="C37" s="5"/>
      <c r="D37" s="3">
        <v>2400000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AK37" s="3">
        <f>SUM($F37:AJ37)</f>
        <v>0</v>
      </c>
    </row>
    <row r="38" spans="1:38" x14ac:dyDescent="0.35">
      <c r="A38" s="4" t="s">
        <v>920</v>
      </c>
      <c r="B38" s="24" t="s">
        <v>1143</v>
      </c>
      <c r="C38" s="67">
        <v>44708</v>
      </c>
      <c r="D38" s="3">
        <v>5180</v>
      </c>
      <c r="E38" s="153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5180</v>
      </c>
      <c r="R38" s="3"/>
      <c r="S38" s="3"/>
      <c r="T38" s="3"/>
      <c r="U38" s="3"/>
      <c r="V38" s="3"/>
      <c r="W38" s="3"/>
      <c r="Y38" s="3"/>
      <c r="AG38" s="3"/>
      <c r="AK38" s="3">
        <f>SUM($F38:AJ38)</f>
        <v>5180</v>
      </c>
      <c r="AL38" s="22"/>
    </row>
    <row r="39" spans="1:38" x14ac:dyDescent="0.35">
      <c r="A39" s="4" t="s">
        <v>920</v>
      </c>
      <c r="B39" s="24" t="s">
        <v>1119</v>
      </c>
      <c r="C39" s="67">
        <v>44711</v>
      </c>
      <c r="D39" s="3">
        <v>10150</v>
      </c>
      <c r="E39" s="153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>
        <v>10150</v>
      </c>
      <c r="R39" s="3"/>
      <c r="S39" s="3"/>
      <c r="T39" s="3"/>
      <c r="U39" s="3"/>
      <c r="V39" s="3"/>
      <c r="W39" s="3"/>
      <c r="Y39" s="3"/>
      <c r="AG39" s="3"/>
      <c r="AK39" s="3">
        <f>SUM($F39:AJ39)</f>
        <v>10150</v>
      </c>
      <c r="AL39" s="22"/>
    </row>
    <row r="40" spans="1:38" x14ac:dyDescent="0.35">
      <c r="A40" s="4" t="s">
        <v>920</v>
      </c>
      <c r="B40" s="24" t="s">
        <v>1144</v>
      </c>
      <c r="C40" s="67">
        <v>44715</v>
      </c>
      <c r="D40" s="3">
        <v>10240</v>
      </c>
      <c r="E40" s="153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10240</v>
      </c>
      <c r="R40" s="3"/>
      <c r="S40" s="3"/>
      <c r="T40" s="3"/>
      <c r="U40" s="3"/>
      <c r="V40" s="3"/>
      <c r="W40" s="3"/>
      <c r="Y40" s="3"/>
      <c r="AG40" s="3"/>
      <c r="AK40" s="3">
        <f>SUM($F40:AJ40)</f>
        <v>10240</v>
      </c>
      <c r="AL40" s="22"/>
    </row>
    <row r="41" spans="1:38" x14ac:dyDescent="0.35">
      <c r="A41" s="4" t="s">
        <v>843</v>
      </c>
      <c r="B41" s="24"/>
      <c r="C41" s="67">
        <v>44735</v>
      </c>
      <c r="D41" s="3">
        <f>82*2*1150/9+6000</f>
        <v>26955.555555555555</v>
      </c>
      <c r="E41" s="15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>
        <f>82*2*1150/9+6000</f>
        <v>26955.555555555555</v>
      </c>
      <c r="R41" s="3"/>
      <c r="S41" s="3"/>
      <c r="T41" s="3"/>
      <c r="U41" s="3"/>
      <c r="V41" s="3"/>
      <c r="W41" s="3"/>
      <c r="Y41" s="3"/>
      <c r="AB41" s="3"/>
      <c r="AG41" s="3"/>
      <c r="AK41" s="3">
        <f>SUM($F41:AJ41)</f>
        <v>26955.555555555555</v>
      </c>
      <c r="AL41" s="22"/>
    </row>
    <row r="42" spans="1:38" x14ac:dyDescent="0.35">
      <c r="A42" s="4" t="s">
        <v>844</v>
      </c>
      <c r="B42" s="24"/>
      <c r="C42" s="67">
        <v>44735</v>
      </c>
      <c r="D42" s="3">
        <f>13.9*1150/9+2000</f>
        <v>3776.1111111111113</v>
      </c>
      <c r="E42" s="15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>
        <f>13.9*1150/9+2000</f>
        <v>3776.1111111111113</v>
      </c>
      <c r="R42" s="3"/>
      <c r="S42" s="3"/>
      <c r="T42" s="3"/>
      <c r="U42" s="3"/>
      <c r="V42" s="3"/>
      <c r="W42" s="3"/>
      <c r="Y42" s="3"/>
      <c r="AB42" s="3"/>
      <c r="AG42" s="3"/>
      <c r="AK42" s="3">
        <f>SUM($F42:AJ42)</f>
        <v>3776.1111111111113</v>
      </c>
      <c r="AL42" s="22"/>
    </row>
    <row r="43" spans="1:38" x14ac:dyDescent="0.35">
      <c r="A43" s="4" t="s">
        <v>857</v>
      </c>
      <c r="B43" s="24"/>
      <c r="C43" s="67">
        <v>44735</v>
      </c>
      <c r="D43" s="3">
        <f>12.9*1150/9+1100+1068+1736</f>
        <v>5552.333333333333</v>
      </c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>
        <f>12.9*1150/9+1100+1068+1736</f>
        <v>5552.333333333333</v>
      </c>
      <c r="R43" s="3"/>
      <c r="S43" s="3"/>
      <c r="T43" s="3"/>
      <c r="U43" s="3"/>
      <c r="V43" s="3"/>
      <c r="W43" s="3"/>
      <c r="Y43" s="3"/>
      <c r="AB43" s="3"/>
      <c r="AG43" s="3"/>
      <c r="AK43" s="3">
        <f>SUM($F43:AJ43)</f>
        <v>5552.333333333333</v>
      </c>
      <c r="AL43" s="22"/>
    </row>
    <row r="44" spans="1:38" x14ac:dyDescent="0.35">
      <c r="A44" s="4" t="s">
        <v>920</v>
      </c>
      <c r="B44" s="24" t="s">
        <v>1112</v>
      </c>
      <c r="C44" s="67">
        <v>44735</v>
      </c>
      <c r="D44" s="3">
        <v>14250</v>
      </c>
      <c r="E44" s="153" t="s"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>
        <v>14250</v>
      </c>
      <c r="R44" s="3"/>
      <c r="S44" s="3"/>
      <c r="T44" s="3"/>
      <c r="U44" s="3"/>
      <c r="V44" s="3"/>
      <c r="W44" s="3"/>
      <c r="Y44" s="3"/>
      <c r="AG44" s="3"/>
      <c r="AK44" s="3">
        <f>SUM($F44:AJ44)</f>
        <v>14250</v>
      </c>
      <c r="AL44" s="22"/>
    </row>
    <row r="45" spans="1:38" x14ac:dyDescent="0.35">
      <c r="A45" s="4" t="s">
        <v>908</v>
      </c>
      <c r="B45" s="24"/>
      <c r="C45" s="67">
        <v>44736</v>
      </c>
      <c r="D45" s="3">
        <f>6.9*2*1150/9+2000</f>
        <v>3763.333333333333</v>
      </c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f>6.9*2*1150/9+2000</f>
        <v>3763.333333333333</v>
      </c>
      <c r="R45" s="3"/>
      <c r="S45" s="3"/>
      <c r="T45" s="3"/>
      <c r="U45" s="3"/>
      <c r="V45" s="3"/>
      <c r="W45" s="3"/>
      <c r="Y45" s="3"/>
      <c r="AB45" s="3"/>
      <c r="AG45" s="3"/>
      <c r="AK45" s="3">
        <f>SUM($F45:AJ45)</f>
        <v>3763.333333333333</v>
      </c>
      <c r="AL45" s="22"/>
    </row>
    <row r="46" spans="1:38" x14ac:dyDescent="0.35">
      <c r="A46" s="4" t="s">
        <v>1120</v>
      </c>
      <c r="B46" s="24" t="s">
        <v>1121</v>
      </c>
      <c r="C46" s="67">
        <v>44741</v>
      </c>
      <c r="D46" s="3">
        <v>3382</v>
      </c>
      <c r="E46" s="153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3382</v>
      </c>
      <c r="R46" s="3"/>
      <c r="S46" s="3"/>
      <c r="T46" s="3"/>
      <c r="U46" s="3"/>
      <c r="V46" s="3"/>
      <c r="W46" s="3"/>
      <c r="Y46" s="3"/>
      <c r="AG46" s="3"/>
      <c r="AK46" s="3">
        <f>SUM($F46:AJ46)</f>
        <v>3382</v>
      </c>
      <c r="AL46" s="22"/>
    </row>
    <row r="47" spans="1:38" x14ac:dyDescent="0.35">
      <c r="A47" s="4" t="s">
        <v>857</v>
      </c>
      <c r="B47" s="24"/>
      <c r="C47" s="67">
        <v>44742</v>
      </c>
      <c r="D47" s="3">
        <f>12.9*1150/9+1100+1068+1736</f>
        <v>5552.333333333333</v>
      </c>
      <c r="E47" s="15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f>12.9*1150/9+1100+1068+1736</f>
        <v>5552.333333333333</v>
      </c>
      <c r="R47" s="3"/>
      <c r="S47" s="3"/>
      <c r="T47" s="3"/>
      <c r="U47" s="3"/>
      <c r="V47" s="3"/>
      <c r="W47" s="3"/>
      <c r="Y47" s="3"/>
      <c r="AG47" s="3"/>
      <c r="AK47" s="3">
        <f>SUM($F47:AJ47)</f>
        <v>5552.333333333333</v>
      </c>
      <c r="AL47" s="22" t="s">
        <v>81</v>
      </c>
    </row>
    <row r="48" spans="1:38" x14ac:dyDescent="0.35">
      <c r="A48" s="4" t="s">
        <v>1122</v>
      </c>
      <c r="B48" s="24">
        <v>1</v>
      </c>
      <c r="C48" s="67">
        <v>44747</v>
      </c>
      <c r="D48" s="3">
        <v>13905</v>
      </c>
      <c r="F48" s="3"/>
      <c r="G48" s="3"/>
      <c r="H48" s="3"/>
      <c r="I48" s="3"/>
      <c r="J48" s="3">
        <v>13905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AG48" s="3"/>
      <c r="AK48" s="3">
        <f>SUM($F48:AJ48)</f>
        <v>13905</v>
      </c>
      <c r="AL48" s="22" t="s">
        <v>1557</v>
      </c>
    </row>
    <row r="49" spans="1:38" x14ac:dyDescent="0.35">
      <c r="A49" s="4" t="s">
        <v>908</v>
      </c>
      <c r="B49" s="24"/>
      <c r="C49" s="67">
        <v>44749</v>
      </c>
      <c r="D49" s="3">
        <f>6.9*2*1150/9+2000</f>
        <v>3763.333333333333</v>
      </c>
      <c r="E49" s="15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>
        <f>6.9*2*1150/9+2000</f>
        <v>3763.333333333333</v>
      </c>
      <c r="R49" s="3"/>
      <c r="S49" s="3"/>
      <c r="T49" s="3"/>
      <c r="U49" s="3"/>
      <c r="V49" s="3"/>
      <c r="W49" s="3"/>
      <c r="Y49" s="3"/>
      <c r="AG49" s="3"/>
      <c r="AK49" s="3">
        <f>SUM($F49:AJ49)</f>
        <v>3763.333333333333</v>
      </c>
      <c r="AL49" s="22" t="s">
        <v>81</v>
      </c>
    </row>
    <row r="50" spans="1:38" x14ac:dyDescent="0.35">
      <c r="A50" s="4" t="s">
        <v>920</v>
      </c>
      <c r="B50" s="24" t="s">
        <v>1145</v>
      </c>
      <c r="C50" s="67">
        <v>44749</v>
      </c>
      <c r="D50" s="3">
        <v>7140</v>
      </c>
      <c r="E50" s="153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>
        <v>7140</v>
      </c>
      <c r="R50" s="3"/>
      <c r="S50" s="3"/>
      <c r="T50" s="3"/>
      <c r="U50" s="3"/>
      <c r="V50" s="3"/>
      <c r="W50" s="3"/>
      <c r="Y50" s="3"/>
      <c r="AG50" s="3"/>
      <c r="AK50" s="3">
        <f>SUM($F50:AJ50)</f>
        <v>7140</v>
      </c>
      <c r="AL50" s="22" t="s">
        <v>83</v>
      </c>
    </row>
    <row r="51" spans="1:38" x14ac:dyDescent="0.35">
      <c r="A51" s="4" t="s">
        <v>844</v>
      </c>
      <c r="B51" s="24"/>
      <c r="C51" s="67">
        <v>44750</v>
      </c>
      <c r="D51" s="3">
        <f>13.9*1150/9+2000</f>
        <v>3776.1111111111113</v>
      </c>
      <c r="E51" s="15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>
        <f>13.9*1150/9+2000</f>
        <v>3776.1111111111113</v>
      </c>
      <c r="R51" s="3"/>
      <c r="S51" s="3"/>
      <c r="T51" s="3"/>
      <c r="U51" s="3"/>
      <c r="V51" s="3"/>
      <c r="W51" s="3"/>
      <c r="Y51" s="3"/>
      <c r="AG51" s="3"/>
      <c r="AK51" s="3">
        <f>SUM($F51:AJ51)</f>
        <v>3776.1111111111113</v>
      </c>
      <c r="AL51" s="22" t="s">
        <v>81</v>
      </c>
    </row>
    <row r="52" spans="1:38" x14ac:dyDescent="0.35">
      <c r="A52" s="4" t="s">
        <v>920</v>
      </c>
      <c r="B52" s="24" t="s">
        <v>1142</v>
      </c>
      <c r="C52" s="67">
        <v>44750</v>
      </c>
      <c r="D52" s="3">
        <v>6116</v>
      </c>
      <c r="E52" s="153" t="s">
        <v>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6116</v>
      </c>
      <c r="R52" s="3"/>
      <c r="S52" s="3"/>
      <c r="T52" s="3"/>
      <c r="U52" s="3"/>
      <c r="V52" s="3"/>
      <c r="W52" s="3"/>
      <c r="Y52" s="3"/>
      <c r="AG52" s="3"/>
      <c r="AK52" s="3">
        <f>SUM($F52:AJ52)</f>
        <v>6116</v>
      </c>
      <c r="AL52" s="22" t="s">
        <v>83</v>
      </c>
    </row>
    <row r="53" spans="1:38" x14ac:dyDescent="0.35">
      <c r="A53" s="4" t="s">
        <v>1354</v>
      </c>
      <c r="B53" s="24" t="s">
        <v>1146</v>
      </c>
      <c r="C53" s="67">
        <v>44754</v>
      </c>
      <c r="D53" s="3">
        <f>220*400*1.19</f>
        <v>104720</v>
      </c>
      <c r="E53" s="15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>
        <f>220*400*1.19</f>
        <v>104720</v>
      </c>
      <c r="Y53" s="3"/>
      <c r="AB53" s="3"/>
      <c r="AG53" s="3"/>
      <c r="AK53" s="3">
        <f>SUM($F53:AJ53)</f>
        <v>104720</v>
      </c>
      <c r="AL53" s="22" t="s">
        <v>83</v>
      </c>
    </row>
    <row r="54" spans="1:38" x14ac:dyDescent="0.35">
      <c r="A54" s="4" t="s">
        <v>1148</v>
      </c>
      <c r="B54" s="24" t="s">
        <v>1147</v>
      </c>
      <c r="C54" s="67">
        <v>44755</v>
      </c>
      <c r="D54" s="3">
        <v>58000</v>
      </c>
      <c r="E54" s="15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58000</v>
      </c>
      <c r="R54" s="3" t="s">
        <v>13</v>
      </c>
      <c r="S54" s="3"/>
      <c r="T54" s="3"/>
      <c r="U54" s="3"/>
      <c r="V54" s="3"/>
      <c r="W54" s="3"/>
      <c r="Y54" s="3"/>
      <c r="AG54" s="3"/>
      <c r="AK54" s="3">
        <f>SUM($F54:AJ54)</f>
        <v>58000</v>
      </c>
      <c r="AL54" s="22" t="s">
        <v>81</v>
      </c>
    </row>
    <row r="55" spans="1:38" x14ac:dyDescent="0.35">
      <c r="A55" s="4" t="s">
        <v>724</v>
      </c>
      <c r="B55" s="24"/>
      <c r="C55" s="67">
        <v>44755</v>
      </c>
      <c r="D55" s="3">
        <v>128854</v>
      </c>
      <c r="E55" s="15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>
        <v>128854</v>
      </c>
      <c r="S55" s="3"/>
      <c r="T55" s="3"/>
      <c r="U55" s="3"/>
      <c r="V55" s="3"/>
      <c r="W55" s="3"/>
      <c r="Y55" s="3"/>
      <c r="AG55" s="3"/>
      <c r="AK55" s="3">
        <f>SUM($F55:AJ55)</f>
        <v>128854</v>
      </c>
      <c r="AL55" s="22" t="s">
        <v>81</v>
      </c>
    </row>
    <row r="56" spans="1:38" x14ac:dyDescent="0.35">
      <c r="A56" s="4" t="s">
        <v>857</v>
      </c>
      <c r="B56" s="24"/>
      <c r="C56" s="67">
        <v>44761</v>
      </c>
      <c r="D56" s="3">
        <f>12.9*1150/9+1100+1068+1736</f>
        <v>5552.333333333333</v>
      </c>
      <c r="E56" s="15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D56" s="3">
        <f>12.9*1150/9+1100+1068+1736</f>
        <v>5552.333333333333</v>
      </c>
      <c r="AG56" s="3"/>
      <c r="AK56" s="3">
        <f>SUM($F56:AJ56)</f>
        <v>5552.333333333333</v>
      </c>
      <c r="AL56" s="22" t="s">
        <v>81</v>
      </c>
    </row>
    <row r="57" spans="1:38" x14ac:dyDescent="0.35">
      <c r="A57" s="4" t="s">
        <v>920</v>
      </c>
      <c r="B57" s="24" t="s">
        <v>1160</v>
      </c>
      <c r="C57" s="67">
        <v>44761</v>
      </c>
      <c r="D57" s="3">
        <v>8734</v>
      </c>
      <c r="E57" s="153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D57" s="3">
        <v>8734</v>
      </c>
      <c r="AG57" s="3"/>
      <c r="AK57" s="3">
        <f>SUM($F57:AJ57)</f>
        <v>8734</v>
      </c>
      <c r="AL57" s="22" t="s">
        <v>83</v>
      </c>
    </row>
    <row r="58" spans="1:38" x14ac:dyDescent="0.35">
      <c r="A58" s="4" t="s">
        <v>1163</v>
      </c>
      <c r="B58" s="24"/>
      <c r="C58" s="67">
        <v>44762</v>
      </c>
      <c r="D58" s="3">
        <v>10000</v>
      </c>
      <c r="E58" s="15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>
        <v>10000</v>
      </c>
      <c r="AG58" s="3"/>
      <c r="AK58" s="3">
        <f>SUM($F58:AJ58)</f>
        <v>10000</v>
      </c>
      <c r="AL58" s="22" t="s">
        <v>81</v>
      </c>
    </row>
    <row r="59" spans="1:38" x14ac:dyDescent="0.35">
      <c r="A59" s="4" t="s">
        <v>1161</v>
      </c>
      <c r="B59" s="24" t="s">
        <v>1162</v>
      </c>
      <c r="C59" s="5">
        <v>44763</v>
      </c>
      <c r="D59" s="3">
        <v>17520</v>
      </c>
      <c r="E59" s="153" t="s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D59" s="3">
        <v>17520</v>
      </c>
      <c r="AG59" s="3"/>
      <c r="AK59" s="3">
        <f>SUM($F59:AJ59)</f>
        <v>17520</v>
      </c>
      <c r="AL59" s="22" t="s">
        <v>83</v>
      </c>
    </row>
    <row r="60" spans="1:38" x14ac:dyDescent="0.35">
      <c r="A60" s="4" t="s">
        <v>908</v>
      </c>
      <c r="B60" s="24"/>
      <c r="C60" s="67">
        <v>44763</v>
      </c>
      <c r="D60" s="3">
        <f>6.9*2*1150/9+2000</f>
        <v>3763.333333333333</v>
      </c>
      <c r="E60" s="15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D60" s="3">
        <f>6.9*2*1150/9+2000</f>
        <v>3763.333333333333</v>
      </c>
      <c r="AG60" s="3"/>
      <c r="AK60" s="3">
        <f>SUM($F60:AJ60)</f>
        <v>3763.333333333333</v>
      </c>
      <c r="AL60" s="22" t="s">
        <v>81</v>
      </c>
    </row>
    <row r="61" spans="1:38" x14ac:dyDescent="0.35">
      <c r="A61" s="4" t="s">
        <v>844</v>
      </c>
      <c r="B61" s="24"/>
      <c r="C61" s="67">
        <v>44764</v>
      </c>
      <c r="D61" s="3">
        <f>13.9*1150/9+2000</f>
        <v>3776.1111111111113</v>
      </c>
      <c r="E61" s="15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D61" s="3">
        <f>13.9*1150/9+2000</f>
        <v>3776.1111111111113</v>
      </c>
      <c r="AG61" s="3"/>
      <c r="AK61" s="3">
        <f>SUM($F61:AJ61)</f>
        <v>3776.1111111111113</v>
      </c>
      <c r="AL61" s="22" t="s">
        <v>81</v>
      </c>
    </row>
    <row r="62" spans="1:38" x14ac:dyDescent="0.35">
      <c r="A62" s="4" t="s">
        <v>857</v>
      </c>
      <c r="B62" s="24"/>
      <c r="C62" s="67">
        <v>44761</v>
      </c>
      <c r="D62" s="3">
        <f>12.9*1150/9+1100+1068+1736</f>
        <v>5552.333333333333</v>
      </c>
      <c r="E62" s="15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G62" s="3"/>
      <c r="AK62" s="3">
        <f>SUM($F62:AJ62)</f>
        <v>0</v>
      </c>
      <c r="AL62" s="22" t="s">
        <v>81</v>
      </c>
    </row>
    <row r="63" spans="1:38" x14ac:dyDescent="0.35">
      <c r="A63" s="4" t="s">
        <v>908</v>
      </c>
      <c r="B63" s="24"/>
      <c r="C63" s="67">
        <v>44763</v>
      </c>
      <c r="D63" s="3">
        <f>6.9*2*1150/9+2000</f>
        <v>3763.333333333333</v>
      </c>
      <c r="E63" s="15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G63" s="3"/>
      <c r="AK63" s="3">
        <f>SUM($F63:AJ63)</f>
        <v>0</v>
      </c>
      <c r="AL63" s="22" t="s">
        <v>81</v>
      </c>
    </row>
    <row r="64" spans="1:38" x14ac:dyDescent="0.35">
      <c r="A64" s="4" t="s">
        <v>920</v>
      </c>
      <c r="B64" s="24" t="s">
        <v>1172</v>
      </c>
      <c r="C64" s="67">
        <v>44770</v>
      </c>
      <c r="D64" s="3">
        <v>9066</v>
      </c>
      <c r="E64" s="153" t="s">
        <v>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AG64" s="3"/>
      <c r="AK64" s="3">
        <f>SUM($F64:AJ64)</f>
        <v>0</v>
      </c>
      <c r="AL64" s="22" t="s">
        <v>83</v>
      </c>
    </row>
    <row r="65" spans="1:40" ht="15" thickBot="1" x14ac:dyDescent="0.4">
      <c r="A65" s="4" t="s">
        <v>920</v>
      </c>
      <c r="B65" s="24">
        <v>84705</v>
      </c>
      <c r="C65" s="67">
        <v>44771</v>
      </c>
      <c r="D65" s="3">
        <v>7740</v>
      </c>
      <c r="E65" s="153" t="s">
        <v>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AG65" s="3"/>
      <c r="AK65" s="3">
        <f>SUM($F65:AJ65)</f>
        <v>0</v>
      </c>
      <c r="AL65" s="22" t="s">
        <v>83</v>
      </c>
    </row>
    <row r="66" spans="1:40" x14ac:dyDescent="0.35">
      <c r="A66" s="4" t="s">
        <v>1093</v>
      </c>
      <c r="B66" s="24" t="s">
        <v>1237</v>
      </c>
      <c r="C66" s="67">
        <v>44771</v>
      </c>
      <c r="D66" s="3">
        <v>16660</v>
      </c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AG66" s="3"/>
      <c r="AK66" s="3">
        <f>SUM($F66:AJ66)</f>
        <v>0</v>
      </c>
      <c r="AL66" s="22" t="s">
        <v>83</v>
      </c>
      <c r="AM66" s="11" t="s">
        <v>91</v>
      </c>
      <c r="AN66" s="53">
        <f>+D28/1.19</f>
        <v>873336.13445378153</v>
      </c>
    </row>
    <row r="67" spans="1:40" x14ac:dyDescent="0.35">
      <c r="A67" s="4"/>
      <c r="B67" s="24"/>
      <c r="C67" s="67"/>
      <c r="D67" s="3"/>
      <c r="E67" s="15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AG67" s="3"/>
      <c r="AK67" s="3">
        <f>SUM($F67:AJ67)</f>
        <v>0</v>
      </c>
      <c r="AL67" s="22"/>
      <c r="AM67" s="14" t="s">
        <v>1558</v>
      </c>
      <c r="AN67" s="15">
        <f>+SUMIF(AL30:AL71,"CD",D30:D71)/1.19</f>
        <v>149324.36974789915</v>
      </c>
    </row>
    <row r="68" spans="1:40" x14ac:dyDescent="0.35">
      <c r="A68" s="4"/>
      <c r="B68" s="24"/>
      <c r="C68" s="67"/>
      <c r="D68" s="3"/>
      <c r="E68" s="15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AG68" s="3"/>
      <c r="AK68" s="3">
        <f>SUM($F68:AJ68)</f>
        <v>0</v>
      </c>
      <c r="AL68" s="22"/>
      <c r="AM68" s="14" t="s">
        <v>1559</v>
      </c>
      <c r="AN68" s="15">
        <f>+AN66-AN67</f>
        <v>724011.76470588241</v>
      </c>
    </row>
    <row r="69" spans="1:40" x14ac:dyDescent="0.35">
      <c r="A69" s="4" t="s">
        <v>1123</v>
      </c>
      <c r="B69" s="24">
        <f>95.69/8</f>
        <v>11.96125</v>
      </c>
      <c r="C69" s="67">
        <v>44770</v>
      </c>
      <c r="D69" s="3">
        <f>+B69*D71</f>
        <v>397178.68881249998</v>
      </c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AG69" s="3" t="s">
        <v>13</v>
      </c>
      <c r="AH69" s="3" t="s">
        <v>13</v>
      </c>
      <c r="AK69" s="3">
        <f>SUM($F69:AJ69)</f>
        <v>0</v>
      </c>
      <c r="AL69" s="22" t="s">
        <v>1557</v>
      </c>
      <c r="AM69" s="14" t="s">
        <v>1560</v>
      </c>
      <c r="AN69" s="327">
        <f>+AN68/AN66</f>
        <v>0.82901844563972793</v>
      </c>
    </row>
    <row r="70" spans="1:40" x14ac:dyDescent="0.35">
      <c r="A70" s="4" t="s">
        <v>1124</v>
      </c>
      <c r="B70" s="24">
        <f>92.58/8</f>
        <v>11.5725</v>
      </c>
      <c r="C70" s="67">
        <v>44770</v>
      </c>
      <c r="D70" s="3">
        <f>+B70*D71</f>
        <v>384270.07012499997</v>
      </c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G70" s="3" t="s">
        <v>13</v>
      </c>
      <c r="AH70" s="3" t="s">
        <v>13</v>
      </c>
      <c r="AK70" s="3">
        <f>SUM($F70:AJ70)</f>
        <v>0</v>
      </c>
      <c r="AL70" s="22" t="s">
        <v>1557</v>
      </c>
      <c r="AM70" s="14" t="s">
        <v>81</v>
      </c>
      <c r="AN70" s="15">
        <f>+SUMIF(AL30:AL71,"GAV",D30:D71)/1.19</f>
        <v>195254.80859010277</v>
      </c>
    </row>
    <row r="71" spans="1:40" x14ac:dyDescent="0.35">
      <c r="A71" s="4"/>
      <c r="B71" s="24"/>
      <c r="C71" s="67" t="s">
        <v>933</v>
      </c>
      <c r="D71" s="236">
        <v>33205.449999999997</v>
      </c>
      <c r="E71" s="15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AJ71" s="3"/>
      <c r="AK71" s="3" t="s">
        <v>13</v>
      </c>
      <c r="AL71" s="22"/>
      <c r="AM71" s="14" t="s">
        <v>1561</v>
      </c>
      <c r="AN71" s="15">
        <f>+AN68-AN70</f>
        <v>528756.9561157797</v>
      </c>
    </row>
    <row r="72" spans="1:40" x14ac:dyDescent="0.35">
      <c r="A72" s="2" t="s">
        <v>9</v>
      </c>
      <c r="D72" s="3" t="s">
        <v>13</v>
      </c>
      <c r="F72" s="3">
        <f t="shared" ref="F72:AJ72" si="2">SUM(F38:F71)</f>
        <v>0</v>
      </c>
      <c r="G72" s="3">
        <f t="shared" si="2"/>
        <v>0</v>
      </c>
      <c r="H72" s="3">
        <f t="shared" si="2"/>
        <v>0</v>
      </c>
      <c r="I72" s="3">
        <f t="shared" si="2"/>
        <v>0</v>
      </c>
      <c r="J72" s="3">
        <f t="shared" si="2"/>
        <v>13905</v>
      </c>
      <c r="K72" s="3">
        <f t="shared" si="2"/>
        <v>0</v>
      </c>
      <c r="L72" s="3">
        <f t="shared" si="2"/>
        <v>0</v>
      </c>
      <c r="M72" s="3">
        <f t="shared" si="2"/>
        <v>0</v>
      </c>
      <c r="N72" s="3">
        <f t="shared" si="2"/>
        <v>0</v>
      </c>
      <c r="O72" s="3">
        <f t="shared" si="2"/>
        <v>0</v>
      </c>
      <c r="P72" s="3">
        <f t="shared" si="2"/>
        <v>0</v>
      </c>
      <c r="Q72" s="3">
        <f t="shared" si="2"/>
        <v>167597.11111111109</v>
      </c>
      <c r="R72" s="3">
        <f t="shared" si="2"/>
        <v>128854</v>
      </c>
      <c r="S72" s="3">
        <f t="shared" si="2"/>
        <v>0</v>
      </c>
      <c r="T72" s="3">
        <f t="shared" si="2"/>
        <v>0</v>
      </c>
      <c r="U72" s="3">
        <f t="shared" si="2"/>
        <v>0</v>
      </c>
      <c r="V72" s="3">
        <f t="shared" si="2"/>
        <v>0</v>
      </c>
      <c r="W72" s="3">
        <f t="shared" si="2"/>
        <v>104720</v>
      </c>
      <c r="X72" s="3">
        <f t="shared" si="2"/>
        <v>0</v>
      </c>
      <c r="Y72" s="3">
        <f t="shared" si="2"/>
        <v>10000</v>
      </c>
      <c r="Z72" s="3">
        <f t="shared" si="2"/>
        <v>0</v>
      </c>
      <c r="AA72" s="3">
        <f t="shared" si="2"/>
        <v>0</v>
      </c>
      <c r="AB72" s="3">
        <f t="shared" si="2"/>
        <v>0</v>
      </c>
      <c r="AC72" s="3">
        <f t="shared" si="2"/>
        <v>0</v>
      </c>
      <c r="AD72" s="3">
        <f t="shared" si="2"/>
        <v>39345.777777777774</v>
      </c>
      <c r="AE72" s="3">
        <f t="shared" si="2"/>
        <v>0</v>
      </c>
      <c r="AF72" s="3">
        <f t="shared" si="2"/>
        <v>0</v>
      </c>
      <c r="AG72" s="3">
        <f t="shared" si="2"/>
        <v>0</v>
      </c>
      <c r="AH72" s="3">
        <f t="shared" si="2"/>
        <v>0</v>
      </c>
      <c r="AI72" s="3">
        <f t="shared" si="2"/>
        <v>0</v>
      </c>
      <c r="AJ72" s="3">
        <f t="shared" si="2"/>
        <v>0</v>
      </c>
      <c r="AK72" s="72">
        <f>SUM(AK33:AK70)</f>
        <v>464421.88888888888</v>
      </c>
      <c r="AL72" s="6" t="s">
        <v>13</v>
      </c>
      <c r="AM72" s="14" t="s">
        <v>1563</v>
      </c>
      <c r="AN72" s="15">
        <f>+SUMIF(AL30:AL71,"GF",D30:D71)</f>
        <v>795353.75893749995</v>
      </c>
    </row>
    <row r="73" spans="1:40" x14ac:dyDescent="0.35">
      <c r="A73" t="s">
        <v>8</v>
      </c>
      <c r="F73" s="3">
        <f t="shared" ref="F73:AI73" si="3">+F28+F3-F72</f>
        <v>37224.808484745445</v>
      </c>
      <c r="G73" s="3">
        <f t="shared" si="3"/>
        <v>37224.808484745445</v>
      </c>
      <c r="H73" s="3">
        <f t="shared" si="3"/>
        <v>37224.808484745445</v>
      </c>
      <c r="I73" s="3">
        <f t="shared" si="3"/>
        <v>37224.808484745445</v>
      </c>
      <c r="J73" s="3">
        <f t="shared" si="3"/>
        <v>23319.808484745445</v>
      </c>
      <c r="K73" s="3">
        <f t="shared" si="3"/>
        <v>23319.808484745445</v>
      </c>
      <c r="L73" s="3">
        <f t="shared" si="3"/>
        <v>23319.808484745445</v>
      </c>
      <c r="M73" s="3">
        <f t="shared" si="3"/>
        <v>23319.808484745445</v>
      </c>
      <c r="N73" s="3">
        <f t="shared" si="3"/>
        <v>23319.808484745445</v>
      </c>
      <c r="O73" s="3">
        <f t="shared" si="3"/>
        <v>23319.808484745445</v>
      </c>
      <c r="P73" s="3">
        <f t="shared" si="3"/>
        <v>23319.808484745445</v>
      </c>
      <c r="Q73" s="3">
        <f t="shared" si="3"/>
        <v>198290.69737363435</v>
      </c>
      <c r="R73" s="3">
        <f t="shared" si="3"/>
        <v>69436.69737363435</v>
      </c>
      <c r="S73" s="3">
        <f t="shared" si="3"/>
        <v>69436.69737363435</v>
      </c>
      <c r="T73" s="3">
        <f t="shared" si="3"/>
        <v>69436.69737363435</v>
      </c>
      <c r="U73" s="3">
        <f t="shared" si="3"/>
        <v>69436.69737363435</v>
      </c>
      <c r="V73" s="3">
        <f t="shared" si="3"/>
        <v>69436.69737363435</v>
      </c>
      <c r="W73" s="3">
        <f t="shared" si="3"/>
        <v>177333.69737363432</v>
      </c>
      <c r="X73" s="3">
        <f t="shared" si="3"/>
        <v>177333.69737363432</v>
      </c>
      <c r="Y73" s="3">
        <f t="shared" si="3"/>
        <v>167333.69737363432</v>
      </c>
      <c r="Z73" s="3">
        <f t="shared" si="3"/>
        <v>167333.69737363432</v>
      </c>
      <c r="AA73" s="3">
        <f t="shared" si="3"/>
        <v>167333.69737363432</v>
      </c>
      <c r="AB73" s="3">
        <f t="shared" si="3"/>
        <v>167333.69737363432</v>
      </c>
      <c r="AC73" s="3">
        <f t="shared" si="3"/>
        <v>167333.69737363432</v>
      </c>
      <c r="AD73" s="3">
        <f t="shared" si="3"/>
        <v>384913.91959585657</v>
      </c>
      <c r="AE73" s="3">
        <f t="shared" si="3"/>
        <v>384913.91959585657</v>
      </c>
      <c r="AF73" s="3">
        <f t="shared" si="3"/>
        <v>487603.91959585657</v>
      </c>
      <c r="AG73" s="3">
        <f t="shared" si="3"/>
        <v>531613.91959585657</v>
      </c>
      <c r="AH73" s="3">
        <f t="shared" si="3"/>
        <v>531613.91959585657</v>
      </c>
      <c r="AI73" s="3">
        <f t="shared" si="3"/>
        <v>531613.91959585657</v>
      </c>
      <c r="AJ73" s="3">
        <f>+AJ3+AJ28-AJ72</f>
        <v>959823.91959585657</v>
      </c>
      <c r="AK73" s="3" t="s">
        <v>13</v>
      </c>
      <c r="AM73" s="14" t="s">
        <v>82</v>
      </c>
      <c r="AN73" s="15">
        <f>+SUMIF(AL30:AL71,"AF",D30:D71)/1.19</f>
        <v>0</v>
      </c>
    </row>
    <row r="74" spans="1:40" ht="15" thickBot="1" x14ac:dyDescent="0.4">
      <c r="F74" s="3"/>
      <c r="G74" s="3"/>
      <c r="H74" s="3"/>
      <c r="I74" s="3" t="s">
        <v>13</v>
      </c>
      <c r="J74" s="3"/>
      <c r="K74" s="3"/>
      <c r="L74" s="3"/>
      <c r="M74" s="3"/>
      <c r="N74" s="3"/>
      <c r="O74" s="3"/>
      <c r="P74" s="3" t="s">
        <v>13</v>
      </c>
      <c r="Q74" s="3"/>
      <c r="R74" s="3"/>
      <c r="S74" s="3"/>
      <c r="T74" s="3" t="s">
        <v>13</v>
      </c>
      <c r="U74" s="3"/>
      <c r="V74" s="3"/>
      <c r="W74" s="3"/>
      <c r="Y74" s="3" t="s">
        <v>13</v>
      </c>
      <c r="AA74" s="3" t="s">
        <v>13</v>
      </c>
      <c r="AB74" s="3" t="s">
        <v>13</v>
      </c>
      <c r="AM74" s="16"/>
      <c r="AN74" s="19">
        <f>+AN71-AN72-AN73</f>
        <v>-266596.80282172025</v>
      </c>
    </row>
    <row r="75" spans="1:40" x14ac:dyDescent="0.35">
      <c r="B75" t="s">
        <v>13</v>
      </c>
      <c r="F75" s="3"/>
      <c r="G75" s="3"/>
      <c r="H75" s="3" t="s">
        <v>13</v>
      </c>
      <c r="I75" s="3"/>
      <c r="J75" s="3"/>
      <c r="K75" s="3"/>
      <c r="L75" s="3"/>
      <c r="M75" s="3"/>
      <c r="N75" s="3"/>
      <c r="O75" s="3"/>
      <c r="P75" s="3" t="s">
        <v>13</v>
      </c>
      <c r="Q75" s="3" t="s">
        <v>13</v>
      </c>
      <c r="R75" s="3" t="s">
        <v>13</v>
      </c>
      <c r="S75" s="3"/>
      <c r="T75" s="3"/>
      <c r="U75" s="3" t="s">
        <v>13</v>
      </c>
      <c r="V75" s="3"/>
      <c r="W75" s="3"/>
      <c r="AB75" s="3" t="s">
        <v>13</v>
      </c>
      <c r="AG75" s="3" t="s">
        <v>13</v>
      </c>
      <c r="AJ75" s="3" t="s">
        <v>13</v>
      </c>
    </row>
    <row r="76" spans="1:40" x14ac:dyDescent="0.35">
      <c r="B76" s="5" t="s">
        <v>13</v>
      </c>
      <c r="D76" s="236" t="s">
        <v>13</v>
      </c>
      <c r="F76" s="3"/>
      <c r="G76" s="3" t="s">
        <v>13</v>
      </c>
      <c r="H76" s="3" t="s">
        <v>13</v>
      </c>
      <c r="I76" s="3"/>
      <c r="J76" s="3"/>
      <c r="K76" s="3"/>
      <c r="L76" s="3"/>
      <c r="M76" s="3"/>
      <c r="N76" s="3"/>
      <c r="O76" s="3"/>
      <c r="P76" s="3"/>
      <c r="S76" s="3"/>
      <c r="T76" s="3" t="s">
        <v>13</v>
      </c>
      <c r="U76" s="3"/>
      <c r="V76" s="3"/>
      <c r="W76" s="3"/>
      <c r="AB76" s="3" t="s">
        <v>13</v>
      </c>
    </row>
    <row r="77" spans="1:40" x14ac:dyDescent="0.35">
      <c r="A77" s="5" t="s">
        <v>13</v>
      </c>
      <c r="B77" s="236" t="s">
        <v>13</v>
      </c>
      <c r="C77" s="236" t="s">
        <v>13</v>
      </c>
      <c r="F77" s="3"/>
      <c r="G77" s="3" t="s">
        <v>13</v>
      </c>
      <c r="H77" s="3"/>
      <c r="I77" s="3"/>
      <c r="J77" s="3"/>
      <c r="K77" s="3"/>
      <c r="L77" s="3"/>
      <c r="M77" s="3"/>
      <c r="N77" s="3"/>
      <c r="O77" s="3"/>
      <c r="P77" s="3"/>
      <c r="S77" s="3"/>
      <c r="T77" s="3"/>
      <c r="U77" s="3"/>
      <c r="V77" s="3"/>
      <c r="W77" s="3" t="s">
        <v>13</v>
      </c>
      <c r="AB77" s="3" t="s">
        <v>13</v>
      </c>
    </row>
    <row r="78" spans="1:40" x14ac:dyDescent="0.35">
      <c r="B78" t="s">
        <v>13</v>
      </c>
      <c r="C78" t="s">
        <v>13</v>
      </c>
      <c r="D78" s="236" t="s">
        <v>13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 t="s">
        <v>13</v>
      </c>
      <c r="Q78" s="3"/>
      <c r="R78" s="3"/>
      <c r="S78" s="3"/>
      <c r="T78" s="3"/>
      <c r="U78" s="3"/>
      <c r="V78" s="3" t="s">
        <v>13</v>
      </c>
      <c r="W78" s="3"/>
      <c r="AB78" s="3" t="s">
        <v>13</v>
      </c>
      <c r="AC78" s="59" t="s">
        <v>13</v>
      </c>
      <c r="AD78" t="s">
        <v>13</v>
      </c>
      <c r="AE78" t="s">
        <v>13</v>
      </c>
    </row>
    <row r="79" spans="1:40" x14ac:dyDescent="0.35">
      <c r="B79" t="s">
        <v>13</v>
      </c>
      <c r="C79" s="236" t="s">
        <v>13</v>
      </c>
      <c r="D79" s="286" t="s">
        <v>13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AB79" s="3" t="s">
        <v>13</v>
      </c>
      <c r="AC79" t="s">
        <v>13</v>
      </c>
    </row>
    <row r="80" spans="1:40" x14ac:dyDescent="0.35">
      <c r="B80" t="s">
        <v>13</v>
      </c>
      <c r="C80" t="s">
        <v>13</v>
      </c>
      <c r="D80" t="s">
        <v>13</v>
      </c>
      <c r="F80" s="3"/>
      <c r="G80" s="3"/>
      <c r="H80" s="3"/>
      <c r="I80" s="3"/>
      <c r="J80" s="3"/>
      <c r="AC80" s="59" t="s">
        <v>13</v>
      </c>
    </row>
    <row r="81" spans="2:29" x14ac:dyDescent="0.35">
      <c r="B81" t="s">
        <v>13</v>
      </c>
      <c r="D81" t="s">
        <v>13</v>
      </c>
      <c r="F81" s="3"/>
      <c r="G81" s="3"/>
      <c r="H81" s="3"/>
      <c r="I81" s="3"/>
      <c r="J81" s="3"/>
      <c r="AB81" t="s">
        <v>13</v>
      </c>
      <c r="AC81" t="s">
        <v>13</v>
      </c>
    </row>
    <row r="82" spans="2:29" x14ac:dyDescent="0.35">
      <c r="B82" t="s">
        <v>13</v>
      </c>
      <c r="F82" s="3"/>
      <c r="G82" s="3"/>
      <c r="H82" s="3"/>
      <c r="I82" s="3"/>
      <c r="J82" s="3"/>
    </row>
    <row r="83" spans="2:29" x14ac:dyDescent="0.35">
      <c r="B83" t="s">
        <v>13</v>
      </c>
      <c r="F83" s="3"/>
      <c r="G83" s="3"/>
      <c r="H83" s="3"/>
      <c r="I83" s="3"/>
      <c r="J83" s="3"/>
    </row>
    <row r="84" spans="2:29" x14ac:dyDescent="0.35">
      <c r="B84" t="s">
        <v>13</v>
      </c>
      <c r="F84" s="3"/>
      <c r="G84" s="3"/>
      <c r="H84" s="3"/>
      <c r="I84" s="3"/>
      <c r="J84" s="3"/>
    </row>
    <row r="85" spans="2:29" x14ac:dyDescent="0.35">
      <c r="B85" t="s">
        <v>13</v>
      </c>
      <c r="F85" s="3"/>
      <c r="G85" s="3"/>
      <c r="H85" s="3"/>
      <c r="I85" s="3"/>
      <c r="J85" s="3"/>
    </row>
  </sheetData>
  <sortState xmlns:xlrd2="http://schemas.microsoft.com/office/spreadsheetml/2017/richdata2" ref="A42:AN54">
    <sortCondition ref="C42:C54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AU94"/>
  <sheetViews>
    <sheetView workbookViewId="0"/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  <col min="39" max="39" width="14.72656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44774</v>
      </c>
      <c r="G2" s="1">
        <v>44775</v>
      </c>
      <c r="H2" s="1">
        <v>44776</v>
      </c>
      <c r="I2" s="1">
        <v>44777</v>
      </c>
      <c r="J2" s="1">
        <v>44778</v>
      </c>
      <c r="K2" s="1">
        <v>44779</v>
      </c>
      <c r="L2" s="1">
        <v>44780</v>
      </c>
      <c r="M2" s="1">
        <v>44781</v>
      </c>
      <c r="N2" s="1">
        <v>44782</v>
      </c>
      <c r="O2" s="1">
        <v>44783</v>
      </c>
      <c r="P2" s="1">
        <v>44784</v>
      </c>
      <c r="Q2" s="1">
        <v>44785</v>
      </c>
      <c r="R2" s="1">
        <v>44786</v>
      </c>
      <c r="S2" s="1">
        <v>44787</v>
      </c>
      <c r="T2" s="1">
        <v>44788</v>
      </c>
      <c r="U2" s="1">
        <v>44789</v>
      </c>
      <c r="V2" s="1">
        <v>44790</v>
      </c>
      <c r="W2" s="1">
        <v>44791</v>
      </c>
      <c r="X2" s="1">
        <v>44792</v>
      </c>
      <c r="Y2" s="1">
        <v>44793</v>
      </c>
      <c r="Z2" s="1">
        <v>44794</v>
      </c>
      <c r="AA2" s="1">
        <v>44795</v>
      </c>
      <c r="AB2" s="1">
        <v>44796</v>
      </c>
      <c r="AC2" s="1">
        <v>44797</v>
      </c>
      <c r="AD2" s="1">
        <v>44798</v>
      </c>
      <c r="AE2" s="1">
        <v>44799</v>
      </c>
      <c r="AF2" s="1">
        <v>44800</v>
      </c>
      <c r="AG2" s="1">
        <v>44801</v>
      </c>
      <c r="AH2" s="1">
        <v>44802</v>
      </c>
      <c r="AI2" s="1">
        <v>44803</v>
      </c>
      <c r="AJ2" s="1">
        <v>44804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+'Jul-22'!AJ73</f>
        <v>959823.91959585657</v>
      </c>
      <c r="G3" s="3">
        <f>+F82</f>
        <v>959823.91959585657</v>
      </c>
      <c r="H3" s="3">
        <f t="shared" ref="H3:AJ3" si="0">+G82</f>
        <v>172935.80502085655</v>
      </c>
      <c r="I3" s="3">
        <f t="shared" si="0"/>
        <v>172935.80502085655</v>
      </c>
      <c r="J3" s="3">
        <f t="shared" si="0"/>
        <v>172935.80502085655</v>
      </c>
      <c r="K3" s="3">
        <f t="shared" si="0"/>
        <v>159031.80502085655</v>
      </c>
      <c r="L3" s="3">
        <f t="shared" si="0"/>
        <v>159031.80502085655</v>
      </c>
      <c r="M3" s="3">
        <f t="shared" si="0"/>
        <v>159031.80502085655</v>
      </c>
      <c r="N3" s="3">
        <f t="shared" si="0"/>
        <v>513165.80502085655</v>
      </c>
      <c r="O3" s="3">
        <f t="shared" si="0"/>
        <v>513165.80502085655</v>
      </c>
      <c r="P3" s="3">
        <f t="shared" si="0"/>
        <v>118349.77168752323</v>
      </c>
      <c r="Q3" s="3">
        <f t="shared" si="0"/>
        <v>118349.77168752323</v>
      </c>
      <c r="R3" s="3">
        <f t="shared" si="0"/>
        <v>118349.77168752323</v>
      </c>
      <c r="S3" s="3">
        <f t="shared" si="0"/>
        <v>118349.77168752323</v>
      </c>
      <c r="T3" s="3">
        <f t="shared" si="0"/>
        <v>118349.77168752323</v>
      </c>
      <c r="U3" s="3">
        <f t="shared" si="0"/>
        <v>118349.77168752323</v>
      </c>
      <c r="V3" s="3">
        <f t="shared" si="0"/>
        <v>118349.77168752323</v>
      </c>
      <c r="W3" s="3">
        <f t="shared" si="0"/>
        <v>118349.77168752323</v>
      </c>
      <c r="X3" s="3">
        <f t="shared" si="0"/>
        <v>118349.77168752323</v>
      </c>
      <c r="Y3" s="3">
        <f t="shared" si="0"/>
        <v>118349.77168752323</v>
      </c>
      <c r="Z3" s="3">
        <f t="shared" si="0"/>
        <v>118349.77168752323</v>
      </c>
      <c r="AA3" s="3">
        <f t="shared" si="0"/>
        <v>118349.77168752323</v>
      </c>
      <c r="AB3" s="3">
        <f t="shared" si="0"/>
        <v>118349.77168752323</v>
      </c>
      <c r="AC3" s="3">
        <f t="shared" si="0"/>
        <v>118349.77168752323</v>
      </c>
      <c r="AD3" s="3">
        <f t="shared" si="0"/>
        <v>118349.77168752323</v>
      </c>
      <c r="AE3" s="3">
        <f t="shared" si="0"/>
        <v>118349.77168752323</v>
      </c>
      <c r="AF3" s="3">
        <f t="shared" si="0"/>
        <v>118349.77168752323</v>
      </c>
      <c r="AG3" s="3">
        <f t="shared" si="0"/>
        <v>118349.77168752323</v>
      </c>
      <c r="AH3" s="3">
        <f t="shared" si="0"/>
        <v>118349.77168752323</v>
      </c>
      <c r="AI3" s="3">
        <f t="shared" si="0"/>
        <v>96515.818450023304</v>
      </c>
      <c r="AJ3" s="3">
        <f t="shared" si="0"/>
        <v>96515.818450023304</v>
      </c>
      <c r="AK3" s="3" t="s">
        <v>13</v>
      </c>
      <c r="AL3" s="6" t="s">
        <v>13</v>
      </c>
    </row>
    <row r="4" spans="1:38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x14ac:dyDescent="0.35">
      <c r="A5" s="36" t="s">
        <v>895</v>
      </c>
      <c r="B5" s="66" t="s">
        <v>886</v>
      </c>
      <c r="C5" s="38">
        <v>44618</v>
      </c>
      <c r="D5" s="313">
        <v>56708</v>
      </c>
      <c r="E5" s="6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8" x14ac:dyDescent="0.35">
      <c r="A6" s="41" t="s">
        <v>995</v>
      </c>
      <c r="B6" t="s">
        <v>992</v>
      </c>
      <c r="C6" s="5">
        <v>44687</v>
      </c>
      <c r="D6" s="74">
        <f>293399-'Jul-22'!AK6</f>
        <v>146699</v>
      </c>
      <c r="F6" s="3" t="s">
        <v>13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 t="s">
        <v>13</v>
      </c>
      <c r="AG6" s="3" t="s">
        <v>13</v>
      </c>
      <c r="AH6" s="3"/>
      <c r="AI6" s="3"/>
      <c r="AJ6" s="3"/>
      <c r="AK6" s="3">
        <f>SUM($F6:AJ6)</f>
        <v>0</v>
      </c>
      <c r="AL6" s="22"/>
    </row>
    <row r="7" spans="1:38" x14ac:dyDescent="0.35">
      <c r="A7" s="41" t="s">
        <v>1168</v>
      </c>
      <c r="B7" t="s">
        <v>1164</v>
      </c>
      <c r="C7" s="5">
        <v>44770</v>
      </c>
      <c r="D7" s="74">
        <v>85642</v>
      </c>
      <c r="E7" s="6" t="s">
        <v>782</v>
      </c>
      <c r="F7" s="3"/>
      <c r="G7" s="3"/>
      <c r="H7" s="3"/>
      <c r="I7" s="3"/>
      <c r="J7" s="3"/>
      <c r="K7" s="3"/>
      <c r="L7" s="3"/>
      <c r="M7" s="3">
        <v>85642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SUM($F7:AJ7)</f>
        <v>85642</v>
      </c>
      <c r="AL7" s="22"/>
    </row>
    <row r="8" spans="1:38" x14ac:dyDescent="0.35">
      <c r="A8" s="41" t="s">
        <v>1169</v>
      </c>
      <c r="B8" t="s">
        <v>1165</v>
      </c>
      <c r="C8" s="5">
        <v>44770</v>
      </c>
      <c r="D8" s="74">
        <v>44308</v>
      </c>
      <c r="E8" s="6" t="s">
        <v>782</v>
      </c>
      <c r="F8" s="3"/>
      <c r="G8" s="3"/>
      <c r="H8" s="3"/>
      <c r="I8" s="3"/>
      <c r="J8" s="3"/>
      <c r="K8" s="3"/>
      <c r="L8" s="3"/>
      <c r="M8" s="3">
        <v>44308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44308</v>
      </c>
      <c r="AL8" s="22"/>
    </row>
    <row r="9" spans="1:38" x14ac:dyDescent="0.35">
      <c r="A9" s="41" t="s">
        <v>1170</v>
      </c>
      <c r="B9" t="s">
        <v>1166</v>
      </c>
      <c r="C9" s="5">
        <v>44771</v>
      </c>
      <c r="D9" s="74">
        <v>138542</v>
      </c>
      <c r="E9" s="6" t="s">
        <v>782</v>
      </c>
      <c r="F9" s="3"/>
      <c r="G9" s="3"/>
      <c r="H9" s="3"/>
      <c r="I9" s="3"/>
      <c r="J9" s="3"/>
      <c r="K9" s="3"/>
      <c r="L9" s="3"/>
      <c r="M9" s="3">
        <v>138542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f>SUM($F9:AJ9)</f>
        <v>138542</v>
      </c>
      <c r="AL9" s="22"/>
    </row>
    <row r="10" spans="1:38" ht="15" thickBot="1" x14ac:dyDescent="0.4">
      <c r="A10" s="43" t="s">
        <v>1171</v>
      </c>
      <c r="B10" s="76" t="s">
        <v>1167</v>
      </c>
      <c r="C10" s="45">
        <v>44771</v>
      </c>
      <c r="D10" s="119">
        <v>85642</v>
      </c>
      <c r="E10" s="6" t="s">
        <v>782</v>
      </c>
      <c r="F10" s="3"/>
      <c r="G10" s="3"/>
      <c r="H10" s="3"/>
      <c r="I10" s="3"/>
      <c r="J10" s="3"/>
      <c r="K10" s="3"/>
      <c r="L10" s="3"/>
      <c r="M10" s="3">
        <v>85642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SUM($F10:AJ10)</f>
        <v>85642</v>
      </c>
      <c r="AL10" s="22"/>
    </row>
    <row r="11" spans="1:38" x14ac:dyDescent="0.35">
      <c r="A11" t="s">
        <v>1177</v>
      </c>
      <c r="B11" t="s">
        <v>1178</v>
      </c>
      <c r="C11" s="5">
        <v>44778</v>
      </c>
      <c r="D11" s="3">
        <v>85642</v>
      </c>
      <c r="E11" s="6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>
        <v>85642</v>
      </c>
      <c r="AI11" s="3"/>
      <c r="AJ11" s="3"/>
      <c r="AK11" s="3">
        <f>SUM($F11:AJ11)</f>
        <v>85642</v>
      </c>
      <c r="AL11" s="22"/>
    </row>
    <row r="12" spans="1:38" x14ac:dyDescent="0.35">
      <c r="A12" t="s">
        <v>1185</v>
      </c>
      <c r="B12" t="s">
        <v>1189</v>
      </c>
      <c r="C12" s="5">
        <v>44784</v>
      </c>
      <c r="D12" s="3">
        <v>85642</v>
      </c>
      <c r="E12" s="6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v>85642</v>
      </c>
      <c r="AI12" s="3"/>
      <c r="AJ12" s="3"/>
      <c r="AK12" s="3">
        <f>SUM($F12:AJ12)</f>
        <v>85642</v>
      </c>
      <c r="AL12" s="22"/>
    </row>
    <row r="13" spans="1:38" x14ac:dyDescent="0.35">
      <c r="A13" t="s">
        <v>1184</v>
      </c>
      <c r="B13" t="s">
        <v>1190</v>
      </c>
      <c r="C13" s="5">
        <v>44784</v>
      </c>
      <c r="D13" s="3">
        <v>85642</v>
      </c>
      <c r="E13" s="6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v>85642</v>
      </c>
      <c r="AI13" s="3"/>
      <c r="AJ13" s="3"/>
      <c r="AK13" s="3">
        <f>SUM($F13:AJ13)</f>
        <v>85642</v>
      </c>
      <c r="AL13" s="22"/>
    </row>
    <row r="14" spans="1:38" x14ac:dyDescent="0.35">
      <c r="A14" t="s">
        <v>1186</v>
      </c>
      <c r="B14" t="s">
        <v>1191</v>
      </c>
      <c r="C14" s="5">
        <v>44784</v>
      </c>
      <c r="D14" s="3">
        <v>44308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>
        <v>44308</v>
      </c>
      <c r="AI14" s="3"/>
      <c r="AJ14" s="3"/>
      <c r="AK14" s="3">
        <f>SUM($F14:AJ14)</f>
        <v>44308</v>
      </c>
      <c r="AL14" s="22"/>
    </row>
    <row r="15" spans="1:38" x14ac:dyDescent="0.35">
      <c r="A15" t="s">
        <v>1187</v>
      </c>
      <c r="B15" t="s">
        <v>1192</v>
      </c>
      <c r="C15" s="5">
        <v>44784</v>
      </c>
      <c r="D15" s="3">
        <v>44308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>
        <v>44308</v>
      </c>
      <c r="AI15" s="3"/>
      <c r="AJ15" s="3"/>
      <c r="AK15" s="3">
        <f>SUM($F15:AJ15)</f>
        <v>44308</v>
      </c>
      <c r="AL15" s="22"/>
    </row>
    <row r="16" spans="1:38" x14ac:dyDescent="0.35">
      <c r="A16" t="s">
        <v>1188</v>
      </c>
      <c r="B16" t="s">
        <v>1193</v>
      </c>
      <c r="C16" s="5">
        <v>44784</v>
      </c>
      <c r="D16" s="3">
        <v>85642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>
        <v>85642</v>
      </c>
      <c r="AI16" s="3"/>
      <c r="AJ16" s="3"/>
      <c r="AK16" s="3">
        <f>SUM($F16:AJ16)</f>
        <v>85642</v>
      </c>
      <c r="AL16" s="22"/>
    </row>
    <row r="17" spans="1:38" x14ac:dyDescent="0.35">
      <c r="A17" t="s">
        <v>1199</v>
      </c>
      <c r="B17" t="s">
        <v>1200</v>
      </c>
      <c r="C17" s="5">
        <v>44785</v>
      </c>
      <c r="D17" s="3">
        <v>208308</v>
      </c>
      <c r="E17" s="6" t="s">
        <v>1345</v>
      </c>
      <c r="F17" s="3"/>
      <c r="G17" s="3" t="s">
        <v>13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>
        <f>SUM($F17:AJ17)</f>
        <v>0</v>
      </c>
    </row>
    <row r="18" spans="1:38" x14ac:dyDescent="0.35">
      <c r="A18" t="s">
        <v>1209</v>
      </c>
      <c r="B18" t="s">
        <v>1210</v>
      </c>
      <c r="C18" s="5">
        <v>44791</v>
      </c>
      <c r="D18" s="3">
        <v>85642</v>
      </c>
      <c r="E18" s="6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85642</v>
      </c>
      <c r="AI18" s="3"/>
      <c r="AJ18" s="3"/>
      <c r="AK18" s="3">
        <f>SUM($F18:AJ18)</f>
        <v>85642</v>
      </c>
    </row>
    <row r="19" spans="1:38" x14ac:dyDescent="0.35">
      <c r="A19" t="s">
        <v>1211</v>
      </c>
      <c r="B19" t="s">
        <v>1212</v>
      </c>
      <c r="C19" s="5">
        <v>44791</v>
      </c>
      <c r="D19" s="3">
        <v>85642</v>
      </c>
      <c r="E19" s="6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85642</v>
      </c>
      <c r="AI19" s="3"/>
      <c r="AJ19" s="3"/>
      <c r="AK19" s="3">
        <f>SUM($F19:AJ19)</f>
        <v>85642</v>
      </c>
    </row>
    <row r="20" spans="1:38" x14ac:dyDescent="0.35">
      <c r="A20" t="s">
        <v>1213</v>
      </c>
      <c r="B20" t="s">
        <v>1214</v>
      </c>
      <c r="C20" s="5">
        <v>44791</v>
      </c>
      <c r="D20" s="3">
        <v>85642</v>
      </c>
      <c r="E20" s="6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85642</v>
      </c>
      <c r="AI20" s="3"/>
      <c r="AJ20" s="3"/>
      <c r="AK20" s="3">
        <f>SUM($F20:AJ20)</f>
        <v>85642</v>
      </c>
    </row>
    <row r="21" spans="1:38" x14ac:dyDescent="0.35">
      <c r="A21" t="s">
        <v>1215</v>
      </c>
      <c r="B21" t="s">
        <v>1216</v>
      </c>
      <c r="C21" s="5">
        <v>44791</v>
      </c>
      <c r="D21" s="3">
        <v>85642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85642</v>
      </c>
      <c r="AI21" s="3"/>
      <c r="AJ21" s="3"/>
      <c r="AK21" s="3">
        <f>SUM($F21:AJ21)</f>
        <v>85642</v>
      </c>
    </row>
    <row r="22" spans="1:38" x14ac:dyDescent="0.35">
      <c r="A22" t="s">
        <v>1223</v>
      </c>
      <c r="B22" t="s">
        <v>1224</v>
      </c>
      <c r="C22" s="5">
        <v>44799</v>
      </c>
      <c r="D22" s="3">
        <v>85642</v>
      </c>
      <c r="E22" s="6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f>SUM($F22:AJ22)</f>
        <v>0</v>
      </c>
    </row>
    <row r="23" spans="1:38" x14ac:dyDescent="0.35">
      <c r="C23" s="5"/>
      <c r="D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8" x14ac:dyDescent="0.35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AK24" s="72">
        <f>SUM(AK5:AK21)</f>
        <v>1127886</v>
      </c>
      <c r="AL24" s="22" t="s">
        <v>13</v>
      </c>
    </row>
    <row r="25" spans="1:38" x14ac:dyDescent="0.35">
      <c r="A25" s="2" t="s">
        <v>1676</v>
      </c>
      <c r="D25" s="3">
        <f>SUM(D11:D24)</f>
        <v>1067702</v>
      </c>
      <c r="F25" s="3">
        <f t="shared" ref="F25:AJ25" si="1">SUM(F5:F24)</f>
        <v>0</v>
      </c>
      <c r="G25" s="3">
        <f t="shared" si="1"/>
        <v>0</v>
      </c>
      <c r="H25" s="3">
        <f t="shared" si="1"/>
        <v>0</v>
      </c>
      <c r="I25" s="3">
        <f t="shared" si="1"/>
        <v>0</v>
      </c>
      <c r="J25" s="3">
        <f t="shared" si="1"/>
        <v>0</v>
      </c>
      <c r="K25" s="3">
        <f t="shared" si="1"/>
        <v>0</v>
      </c>
      <c r="L25" s="3">
        <f t="shared" si="1"/>
        <v>0</v>
      </c>
      <c r="M25" s="3">
        <f t="shared" si="1"/>
        <v>354134</v>
      </c>
      <c r="N25" s="3">
        <f t="shared" si="1"/>
        <v>0</v>
      </c>
      <c r="O25" s="3">
        <f t="shared" si="1"/>
        <v>0</v>
      </c>
      <c r="P25" s="3">
        <f t="shared" si="1"/>
        <v>0</v>
      </c>
      <c r="Q25" s="3">
        <f t="shared" si="1"/>
        <v>0</v>
      </c>
      <c r="R25" s="3">
        <f t="shared" si="1"/>
        <v>0</v>
      </c>
      <c r="S25" s="3">
        <f t="shared" si="1"/>
        <v>0</v>
      </c>
      <c r="T25" s="3">
        <f t="shared" si="1"/>
        <v>0</v>
      </c>
      <c r="U25" s="3">
        <f t="shared" si="1"/>
        <v>0</v>
      </c>
      <c r="V25" s="3">
        <f t="shared" si="1"/>
        <v>0</v>
      </c>
      <c r="W25" s="3">
        <f t="shared" si="1"/>
        <v>0</v>
      </c>
      <c r="X25" s="3">
        <f t="shared" si="1"/>
        <v>0</v>
      </c>
      <c r="Y25" s="3">
        <f t="shared" si="1"/>
        <v>0</v>
      </c>
      <c r="Z25" s="3">
        <f t="shared" si="1"/>
        <v>0</v>
      </c>
      <c r="AA25" s="3">
        <f t="shared" si="1"/>
        <v>0</v>
      </c>
      <c r="AB25" s="3">
        <f t="shared" si="1"/>
        <v>0</v>
      </c>
      <c r="AC25" s="3">
        <f t="shared" si="1"/>
        <v>0</v>
      </c>
      <c r="AD25" s="3">
        <f t="shared" si="1"/>
        <v>0</v>
      </c>
      <c r="AE25" s="3">
        <f t="shared" si="1"/>
        <v>0</v>
      </c>
      <c r="AF25" s="3">
        <f t="shared" si="1"/>
        <v>0</v>
      </c>
      <c r="AG25" s="3">
        <f t="shared" si="1"/>
        <v>0</v>
      </c>
      <c r="AH25" s="3">
        <f t="shared" si="1"/>
        <v>773752</v>
      </c>
      <c r="AI25" s="3">
        <f t="shared" si="1"/>
        <v>0</v>
      </c>
      <c r="AJ25" s="3">
        <f t="shared" si="1"/>
        <v>0</v>
      </c>
    </row>
    <row r="26" spans="1:38" x14ac:dyDescent="0.35">
      <c r="A26" s="2" t="s">
        <v>1780</v>
      </c>
      <c r="D26" s="3">
        <f>SUM(D6:D22)</f>
        <v>1568535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38" x14ac:dyDescent="0.35">
      <c r="A27" s="2" t="s">
        <v>2</v>
      </c>
      <c r="F27" s="3"/>
      <c r="G27" s="3"/>
      <c r="H27" s="3"/>
      <c r="I27" s="3"/>
      <c r="J27" s="3"/>
      <c r="K27" s="3"/>
      <c r="L27" s="3" t="s">
        <v>13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38" ht="15" thickBot="1" x14ac:dyDescent="0.4">
      <c r="A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38" x14ac:dyDescent="0.35">
      <c r="A29" s="36" t="s">
        <v>1136</v>
      </c>
      <c r="B29" s="66" t="s">
        <v>1181</v>
      </c>
      <c r="C29" s="38" t="s">
        <v>13</v>
      </c>
      <c r="D29" s="313">
        <f ca="1">+'MAR-21'!AK19*0.17+('ABR-21'!AJ18+'MAY-21'!AK16+'JUN-21'!AK14+'JUL-21'!AK28+'AGO-21'!AK22+'SEP-21'!AK14+'OCT-21'!AK19)*0.17</f>
        <v>309430.03333333333</v>
      </c>
      <c r="E29" s="22" t="s">
        <v>13</v>
      </c>
      <c r="F29" s="3"/>
      <c r="G29" s="3"/>
      <c r="H29" s="3"/>
      <c r="I29" s="3"/>
      <c r="J29" s="3"/>
      <c r="K29" s="3"/>
      <c r="L29" s="3"/>
      <c r="M29" s="3"/>
      <c r="N29" s="3"/>
      <c r="O29" s="3">
        <v>309430.03333333333</v>
      </c>
      <c r="P29" s="3" t="s">
        <v>13</v>
      </c>
      <c r="Q29" s="3"/>
      <c r="R29" s="3"/>
      <c r="S29" s="3"/>
      <c r="T29" s="3"/>
      <c r="U29" s="3"/>
      <c r="V29" s="3"/>
      <c r="W29" s="3"/>
      <c r="AK29" s="3">
        <f>SUM($F29:AJ29)</f>
        <v>309430.03333333333</v>
      </c>
      <c r="AL29" s="6" t="s">
        <v>13</v>
      </c>
    </row>
    <row r="30" spans="1:38" x14ac:dyDescent="0.35">
      <c r="A30" s="41" t="s">
        <v>1140</v>
      </c>
      <c r="B30" t="s">
        <v>337</v>
      </c>
      <c r="C30" s="5" t="s">
        <v>13</v>
      </c>
      <c r="D30" s="74">
        <f>+'Jun-22'!D35</f>
        <v>242556.17000000004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AK30" s="3">
        <f>SUM($F30:AJ30)</f>
        <v>0</v>
      </c>
    </row>
    <row r="31" spans="1:38" ht="15" thickBot="1" x14ac:dyDescent="0.4">
      <c r="A31" s="41" t="s">
        <v>1141</v>
      </c>
      <c r="B31" t="s">
        <v>337</v>
      </c>
      <c r="C31" s="5" t="s">
        <v>13</v>
      </c>
      <c r="D31" s="74">
        <f>+'Jul-22'!D34</f>
        <v>534883.75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AK31" s="3">
        <f>SUM($F31:AJ31)</f>
        <v>0</v>
      </c>
    </row>
    <row r="32" spans="1:38" ht="15" thickBot="1" x14ac:dyDescent="0.4">
      <c r="A32" s="88" t="s">
        <v>1843</v>
      </c>
      <c r="B32" s="89" t="s">
        <v>337</v>
      </c>
      <c r="C32" s="351">
        <v>44803</v>
      </c>
      <c r="D32" s="355">
        <f>+'Ago-22'!AK24*0.17</f>
        <v>191740.62000000002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AK32" s="3">
        <f>SUM($F32:AJ32)</f>
        <v>0</v>
      </c>
      <c r="AL32" s="6" t="s">
        <v>1846</v>
      </c>
    </row>
    <row r="33" spans="1:38" x14ac:dyDescent="0.35">
      <c r="A33" s="343" t="s">
        <v>629</v>
      </c>
      <c r="B33" s="24" t="s">
        <v>337</v>
      </c>
      <c r="C33" s="67"/>
      <c r="D33" s="74">
        <v>500000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AK33" s="3">
        <f>SUM($F33:AJ33)</f>
        <v>0</v>
      </c>
    </row>
    <row r="34" spans="1:38" x14ac:dyDescent="0.35">
      <c r="A34" s="343" t="s">
        <v>952</v>
      </c>
      <c r="B34" s="24" t="s">
        <v>337</v>
      </c>
      <c r="C34" s="5"/>
      <c r="D34" s="74">
        <v>2400000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K34" s="3">
        <f>SUM($F34:AJ34)</f>
        <v>0</v>
      </c>
    </row>
    <row r="35" spans="1:38" x14ac:dyDescent="0.35">
      <c r="A35" s="343" t="s">
        <v>1008</v>
      </c>
      <c r="B35" s="24" t="s">
        <v>337</v>
      </c>
      <c r="C35" s="5"/>
      <c r="D35" s="74">
        <v>2400000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K35" s="3">
        <f>SUM($F35:AJ35)</f>
        <v>0</v>
      </c>
    </row>
    <row r="36" spans="1:38" x14ac:dyDescent="0.35">
      <c r="A36" s="343" t="s">
        <v>857</v>
      </c>
      <c r="B36" s="24"/>
      <c r="C36" s="67">
        <v>44761</v>
      </c>
      <c r="D36" s="74">
        <f>12.9*1150/9+1100+1068+1736</f>
        <v>5552.333333333333</v>
      </c>
      <c r="E36" s="15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/>
      <c r="AG36" s="3"/>
      <c r="AJ36" s="3">
        <f>12.9*1150/9+1100+1068+1736</f>
        <v>5552.333333333333</v>
      </c>
      <c r="AK36" s="3">
        <f>SUM($F36:AJ36)</f>
        <v>5552.333333333333</v>
      </c>
      <c r="AL36" s="22" t="s">
        <v>13</v>
      </c>
    </row>
    <row r="37" spans="1:38" x14ac:dyDescent="0.35">
      <c r="A37" s="343" t="s">
        <v>908</v>
      </c>
      <c r="B37" s="24"/>
      <c r="C37" s="67">
        <v>44763</v>
      </c>
      <c r="D37" s="74">
        <f>6.9*2*1150/9+2000</f>
        <v>3763.333333333333</v>
      </c>
      <c r="E37" s="15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Y37" s="3"/>
      <c r="AG37" s="3"/>
      <c r="AJ37" s="3">
        <f>6.9*2*1150/9+2000</f>
        <v>3763.333333333333</v>
      </c>
      <c r="AK37" s="3">
        <f>SUM($F37:AJ37)</f>
        <v>3763.333333333333</v>
      </c>
      <c r="AL37" s="22" t="s">
        <v>13</v>
      </c>
    </row>
    <row r="38" spans="1:38" x14ac:dyDescent="0.35">
      <c r="A38" s="343" t="s">
        <v>920</v>
      </c>
      <c r="B38" s="24" t="s">
        <v>1172</v>
      </c>
      <c r="C38" s="67">
        <v>44770</v>
      </c>
      <c r="D38" s="74">
        <v>9066</v>
      </c>
      <c r="E38" s="153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Y38" s="3"/>
      <c r="AG38" s="3"/>
      <c r="AJ38" s="3">
        <v>9066</v>
      </c>
      <c r="AK38" s="3">
        <f>SUM($F38:AJ38)</f>
        <v>9066</v>
      </c>
      <c r="AL38" s="22" t="s">
        <v>13</v>
      </c>
    </row>
    <row r="39" spans="1:38" x14ac:dyDescent="0.35">
      <c r="A39" s="343" t="s">
        <v>920</v>
      </c>
      <c r="B39" s="24">
        <v>84705</v>
      </c>
      <c r="C39" s="67">
        <v>44771</v>
      </c>
      <c r="D39" s="74">
        <v>7740</v>
      </c>
      <c r="E39" s="153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Y39" s="3"/>
      <c r="AG39" s="3"/>
      <c r="AJ39" s="3">
        <v>7740</v>
      </c>
      <c r="AK39" s="3">
        <f>SUM($F39:AJ39)</f>
        <v>7740</v>
      </c>
      <c r="AL39" s="22" t="s">
        <v>13</v>
      </c>
    </row>
    <row r="40" spans="1:38" ht="15" thickBot="1" x14ac:dyDescent="0.4">
      <c r="A40" s="345" t="s">
        <v>1093</v>
      </c>
      <c r="B40" s="44" t="s">
        <v>1237</v>
      </c>
      <c r="C40" s="346">
        <v>44771</v>
      </c>
      <c r="D40" s="119">
        <v>16660</v>
      </c>
      <c r="E40" s="15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  <c r="AG40" s="3"/>
      <c r="AK40" s="3"/>
      <c r="AL40" s="22" t="s">
        <v>13</v>
      </c>
    </row>
    <row r="41" spans="1:38" x14ac:dyDescent="0.35">
      <c r="A41" s="4" t="s">
        <v>1205</v>
      </c>
      <c r="B41" s="24" t="s">
        <v>1206</v>
      </c>
      <c r="C41" s="67">
        <v>44776</v>
      </c>
      <c r="D41" s="3">
        <v>142860</v>
      </c>
      <c r="E41" s="15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AG41" s="3"/>
      <c r="AK41" s="3">
        <f>SUM($F41:AJ41)</f>
        <v>0</v>
      </c>
      <c r="AL41" s="22"/>
    </row>
    <row r="42" spans="1:38" x14ac:dyDescent="0.35">
      <c r="A42" s="4" t="s">
        <v>1176</v>
      </c>
      <c r="C42" s="67">
        <v>44778</v>
      </c>
      <c r="D42" s="3">
        <v>13905</v>
      </c>
      <c r="E42" s="153"/>
      <c r="F42" s="3"/>
      <c r="G42" s="3"/>
      <c r="H42" s="3"/>
      <c r="I42" s="3"/>
      <c r="J42" s="3">
        <v>13904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G42" s="3"/>
      <c r="AK42" s="3">
        <f>SUM($F42:AJ42)</f>
        <v>13904</v>
      </c>
      <c r="AL42" s="22" t="s">
        <v>1557</v>
      </c>
    </row>
    <row r="43" spans="1:38" x14ac:dyDescent="0.35">
      <c r="A43" s="4" t="s">
        <v>857</v>
      </c>
      <c r="B43" s="24"/>
      <c r="C43" s="67">
        <v>44778</v>
      </c>
      <c r="D43" s="3">
        <f>12.9*1150/9+1100+1068+1736</f>
        <v>5552.333333333333</v>
      </c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AG43" s="3"/>
      <c r="AJ43" s="3">
        <f>12.9*1150/9+1100+1068+1736</f>
        <v>5552.333333333333</v>
      </c>
      <c r="AK43" s="3">
        <f>SUM($F43:AJ43)</f>
        <v>5552.333333333333</v>
      </c>
      <c r="AL43" s="22" t="s">
        <v>81</v>
      </c>
    </row>
    <row r="44" spans="1:38" x14ac:dyDescent="0.35">
      <c r="A44" s="4" t="s">
        <v>1249</v>
      </c>
      <c r="B44" s="24"/>
      <c r="C44" s="67">
        <v>44781</v>
      </c>
      <c r="D44" s="3">
        <f>1440*1.19*40*(2-1)</f>
        <v>68544</v>
      </c>
      <c r="E44" s="15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AG44" s="3"/>
      <c r="AJ44" s="3"/>
      <c r="AK44" s="3"/>
      <c r="AL44" s="22" t="s">
        <v>83</v>
      </c>
    </row>
    <row r="45" spans="1:38" x14ac:dyDescent="0.35">
      <c r="A45" s="290" t="s">
        <v>1179</v>
      </c>
      <c r="B45" s="291" t="s">
        <v>1180</v>
      </c>
      <c r="C45" s="292">
        <v>44781</v>
      </c>
      <c r="D45" s="7">
        <v>126142</v>
      </c>
      <c r="E45" s="153"/>
      <c r="F45" s="3"/>
      <c r="G45" s="3"/>
      <c r="H45" s="3"/>
      <c r="I45" s="3"/>
      <c r="J45" s="3"/>
      <c r="K45" s="3"/>
      <c r="L45" s="3"/>
      <c r="M45" s="3" t="s">
        <v>13</v>
      </c>
      <c r="N45" s="3"/>
      <c r="O45" s="3" t="s">
        <v>13</v>
      </c>
      <c r="P45" s="3"/>
      <c r="Q45" s="3"/>
      <c r="R45" s="3"/>
      <c r="S45" s="3"/>
      <c r="T45" s="3"/>
      <c r="U45" s="3"/>
      <c r="V45" s="3"/>
      <c r="W45" s="3"/>
      <c r="Y45" s="3"/>
      <c r="AG45" s="3"/>
      <c r="AK45" s="3">
        <f>SUM($F45:AJ45)</f>
        <v>0</v>
      </c>
      <c r="AL45" s="22" t="s">
        <v>83</v>
      </c>
    </row>
    <row r="46" spans="1:38" x14ac:dyDescent="0.35">
      <c r="A46" s="4" t="s">
        <v>1197</v>
      </c>
      <c r="B46" s="24" t="s">
        <v>1198</v>
      </c>
      <c r="C46" s="67">
        <v>44781</v>
      </c>
      <c r="D46" s="71">
        <v>290360</v>
      </c>
      <c r="E46" s="153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G46" s="3"/>
      <c r="AK46" s="3">
        <f>SUM($F46:AJ46)</f>
        <v>0</v>
      </c>
      <c r="AL46" s="22" t="s">
        <v>82</v>
      </c>
    </row>
    <row r="47" spans="1:38" x14ac:dyDescent="0.35">
      <c r="A47" s="4" t="s">
        <v>1309</v>
      </c>
      <c r="B47" t="s">
        <v>1310</v>
      </c>
      <c r="C47" s="67">
        <v>44782</v>
      </c>
      <c r="D47" s="3">
        <v>928200</v>
      </c>
      <c r="E47" s="15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G47" s="3"/>
      <c r="AK47" s="3"/>
      <c r="AL47" s="22" t="s">
        <v>82</v>
      </c>
    </row>
    <row r="48" spans="1:38" x14ac:dyDescent="0.35">
      <c r="A48" s="4" t="s">
        <v>1309</v>
      </c>
      <c r="B48" t="s">
        <v>1311</v>
      </c>
      <c r="C48" s="67">
        <v>44782</v>
      </c>
      <c r="D48" s="3">
        <v>742203</v>
      </c>
      <c r="E48" s="15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AG48" s="3"/>
      <c r="AK48" s="3"/>
      <c r="AL48" s="22" t="s">
        <v>82</v>
      </c>
    </row>
    <row r="49" spans="1:47" x14ac:dyDescent="0.35">
      <c r="A49" s="4" t="s">
        <v>1309</v>
      </c>
      <c r="B49" t="s">
        <v>1312</v>
      </c>
      <c r="C49" s="67">
        <v>44782</v>
      </c>
      <c r="D49" s="3">
        <v>673088</v>
      </c>
      <c r="E49" s="15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G49" s="3"/>
      <c r="AK49" s="3"/>
      <c r="AL49" s="22" t="s">
        <v>82</v>
      </c>
    </row>
    <row r="50" spans="1:47" x14ac:dyDescent="0.35">
      <c r="A50" s="4" t="s">
        <v>748</v>
      </c>
      <c r="B50" s="24"/>
      <c r="C50" s="67">
        <v>44782</v>
      </c>
      <c r="D50" s="3">
        <v>1092</v>
      </c>
      <c r="E50" s="153"/>
      <c r="F50" s="3"/>
      <c r="G50" s="3"/>
      <c r="H50" s="3"/>
      <c r="I50" s="3"/>
      <c r="J50" s="3"/>
      <c r="K50" s="3"/>
      <c r="L50" s="3"/>
      <c r="M50" s="3"/>
      <c r="N50" s="3"/>
      <c r="O50" s="3">
        <v>1092</v>
      </c>
      <c r="P50" s="3"/>
      <c r="Q50" s="3"/>
      <c r="R50" s="3"/>
      <c r="S50" s="3"/>
      <c r="T50" s="3"/>
      <c r="U50" s="3"/>
      <c r="V50" s="3"/>
      <c r="W50" s="3"/>
      <c r="Y50" s="3"/>
      <c r="AG50" s="3"/>
      <c r="AK50" s="3">
        <f>SUM($F50:AJ50)</f>
        <v>1092</v>
      </c>
      <c r="AL50" s="22" t="s">
        <v>13</v>
      </c>
    </row>
    <row r="51" spans="1:47" x14ac:dyDescent="0.35">
      <c r="A51" s="4" t="s">
        <v>1285</v>
      </c>
      <c r="B51" s="24" t="s">
        <v>1286</v>
      </c>
      <c r="C51" s="67">
        <v>44783</v>
      </c>
      <c r="D51" s="3">
        <f>(1500+900)*10*1.19</f>
        <v>28560</v>
      </c>
      <c r="E51" s="15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AG51" s="3"/>
      <c r="AK51" s="3"/>
      <c r="AL51" s="22" t="s">
        <v>83</v>
      </c>
    </row>
    <row r="52" spans="1:47" x14ac:dyDescent="0.35">
      <c r="A52" s="4" t="s">
        <v>1182</v>
      </c>
      <c r="B52" s="24" t="s">
        <v>1183</v>
      </c>
      <c r="C52" s="67">
        <v>44784</v>
      </c>
      <c r="D52" s="3">
        <v>84294</v>
      </c>
      <c r="E52" s="153"/>
      <c r="F52" s="3"/>
      <c r="G52" s="3"/>
      <c r="H52" s="3"/>
      <c r="I52" s="3"/>
      <c r="J52" s="3"/>
      <c r="K52" s="3"/>
      <c r="L52" s="3"/>
      <c r="M52" s="3"/>
      <c r="N52" s="3"/>
      <c r="O52" s="3">
        <v>84294</v>
      </c>
      <c r="P52" s="3"/>
      <c r="Q52" s="3"/>
      <c r="R52" s="3"/>
      <c r="S52" s="3"/>
      <c r="T52" s="3"/>
      <c r="U52" s="3"/>
      <c r="V52" s="3"/>
      <c r="W52" s="3"/>
      <c r="Y52" s="3"/>
      <c r="AG52" s="3"/>
      <c r="AK52" s="3">
        <f>SUM($F52:AJ52)</f>
        <v>84294</v>
      </c>
      <c r="AL52" s="376" t="s">
        <v>83</v>
      </c>
      <c r="AU52" t="s">
        <v>13</v>
      </c>
    </row>
    <row r="53" spans="1:47" x14ac:dyDescent="0.35">
      <c r="A53" s="4" t="s">
        <v>844</v>
      </c>
      <c r="B53" s="24"/>
      <c r="C53" s="67">
        <v>44784</v>
      </c>
      <c r="D53" s="3">
        <f>13.9*1150/9+2000</f>
        <v>3776.1111111111113</v>
      </c>
      <c r="E53" s="15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AG53" s="3"/>
      <c r="AJ53" s="3">
        <f>13.9*1150/9+2000</f>
        <v>3776.1111111111113</v>
      </c>
      <c r="AK53" s="3">
        <f>SUM($F53:AJ53)</f>
        <v>3776.1111111111113</v>
      </c>
      <c r="AL53" s="22" t="s">
        <v>81</v>
      </c>
      <c r="AP53" s="4" t="s">
        <v>13</v>
      </c>
      <c r="AQ53" s="24" t="s">
        <v>13</v>
      </c>
      <c r="AR53" s="67" t="s">
        <v>13</v>
      </c>
      <c r="AS53" s="3" t="s">
        <v>13</v>
      </c>
      <c r="AT53" s="153" t="s">
        <v>13</v>
      </c>
      <c r="AU53" t="s">
        <v>13</v>
      </c>
    </row>
    <row r="54" spans="1:47" x14ac:dyDescent="0.35">
      <c r="A54" s="4" t="s">
        <v>857</v>
      </c>
      <c r="B54" s="24"/>
      <c r="C54" s="67">
        <v>44784</v>
      </c>
      <c r="D54" s="3">
        <f>12.9*1150/9+1100+1068+1736</f>
        <v>5552.333333333333</v>
      </c>
      <c r="E54" s="15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AG54" s="3"/>
      <c r="AJ54" s="3">
        <f>12.9*1150/9+1100+1068+1736</f>
        <v>5552.333333333333</v>
      </c>
      <c r="AK54" s="3">
        <f>SUM($F54:AJ54)</f>
        <v>5552.333333333333</v>
      </c>
      <c r="AL54" s="22" t="s">
        <v>81</v>
      </c>
      <c r="AP54" s="4" t="s">
        <v>13</v>
      </c>
      <c r="AQ54" s="24" t="s">
        <v>13</v>
      </c>
      <c r="AR54" s="67" t="s">
        <v>13</v>
      </c>
      <c r="AS54" s="3" t="s">
        <v>13</v>
      </c>
      <c r="AT54" s="153" t="s">
        <v>13</v>
      </c>
    </row>
    <row r="55" spans="1:47" x14ac:dyDescent="0.35">
      <c r="A55" s="4" t="s">
        <v>908</v>
      </c>
      <c r="B55" s="24"/>
      <c r="C55" s="67">
        <v>44784</v>
      </c>
      <c r="D55" s="3">
        <f>6.9*2*1150/9+2000</f>
        <v>3763.333333333333</v>
      </c>
      <c r="E55" s="15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AG55" s="3"/>
      <c r="AJ55" s="3">
        <f>6.9*2*1150/9+2000</f>
        <v>3763.333333333333</v>
      </c>
      <c r="AK55" s="3">
        <f>SUM($F55:AJ55)</f>
        <v>3763.333333333333</v>
      </c>
      <c r="AL55" s="22" t="s">
        <v>81</v>
      </c>
      <c r="AP55" s="4" t="s">
        <v>13</v>
      </c>
      <c r="AQ55" s="24" t="s">
        <v>13</v>
      </c>
      <c r="AR55" s="67" t="s">
        <v>13</v>
      </c>
      <c r="AS55" s="3" t="s">
        <v>13</v>
      </c>
      <c r="AT55" s="153" t="s">
        <v>13</v>
      </c>
    </row>
    <row r="56" spans="1:47" x14ac:dyDescent="0.35">
      <c r="A56" s="4" t="s">
        <v>1161</v>
      </c>
      <c r="B56" s="24" t="s">
        <v>1194</v>
      </c>
      <c r="C56" s="5">
        <v>44784</v>
      </c>
      <c r="D56" s="71">
        <v>24280</v>
      </c>
      <c r="E56" s="153" t="s">
        <v>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G56" s="3"/>
      <c r="AK56" s="3">
        <f>SUM($F56:AJ56)</f>
        <v>0</v>
      </c>
      <c r="AL56" s="22" t="s">
        <v>83</v>
      </c>
      <c r="AP56" s="4" t="s">
        <v>13</v>
      </c>
      <c r="AQ56" s="24" t="s">
        <v>13</v>
      </c>
      <c r="AR56" s="67" t="s">
        <v>13</v>
      </c>
      <c r="AS56" s="3" t="s">
        <v>13</v>
      </c>
      <c r="AT56" s="153" t="s">
        <v>13</v>
      </c>
    </row>
    <row r="57" spans="1:47" x14ac:dyDescent="0.35">
      <c r="A57" s="4" t="s">
        <v>1195</v>
      </c>
      <c r="B57" s="24" t="s">
        <v>1196</v>
      </c>
      <c r="C57" s="67">
        <v>44784</v>
      </c>
      <c r="D57" s="71">
        <v>35990</v>
      </c>
      <c r="E57" s="153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G57" s="3"/>
      <c r="AK57" s="3">
        <f>SUM($F57:AJ57)</f>
        <v>0</v>
      </c>
      <c r="AL57" s="22" t="s">
        <v>82</v>
      </c>
      <c r="AP57" s="4" t="s">
        <v>13</v>
      </c>
      <c r="AQ57" s="24" t="s">
        <v>13</v>
      </c>
      <c r="AR57" s="67" t="s">
        <v>13</v>
      </c>
      <c r="AS57" s="3" t="s">
        <v>13</v>
      </c>
      <c r="AT57" s="153" t="s">
        <v>13</v>
      </c>
    </row>
    <row r="58" spans="1:47" x14ac:dyDescent="0.35">
      <c r="A58" s="4" t="s">
        <v>1201</v>
      </c>
      <c r="B58" s="24" t="s">
        <v>1202</v>
      </c>
      <c r="C58" s="67">
        <v>44785</v>
      </c>
      <c r="D58" s="71">
        <v>12670</v>
      </c>
      <c r="E58" s="153" t="s">
        <v>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G58" s="3"/>
      <c r="AK58" s="3">
        <f>SUM($F58:AJ58)</f>
        <v>0</v>
      </c>
      <c r="AL58" s="22" t="s">
        <v>82</v>
      </c>
      <c r="AP58" s="4" t="s">
        <v>13</v>
      </c>
      <c r="AQ58" s="24" t="s">
        <v>13</v>
      </c>
      <c r="AR58" s="67" t="s">
        <v>13</v>
      </c>
      <c r="AS58" s="3" t="s">
        <v>13</v>
      </c>
      <c r="AT58" s="153" t="s">
        <v>13</v>
      </c>
    </row>
    <row r="59" spans="1:47" x14ac:dyDescent="0.35">
      <c r="A59" s="4" t="s">
        <v>1203</v>
      </c>
      <c r="B59" s="24" t="s">
        <v>1204</v>
      </c>
      <c r="C59" s="67">
        <v>44785</v>
      </c>
      <c r="D59" s="71">
        <v>1790</v>
      </c>
      <c r="E59" s="153" t="s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G59" s="3"/>
      <c r="AK59" s="3">
        <f>SUM($F59:AJ59)</f>
        <v>0</v>
      </c>
      <c r="AL59" s="22" t="s">
        <v>82</v>
      </c>
      <c r="AP59" s="4" t="s">
        <v>13</v>
      </c>
      <c r="AQ59" s="24" t="s">
        <v>13</v>
      </c>
      <c r="AR59" s="67" t="s">
        <v>13</v>
      </c>
      <c r="AS59" s="3" t="s">
        <v>13</v>
      </c>
      <c r="AT59" s="153" t="s">
        <v>13</v>
      </c>
    </row>
    <row r="60" spans="1:47" x14ac:dyDescent="0.35">
      <c r="A60" s="4" t="s">
        <v>1207</v>
      </c>
      <c r="B60" s="24"/>
      <c r="C60" s="67">
        <v>44790</v>
      </c>
      <c r="D60" s="3">
        <f>(52.1+20.3+67.5)*1150/9+6000</f>
        <v>23876.111111111109</v>
      </c>
      <c r="E60" s="15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G60" s="3"/>
      <c r="AJ60" s="3">
        <f>(52.1+20.3+67.5)*1150/9+6000</f>
        <v>23876.111111111109</v>
      </c>
      <c r="AK60" s="3">
        <f>SUM($F60:AJ60)</f>
        <v>23876.111111111109</v>
      </c>
      <c r="AL60" s="22" t="s">
        <v>81</v>
      </c>
      <c r="AP60" s="4" t="s">
        <v>13</v>
      </c>
      <c r="AQ60" s="24" t="s">
        <v>13</v>
      </c>
      <c r="AR60" s="67" t="s">
        <v>13</v>
      </c>
      <c r="AS60" s="3" t="s">
        <v>13</v>
      </c>
      <c r="AT60" s="153" t="s">
        <v>13</v>
      </c>
    </row>
    <row r="61" spans="1:47" x14ac:dyDescent="0.35">
      <c r="A61" s="290" t="s">
        <v>1208</v>
      </c>
      <c r="B61" s="291" t="s">
        <v>1355</v>
      </c>
      <c r="C61" s="292">
        <v>44790</v>
      </c>
      <c r="D61" s="7">
        <v>114240</v>
      </c>
      <c r="E61" s="15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G61" s="3"/>
      <c r="AK61" s="3">
        <f>SUM($F61:AJ61)</f>
        <v>0</v>
      </c>
      <c r="AL61" s="22" t="s">
        <v>83</v>
      </c>
    </row>
    <row r="62" spans="1:47" x14ac:dyDescent="0.35">
      <c r="A62" s="4" t="s">
        <v>1161</v>
      </c>
      <c r="B62" s="24" t="s">
        <v>1217</v>
      </c>
      <c r="C62" s="5">
        <v>44791</v>
      </c>
      <c r="D62" s="3">
        <v>13921</v>
      </c>
      <c r="E62" s="153" t="s">
        <v>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G62" s="3"/>
      <c r="AJ62" s="3">
        <v>13921</v>
      </c>
      <c r="AK62" s="3">
        <f>SUM($F62:AJ62)</f>
        <v>13921</v>
      </c>
      <c r="AL62" s="22" t="s">
        <v>83</v>
      </c>
    </row>
    <row r="63" spans="1:47" x14ac:dyDescent="0.35">
      <c r="A63" s="4" t="s">
        <v>1218</v>
      </c>
      <c r="B63" s="24" t="s">
        <v>1219</v>
      </c>
      <c r="C63" s="67">
        <v>44791</v>
      </c>
      <c r="D63" s="71">
        <v>10990</v>
      </c>
      <c r="E63" s="153" t="s">
        <v>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G63" s="3"/>
      <c r="AK63" s="3">
        <f>SUM($F63:AJ63)</f>
        <v>0</v>
      </c>
      <c r="AL63" s="22" t="s">
        <v>82</v>
      </c>
    </row>
    <row r="64" spans="1:47" x14ac:dyDescent="0.35">
      <c r="A64" s="4" t="s">
        <v>1221</v>
      </c>
      <c r="B64" s="24" t="s">
        <v>1220</v>
      </c>
      <c r="C64" s="67">
        <v>44791</v>
      </c>
      <c r="D64" s="71">
        <v>2990</v>
      </c>
      <c r="E64" s="153" t="s">
        <v>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AG64" s="3"/>
      <c r="AK64" s="3">
        <f>SUM($F64:AJ64)</f>
        <v>0</v>
      </c>
      <c r="AL64" s="22" t="s">
        <v>81</v>
      </c>
    </row>
    <row r="65" spans="1:41" x14ac:dyDescent="0.35">
      <c r="A65" s="4" t="s">
        <v>908</v>
      </c>
      <c r="B65" s="24"/>
      <c r="C65" s="67">
        <v>44791</v>
      </c>
      <c r="D65" s="3">
        <f>6.9*2*1150/9+2000</f>
        <v>3763.333333333333</v>
      </c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AG65" s="3"/>
      <c r="AJ65" s="3">
        <f>6.9*2*1150/9+2000</f>
        <v>3763.333333333333</v>
      </c>
      <c r="AK65" s="3">
        <f>SUM($F65:AJ65)</f>
        <v>3763.333333333333</v>
      </c>
      <c r="AL65" s="22" t="s">
        <v>81</v>
      </c>
    </row>
    <row r="66" spans="1:41" x14ac:dyDescent="0.35">
      <c r="A66" s="4" t="s">
        <v>857</v>
      </c>
      <c r="B66" s="24"/>
      <c r="C66" s="67">
        <v>44791</v>
      </c>
      <c r="D66" s="3">
        <f>12.9*1150/9+1100+1068+1736</f>
        <v>5552.333333333333</v>
      </c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AG66" s="3"/>
      <c r="AJ66" s="3">
        <f>12.9*1150/9+1100+1068+1736</f>
        <v>5552.333333333333</v>
      </c>
      <c r="AK66" s="3">
        <f>SUM($F66:AJ66)</f>
        <v>5552.333333333333</v>
      </c>
      <c r="AL66" s="22" t="s">
        <v>81</v>
      </c>
    </row>
    <row r="67" spans="1:41" x14ac:dyDescent="0.35">
      <c r="A67" s="4" t="s">
        <v>844</v>
      </c>
      <c r="B67" s="24"/>
      <c r="C67" s="67">
        <v>44799</v>
      </c>
      <c r="D67" s="3">
        <f>13.9*1150/9+2000</f>
        <v>3776.1111111111113</v>
      </c>
      <c r="E67" s="15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AG67" s="3"/>
      <c r="AJ67" s="3">
        <f>13.9*1150/9+2000</f>
        <v>3776.1111111111113</v>
      </c>
      <c r="AK67" s="3">
        <f>SUM($F67:AJ67)</f>
        <v>3776.1111111111113</v>
      </c>
      <c r="AL67" s="22" t="s">
        <v>81</v>
      </c>
    </row>
    <row r="68" spans="1:41" x14ac:dyDescent="0.35">
      <c r="A68" s="4" t="s">
        <v>920</v>
      </c>
      <c r="B68" s="24" t="s">
        <v>1236</v>
      </c>
      <c r="C68" s="67">
        <v>44799</v>
      </c>
      <c r="D68" s="3">
        <v>11984</v>
      </c>
      <c r="E68" s="153" t="s">
        <v>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AG68" s="3"/>
      <c r="AJ68" s="3"/>
      <c r="AK68" s="3">
        <f>SUM($F68:AJ68)</f>
        <v>0</v>
      </c>
      <c r="AL68" s="22" t="s">
        <v>83</v>
      </c>
    </row>
    <row r="69" spans="1:41" x14ac:dyDescent="0.35">
      <c r="A69" s="4"/>
      <c r="B69" s="24"/>
      <c r="C69" s="67"/>
      <c r="D69" s="3"/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AG69" s="3"/>
      <c r="AJ69" s="3"/>
      <c r="AK69" s="3"/>
      <c r="AL69" s="22"/>
    </row>
    <row r="70" spans="1:41" x14ac:dyDescent="0.35">
      <c r="A70" s="4" t="s">
        <v>1174</v>
      </c>
      <c r="B70" s="24">
        <f>95.69/8</f>
        <v>11.96125</v>
      </c>
      <c r="C70" s="67">
        <v>44775</v>
      </c>
      <c r="D70" s="3">
        <f>+B70*D72</f>
        <v>399943.292525</v>
      </c>
      <c r="E70" s="153"/>
      <c r="F70" s="3"/>
      <c r="G70" s="288">
        <f>+D70</f>
        <v>399943.292525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G70" s="3" t="s">
        <v>13</v>
      </c>
      <c r="AH70" s="3" t="s">
        <v>13</v>
      </c>
      <c r="AK70" s="3">
        <f>SUM($F70:AJ70)</f>
        <v>399943.292525</v>
      </c>
      <c r="AL70" s="22" t="s">
        <v>13</v>
      </c>
      <c r="AO70" s="6" t="s">
        <v>1674</v>
      </c>
    </row>
    <row r="71" spans="1:41" ht="15" thickBot="1" x14ac:dyDescent="0.4">
      <c r="A71" s="4" t="s">
        <v>1175</v>
      </c>
      <c r="B71" s="24">
        <f>92.58/8</f>
        <v>11.5725</v>
      </c>
      <c r="C71" s="67">
        <v>44775</v>
      </c>
      <c r="D71" s="3">
        <f>+B71*D72</f>
        <v>386944.82205000002</v>
      </c>
      <c r="E71" s="153"/>
      <c r="F71" s="3"/>
      <c r="G71" s="288">
        <f>+D71</f>
        <v>386944.82205000002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AG71" s="3" t="s">
        <v>13</v>
      </c>
      <c r="AH71" s="3" t="s">
        <v>13</v>
      </c>
      <c r="AK71" s="3">
        <f>SUM($F71:AJ71)</f>
        <v>386944.82205000002</v>
      </c>
      <c r="AL71" s="22" t="s">
        <v>13</v>
      </c>
      <c r="AM71" t="s">
        <v>317</v>
      </c>
      <c r="AN71" s="64">
        <f>+[2]Hoja1!$L$94+[3]Hoja1!$L$45</f>
        <v>490</v>
      </c>
      <c r="AO71" s="64">
        <f>+[3]Hoja1!$L$45</f>
        <v>270</v>
      </c>
    </row>
    <row r="72" spans="1:41" x14ac:dyDescent="0.35">
      <c r="A72" s="4"/>
      <c r="B72" s="24"/>
      <c r="C72" s="67" t="s">
        <v>933</v>
      </c>
      <c r="D72" s="236">
        <v>33436.58</v>
      </c>
      <c r="E72" s="15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AJ72" s="3"/>
      <c r="AK72" s="3">
        <f>SUM($F72:AJ72)</f>
        <v>0</v>
      </c>
      <c r="AL72" s="22"/>
      <c r="AM72" s="11" t="s">
        <v>91</v>
      </c>
      <c r="AN72" s="53">
        <f>+D25/1.19</f>
        <v>897228.57142857148</v>
      </c>
      <c r="AO72" s="53">
        <f>+SUMIF(E11:E25,"MD",D11:D25)/1.19</f>
        <v>175048.73949579833</v>
      </c>
    </row>
    <row r="73" spans="1:41" x14ac:dyDescent="0.35">
      <c r="A73" s="4"/>
      <c r="B73" s="24"/>
      <c r="C73" s="67"/>
      <c r="D73" s="236"/>
      <c r="E73" s="15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AJ73" s="3"/>
      <c r="AK73" s="3">
        <f>SUM($F73:AJ73)</f>
        <v>0</v>
      </c>
      <c r="AL73" s="22"/>
      <c r="AM73" s="14" t="s">
        <v>1558</v>
      </c>
      <c r="AN73" s="15">
        <f>+SUMIF(AL41:AL77,"CD",D41:D77)/1.19</f>
        <v>396609.24369747902</v>
      </c>
      <c r="AO73" s="15">
        <f>+AN73*AO$71/AN$71</f>
        <v>218539.78734350885</v>
      </c>
    </row>
    <row r="74" spans="1:41" x14ac:dyDescent="0.35">
      <c r="A74" s="4" t="s">
        <v>1173</v>
      </c>
      <c r="B74" s="24">
        <f>95.69/8</f>
        <v>11.96125</v>
      </c>
      <c r="C74" s="67">
        <v>44801</v>
      </c>
      <c r="D74" s="3">
        <f>+B74*D76</f>
        <v>404364.05091249995</v>
      </c>
      <c r="E74" s="15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  <c r="AH74" s="3">
        <f>+D74</f>
        <v>404364.05091249995</v>
      </c>
      <c r="AJ74" s="3"/>
      <c r="AK74" s="3">
        <f>SUM($F74:AJ74)</f>
        <v>404364.05091249995</v>
      </c>
      <c r="AL74" s="22" t="s">
        <v>1557</v>
      </c>
      <c r="AM74" s="14" t="s">
        <v>1559</v>
      </c>
      <c r="AN74" s="15">
        <f>+AN72-AN73</f>
        <v>500619.32773109246</v>
      </c>
      <c r="AO74" s="15">
        <f>+AO72-AO73</f>
        <v>-43491.047847710521</v>
      </c>
    </row>
    <row r="75" spans="1:41" x14ac:dyDescent="0.35">
      <c r="A75" s="4" t="s">
        <v>1222</v>
      </c>
      <c r="B75" s="24">
        <f>92.58/8</f>
        <v>11.5725</v>
      </c>
      <c r="C75" s="67">
        <v>44801</v>
      </c>
      <c r="D75" s="3">
        <f>+B75*D76</f>
        <v>391221.90232499997</v>
      </c>
      <c r="E75" s="15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Y75" s="3"/>
      <c r="AH75" s="3">
        <f>+D75</f>
        <v>391221.90232499997</v>
      </c>
      <c r="AJ75" s="3"/>
      <c r="AK75" s="3">
        <f>SUM($F75:AJ75)</f>
        <v>391221.90232499997</v>
      </c>
      <c r="AL75" s="22" t="s">
        <v>1557</v>
      </c>
      <c r="AM75" s="14" t="s">
        <v>1560</v>
      </c>
      <c r="AN75" s="327">
        <f>+AN74/AN72</f>
        <v>0.55796186576404272</v>
      </c>
      <c r="AO75" s="327">
        <f>+AO74/AO72</f>
        <v>-0.24845107695708046</v>
      </c>
    </row>
    <row r="76" spans="1:41" x14ac:dyDescent="0.35">
      <c r="A76" s="4"/>
      <c r="B76" s="24"/>
      <c r="C76" s="67" t="s">
        <v>933</v>
      </c>
      <c r="D76" s="236">
        <v>33806.17</v>
      </c>
      <c r="E76" s="15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  <c r="AJ76" s="3"/>
      <c r="AK76" s="3"/>
      <c r="AL76" s="22"/>
      <c r="AM76" s="14" t="s">
        <v>81</v>
      </c>
      <c r="AN76" s="15">
        <f>+SUMIF(AL29:AL77,"GAV",D29:D77)/1.19+SUMIF(AL29:AL77,"REM",D29:D77)</f>
        <v>240985.99815126054</v>
      </c>
      <c r="AO76" s="375">
        <f>+AN76*AO$71/AN$71+(600000+300000)*0.5*4/9</f>
        <v>332788.20306293946</v>
      </c>
    </row>
    <row r="77" spans="1:41" x14ac:dyDescent="0.35">
      <c r="A77" s="4"/>
      <c r="B77" s="24"/>
      <c r="C77" s="67"/>
      <c r="D77" s="236"/>
      <c r="E77" s="15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  <c r="AJ77" s="3"/>
      <c r="AK77" s="3"/>
      <c r="AL77" s="22"/>
      <c r="AM77" s="14" t="s">
        <v>1561</v>
      </c>
      <c r="AN77" s="15">
        <f>+AN74-AN76</f>
        <v>259633.32957983192</v>
      </c>
      <c r="AO77" s="15">
        <f>+AO74-AO76</f>
        <v>-376279.25091065001</v>
      </c>
    </row>
    <row r="78" spans="1:41" x14ac:dyDescent="0.35">
      <c r="A78" s="4"/>
      <c r="B78" s="24"/>
      <c r="C78" s="67"/>
      <c r="D78" s="236"/>
      <c r="E78" s="15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Y78" s="3"/>
      <c r="AJ78" s="3"/>
      <c r="AK78" s="3"/>
      <c r="AL78" s="22"/>
      <c r="AM78" s="14" t="s">
        <v>1563</v>
      </c>
      <c r="AN78" s="15">
        <f>+SUMIF(AL41:AL77,"GF",D41:D77)</f>
        <v>809490.95323749993</v>
      </c>
      <c r="AO78" s="15">
        <v>0</v>
      </c>
    </row>
    <row r="79" spans="1:41" x14ac:dyDescent="0.35">
      <c r="A79" s="4"/>
      <c r="B79" s="24"/>
      <c r="C79" s="67"/>
      <c r="D79" s="236"/>
      <c r="E79" s="15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Y79" s="3"/>
      <c r="AJ79" s="3"/>
      <c r="AK79" s="3"/>
      <c r="AL79" s="22"/>
      <c r="AM79" s="14" t="s">
        <v>82</v>
      </c>
      <c r="AN79" s="15">
        <v>0</v>
      </c>
      <c r="AO79" s="15">
        <f>+SUMIF(AL41:AL77,"AF",D41:D77)/1.19</f>
        <v>2264950.4201680673</v>
      </c>
    </row>
    <row r="80" spans="1:41" ht="15" thickBot="1" x14ac:dyDescent="0.4">
      <c r="A80" s="4"/>
      <c r="B80" s="24"/>
      <c r="C80" s="67"/>
      <c r="D80" s="236"/>
      <c r="E80" s="15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Y80" s="3"/>
      <c r="AJ80" s="3"/>
      <c r="AK80" s="3"/>
      <c r="AL80" s="22"/>
      <c r="AM80" s="16"/>
      <c r="AN80" s="19">
        <f>+AN77-AN78-AN79</f>
        <v>-549857.62365766801</v>
      </c>
      <c r="AO80" s="19">
        <f>+AO77-AO78</f>
        <v>-376279.25091065001</v>
      </c>
    </row>
    <row r="81" spans="1:41" x14ac:dyDescent="0.35">
      <c r="A81" s="2" t="s">
        <v>9</v>
      </c>
      <c r="D81" s="3" t="s">
        <v>13</v>
      </c>
      <c r="F81" s="3">
        <f t="shared" ref="F81:AJ81" si="2">SUM(F29:F78)</f>
        <v>0</v>
      </c>
      <c r="G81" s="3">
        <f t="shared" si="2"/>
        <v>786888.11457500001</v>
      </c>
      <c r="H81" s="3">
        <f t="shared" si="2"/>
        <v>0</v>
      </c>
      <c r="I81" s="3">
        <f t="shared" si="2"/>
        <v>0</v>
      </c>
      <c r="J81" s="3">
        <f t="shared" si="2"/>
        <v>13904</v>
      </c>
      <c r="K81" s="3">
        <f t="shared" si="2"/>
        <v>0</v>
      </c>
      <c r="L81" s="3">
        <f t="shared" si="2"/>
        <v>0</v>
      </c>
      <c r="M81" s="3">
        <f t="shared" si="2"/>
        <v>0</v>
      </c>
      <c r="N81" s="3">
        <f t="shared" si="2"/>
        <v>0</v>
      </c>
      <c r="O81" s="3">
        <f t="shared" si="2"/>
        <v>394816.03333333333</v>
      </c>
      <c r="P81" s="3">
        <f t="shared" si="2"/>
        <v>0</v>
      </c>
      <c r="Q81" s="3">
        <f t="shared" si="2"/>
        <v>0</v>
      </c>
      <c r="R81" s="3">
        <f t="shared" si="2"/>
        <v>0</v>
      </c>
      <c r="S81" s="3">
        <f t="shared" si="2"/>
        <v>0</v>
      </c>
      <c r="T81" s="3">
        <f t="shared" si="2"/>
        <v>0</v>
      </c>
      <c r="U81" s="3">
        <f t="shared" si="2"/>
        <v>0</v>
      </c>
      <c r="V81" s="3">
        <f t="shared" si="2"/>
        <v>0</v>
      </c>
      <c r="W81" s="3">
        <f t="shared" si="2"/>
        <v>0</v>
      </c>
      <c r="X81" s="3">
        <f t="shared" si="2"/>
        <v>0</v>
      </c>
      <c r="Y81" s="3">
        <f t="shared" si="2"/>
        <v>0</v>
      </c>
      <c r="Z81" s="3">
        <f t="shared" si="2"/>
        <v>0</v>
      </c>
      <c r="AA81" s="3">
        <f t="shared" si="2"/>
        <v>0</v>
      </c>
      <c r="AB81" s="3">
        <f t="shared" si="2"/>
        <v>0</v>
      </c>
      <c r="AC81" s="3">
        <f t="shared" si="2"/>
        <v>0</v>
      </c>
      <c r="AD81" s="3">
        <f t="shared" si="2"/>
        <v>0</v>
      </c>
      <c r="AE81" s="3">
        <f t="shared" si="2"/>
        <v>0</v>
      </c>
      <c r="AF81" s="3">
        <f t="shared" si="2"/>
        <v>0</v>
      </c>
      <c r="AG81" s="3">
        <f t="shared" si="2"/>
        <v>0</v>
      </c>
      <c r="AH81" s="3">
        <f t="shared" si="2"/>
        <v>795585.95323749993</v>
      </c>
      <c r="AI81" s="3">
        <f t="shared" si="2"/>
        <v>0</v>
      </c>
      <c r="AJ81" s="3">
        <f t="shared" si="2"/>
        <v>95654.666666666657</v>
      </c>
      <c r="AK81" s="72">
        <f>SUM(AK29:AK75)</f>
        <v>2086848.7678124998</v>
      </c>
    </row>
    <row r="82" spans="1:41" x14ac:dyDescent="0.35">
      <c r="A82" t="s">
        <v>8</v>
      </c>
      <c r="F82" s="3">
        <f t="shared" ref="F82:AI82" si="3">+F25+F3-F81</f>
        <v>959823.91959585657</v>
      </c>
      <c r="G82" s="3">
        <f t="shared" si="3"/>
        <v>172935.80502085655</v>
      </c>
      <c r="H82" s="3">
        <f t="shared" si="3"/>
        <v>172935.80502085655</v>
      </c>
      <c r="I82" s="3">
        <f t="shared" si="3"/>
        <v>172935.80502085655</v>
      </c>
      <c r="J82" s="3">
        <f t="shared" si="3"/>
        <v>159031.80502085655</v>
      </c>
      <c r="K82" s="3">
        <f t="shared" si="3"/>
        <v>159031.80502085655</v>
      </c>
      <c r="L82" s="3">
        <f t="shared" si="3"/>
        <v>159031.80502085655</v>
      </c>
      <c r="M82" s="3">
        <f t="shared" si="3"/>
        <v>513165.80502085655</v>
      </c>
      <c r="N82" s="3">
        <f t="shared" si="3"/>
        <v>513165.80502085655</v>
      </c>
      <c r="O82" s="3">
        <f t="shared" si="3"/>
        <v>118349.77168752323</v>
      </c>
      <c r="P82" s="3">
        <f t="shared" si="3"/>
        <v>118349.77168752323</v>
      </c>
      <c r="Q82" s="3">
        <f t="shared" si="3"/>
        <v>118349.77168752323</v>
      </c>
      <c r="R82" s="3">
        <f t="shared" si="3"/>
        <v>118349.77168752323</v>
      </c>
      <c r="S82" s="3">
        <f t="shared" si="3"/>
        <v>118349.77168752323</v>
      </c>
      <c r="T82" s="3">
        <f t="shared" si="3"/>
        <v>118349.77168752323</v>
      </c>
      <c r="U82" s="3">
        <f t="shared" si="3"/>
        <v>118349.77168752323</v>
      </c>
      <c r="V82" s="3">
        <f t="shared" si="3"/>
        <v>118349.77168752323</v>
      </c>
      <c r="W82" s="3">
        <f t="shared" si="3"/>
        <v>118349.77168752323</v>
      </c>
      <c r="X82" s="3">
        <f t="shared" si="3"/>
        <v>118349.77168752323</v>
      </c>
      <c r="Y82" s="3">
        <f t="shared" si="3"/>
        <v>118349.77168752323</v>
      </c>
      <c r="Z82" s="3">
        <f t="shared" si="3"/>
        <v>118349.77168752323</v>
      </c>
      <c r="AA82" s="3">
        <f t="shared" si="3"/>
        <v>118349.77168752323</v>
      </c>
      <c r="AB82" s="3">
        <f t="shared" si="3"/>
        <v>118349.77168752323</v>
      </c>
      <c r="AC82" s="3">
        <f t="shared" si="3"/>
        <v>118349.77168752323</v>
      </c>
      <c r="AD82" s="3">
        <f t="shared" si="3"/>
        <v>118349.77168752323</v>
      </c>
      <c r="AE82" s="3">
        <f t="shared" si="3"/>
        <v>118349.77168752323</v>
      </c>
      <c r="AF82" s="3">
        <f t="shared" si="3"/>
        <v>118349.77168752323</v>
      </c>
      <c r="AG82" s="3">
        <f t="shared" si="3"/>
        <v>118349.77168752323</v>
      </c>
      <c r="AH82" s="3">
        <f t="shared" si="3"/>
        <v>96515.818450023304</v>
      </c>
      <c r="AI82" s="3">
        <f t="shared" si="3"/>
        <v>96515.818450023304</v>
      </c>
      <c r="AJ82" s="3">
        <f>+AJ3+AJ25-AJ81</f>
        <v>861.15178335664677</v>
      </c>
      <c r="AK82" s="3" t="s">
        <v>13</v>
      </c>
      <c r="AM82" t="s">
        <v>1960</v>
      </c>
      <c r="AN82" s="3">
        <f>+AN80</f>
        <v>-549857.62365766801</v>
      </c>
      <c r="AO82" s="3">
        <f>+AO80</f>
        <v>-376279.25091065001</v>
      </c>
    </row>
    <row r="83" spans="1:41" x14ac:dyDescent="0.35">
      <c r="F83" s="3"/>
      <c r="G83" s="3"/>
      <c r="H83" s="3"/>
      <c r="I83" s="3" t="s">
        <v>13</v>
      </c>
      <c r="J83" s="3"/>
      <c r="K83" s="3"/>
      <c r="L83" s="3"/>
      <c r="M83" s="3"/>
      <c r="N83" s="3"/>
      <c r="O83" s="3"/>
      <c r="P83" s="3" t="s">
        <v>13</v>
      </c>
      <c r="Q83" s="3"/>
      <c r="R83" s="3"/>
      <c r="S83" s="3"/>
      <c r="T83" s="3" t="s">
        <v>13</v>
      </c>
      <c r="U83" s="3"/>
      <c r="V83" s="3"/>
      <c r="W83" s="3"/>
      <c r="Y83" s="3" t="s">
        <v>13</v>
      </c>
      <c r="AA83" s="3" t="s">
        <v>13</v>
      </c>
      <c r="AB83" s="3" t="s">
        <v>13</v>
      </c>
    </row>
    <row r="84" spans="1:41" x14ac:dyDescent="0.35">
      <c r="B84" t="s">
        <v>13</v>
      </c>
      <c r="F84" s="3"/>
      <c r="G84" s="3"/>
      <c r="H84" s="3" t="s">
        <v>13</v>
      </c>
      <c r="I84" s="3"/>
      <c r="J84" s="3"/>
      <c r="K84" s="3"/>
      <c r="L84" s="3"/>
      <c r="M84" s="3"/>
      <c r="N84" s="3"/>
      <c r="O84" s="3"/>
      <c r="P84" s="3" t="s">
        <v>13</v>
      </c>
      <c r="Q84" s="3" t="s">
        <v>13</v>
      </c>
      <c r="R84" s="3" t="s">
        <v>13</v>
      </c>
      <c r="S84" s="3"/>
      <c r="T84" s="3"/>
      <c r="U84" s="3" t="s">
        <v>13</v>
      </c>
      <c r="V84" s="3"/>
      <c r="W84" s="3"/>
      <c r="AB84" s="3" t="s">
        <v>13</v>
      </c>
      <c r="AG84" s="3" t="s">
        <v>13</v>
      </c>
      <c r="AJ84" s="3" t="s">
        <v>13</v>
      </c>
    </row>
    <row r="85" spans="1:41" x14ac:dyDescent="0.35">
      <c r="B85" s="5" t="s">
        <v>13</v>
      </c>
      <c r="D85" s="236" t="s">
        <v>13</v>
      </c>
      <c r="F85" s="3"/>
      <c r="G85" s="3" t="s">
        <v>13</v>
      </c>
      <c r="H85" s="3" t="s">
        <v>13</v>
      </c>
      <c r="I85" s="3"/>
      <c r="J85" s="3"/>
      <c r="K85" s="3"/>
      <c r="L85" s="3"/>
      <c r="M85" s="3"/>
      <c r="N85" s="3"/>
      <c r="O85" s="3"/>
      <c r="P85" s="3"/>
      <c r="S85" s="3"/>
      <c r="T85" s="3" t="s">
        <v>13</v>
      </c>
      <c r="U85" s="3"/>
      <c r="V85" s="3"/>
      <c r="W85" s="3"/>
      <c r="AB85" s="3" t="s">
        <v>13</v>
      </c>
    </row>
    <row r="86" spans="1:41" x14ac:dyDescent="0.35">
      <c r="A86" s="5" t="s">
        <v>13</v>
      </c>
      <c r="B86" s="236" t="s">
        <v>13</v>
      </c>
      <c r="C86" s="236" t="s">
        <v>13</v>
      </c>
      <c r="F86" s="3"/>
      <c r="G86" s="3" t="s">
        <v>13</v>
      </c>
      <c r="H86" s="3"/>
      <c r="I86" s="3"/>
      <c r="J86" s="3"/>
      <c r="K86" s="3"/>
      <c r="L86" s="3"/>
      <c r="M86" s="3"/>
      <c r="N86" s="3"/>
      <c r="O86" s="3"/>
      <c r="P86" s="3"/>
      <c r="S86" s="3"/>
      <c r="T86" s="3"/>
      <c r="U86" s="3"/>
      <c r="V86" s="3"/>
      <c r="W86" s="3" t="s">
        <v>13</v>
      </c>
      <c r="AB86" s="3" t="s">
        <v>13</v>
      </c>
    </row>
    <row r="87" spans="1:41" x14ac:dyDescent="0.35">
      <c r="B87" t="s">
        <v>13</v>
      </c>
      <c r="C87" t="s">
        <v>13</v>
      </c>
      <c r="D87" s="236" t="s">
        <v>13</v>
      </c>
      <c r="F87" s="3">
        <f>2000000/(1-0.1525)</f>
        <v>2359882.005899705</v>
      </c>
      <c r="G87" s="3" t="s">
        <v>13</v>
      </c>
      <c r="H87" s="3"/>
      <c r="I87" s="3"/>
      <c r="J87" s="3"/>
      <c r="K87" s="3"/>
      <c r="L87" s="3"/>
      <c r="M87" s="3"/>
      <c r="N87" s="3"/>
      <c r="O87" s="3"/>
      <c r="P87" s="3" t="s">
        <v>13</v>
      </c>
      <c r="Q87" s="3"/>
      <c r="R87" s="3"/>
      <c r="S87" s="3"/>
      <c r="T87" s="3"/>
      <c r="U87" s="3"/>
      <c r="V87" s="3" t="s">
        <v>13</v>
      </c>
      <c r="W87" s="3"/>
      <c r="AB87" s="3" t="s">
        <v>13</v>
      </c>
      <c r="AC87" s="59" t="s">
        <v>13</v>
      </c>
      <c r="AD87" t="s">
        <v>13</v>
      </c>
      <c r="AE87" t="s">
        <v>13</v>
      </c>
    </row>
    <row r="88" spans="1:41" ht="15.5" x14ac:dyDescent="0.35">
      <c r="B88" t="s">
        <v>13</v>
      </c>
      <c r="C88" s="236" t="s">
        <v>13</v>
      </c>
      <c r="D88" s="286" t="s">
        <v>13</v>
      </c>
      <c r="F88" s="287" t="s">
        <v>13</v>
      </c>
      <c r="G88" s="3" t="s">
        <v>13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AB88" s="3" t="s">
        <v>13</v>
      </c>
      <c r="AC88" t="s">
        <v>13</v>
      </c>
    </row>
    <row r="89" spans="1:41" x14ac:dyDescent="0.35">
      <c r="B89" t="s">
        <v>13</v>
      </c>
      <c r="C89" t="s">
        <v>13</v>
      </c>
      <c r="D89" t="s">
        <v>13</v>
      </c>
      <c r="F89" s="3" t="s">
        <v>13</v>
      </c>
      <c r="G89" s="3" t="s">
        <v>13</v>
      </c>
      <c r="H89" s="3" t="s">
        <v>13</v>
      </c>
      <c r="I89" s="3"/>
      <c r="J89" s="3"/>
      <c r="AC89" s="59" t="s">
        <v>13</v>
      </c>
    </row>
    <row r="90" spans="1:41" x14ac:dyDescent="0.35">
      <c r="B90" t="s">
        <v>13</v>
      </c>
      <c r="D90" t="s">
        <v>13</v>
      </c>
      <c r="F90" s="3"/>
      <c r="G90" s="3" t="s">
        <v>13</v>
      </c>
      <c r="H90" s="3"/>
      <c r="I90" s="3"/>
      <c r="J90" s="3"/>
      <c r="AB90" t="s">
        <v>13</v>
      </c>
      <c r="AC90" t="s">
        <v>13</v>
      </c>
    </row>
    <row r="91" spans="1:41" x14ac:dyDescent="0.35">
      <c r="B91" t="s">
        <v>13</v>
      </c>
      <c r="F91" s="3"/>
      <c r="G91" s="3" t="s">
        <v>13</v>
      </c>
      <c r="H91" s="3"/>
      <c r="I91" s="3"/>
      <c r="J91" s="3"/>
    </row>
    <row r="92" spans="1:41" x14ac:dyDescent="0.35">
      <c r="B92" t="s">
        <v>13</v>
      </c>
      <c r="F92" s="3"/>
      <c r="G92" s="3" t="s">
        <v>13</v>
      </c>
      <c r="H92" s="3"/>
      <c r="I92" s="3"/>
      <c r="J92" s="3"/>
    </row>
    <row r="93" spans="1:41" x14ac:dyDescent="0.35">
      <c r="B93" t="s">
        <v>13</v>
      </c>
      <c r="F93" s="3"/>
      <c r="G93" s="3" t="s">
        <v>13</v>
      </c>
      <c r="H93" s="3"/>
      <c r="I93" s="3"/>
      <c r="J93" s="3"/>
    </row>
    <row r="94" spans="1:41" x14ac:dyDescent="0.35">
      <c r="B94" t="s">
        <v>13</v>
      </c>
      <c r="F94" s="3"/>
      <c r="G94" s="3" t="s">
        <v>13</v>
      </c>
      <c r="H94" s="3"/>
      <c r="I94" s="3"/>
      <c r="J94" s="3"/>
    </row>
  </sheetData>
  <sortState xmlns:xlrd2="http://schemas.microsoft.com/office/spreadsheetml/2017/richdata2" ref="A39:AL61">
    <sortCondition ref="C39:C61"/>
  </sortState>
  <pageMargins left="0.7" right="0.7" top="0.75" bottom="0.75" header="0.3" footer="0.3"/>
  <pageSetup orientation="portrait" horizontalDpi="360" verticalDpi="360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AO95"/>
  <sheetViews>
    <sheetView workbookViewId="0"/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0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  <col min="39" max="39" width="14.81640625" customWidth="1"/>
  </cols>
  <sheetData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44805</v>
      </c>
      <c r="G2" s="1">
        <v>44806</v>
      </c>
      <c r="H2" s="1">
        <v>44807</v>
      </c>
      <c r="I2" s="1">
        <v>44808</v>
      </c>
      <c r="J2" s="1">
        <v>44809</v>
      </c>
      <c r="K2" s="1">
        <v>44810</v>
      </c>
      <c r="L2" s="1">
        <v>44811</v>
      </c>
      <c r="M2" s="1">
        <v>44812</v>
      </c>
      <c r="N2" s="1">
        <v>44813</v>
      </c>
      <c r="O2" s="1">
        <v>44814</v>
      </c>
      <c r="P2" s="1">
        <v>44815</v>
      </c>
      <c r="Q2" s="1">
        <v>44816</v>
      </c>
      <c r="R2" s="1">
        <v>44817</v>
      </c>
      <c r="S2" s="1">
        <v>44818</v>
      </c>
      <c r="T2" s="1">
        <v>44819</v>
      </c>
      <c r="U2" s="1">
        <v>44820</v>
      </c>
      <c r="V2" s="1">
        <v>44821</v>
      </c>
      <c r="W2" s="1">
        <v>44822</v>
      </c>
      <c r="X2" s="1">
        <v>44823</v>
      </c>
      <c r="Y2" s="1">
        <v>44824</v>
      </c>
      <c r="Z2" s="1">
        <v>44825</v>
      </c>
      <c r="AA2" s="1">
        <v>44826</v>
      </c>
      <c r="AB2" s="1">
        <v>44827</v>
      </c>
      <c r="AC2" s="1">
        <v>44828</v>
      </c>
      <c r="AD2" s="1">
        <v>44829</v>
      </c>
      <c r="AE2" s="1">
        <v>44830</v>
      </c>
      <c r="AF2" s="1">
        <v>44831</v>
      </c>
      <c r="AG2" s="1">
        <v>44832</v>
      </c>
      <c r="AH2" s="1">
        <v>44833</v>
      </c>
      <c r="AI2" s="1">
        <v>44834</v>
      </c>
      <c r="AJ2" s="1" t="s">
        <v>13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+'Ago-22'!AJ82</f>
        <v>861.15178335664677</v>
      </c>
      <c r="G3" s="3">
        <f>+F83</f>
        <v>861.15178335664677</v>
      </c>
      <c r="H3" s="3">
        <f t="shared" ref="H3:AJ3" si="0">+G83</f>
        <v>861.15178335664677</v>
      </c>
      <c r="I3" s="3">
        <f t="shared" si="0"/>
        <v>861.15178335664677</v>
      </c>
      <c r="J3" s="3">
        <f t="shared" si="0"/>
        <v>861.15178335664677</v>
      </c>
      <c r="K3" s="3">
        <f t="shared" si="0"/>
        <v>861.15178335664677</v>
      </c>
      <c r="L3" s="3">
        <f t="shared" si="0"/>
        <v>861.15178335664677</v>
      </c>
      <c r="M3" s="3">
        <f t="shared" si="0"/>
        <v>861.15178335664677</v>
      </c>
      <c r="N3" s="3">
        <f t="shared" si="0"/>
        <v>2630.1517833566468</v>
      </c>
      <c r="O3" s="3">
        <f t="shared" si="0"/>
        <v>2630.1517833566468</v>
      </c>
      <c r="P3" s="3">
        <f t="shared" si="0"/>
        <v>2630.1517833566468</v>
      </c>
      <c r="Q3" s="3">
        <f t="shared" si="0"/>
        <v>2630.1517833566468</v>
      </c>
      <c r="R3" s="3">
        <f t="shared" si="0"/>
        <v>2630.1517833566468</v>
      </c>
      <c r="S3" s="3">
        <f t="shared" si="0"/>
        <v>119994.15178335665</v>
      </c>
      <c r="T3" s="3">
        <f t="shared" si="0"/>
        <v>119994.15178335665</v>
      </c>
      <c r="U3" s="3">
        <f t="shared" si="0"/>
        <v>94994.151783356647</v>
      </c>
      <c r="V3" s="3">
        <f t="shared" si="0"/>
        <v>94994.151783356647</v>
      </c>
      <c r="W3" s="3">
        <f t="shared" si="0"/>
        <v>94994.151783356647</v>
      </c>
      <c r="X3" s="3">
        <f t="shared" si="0"/>
        <v>94994.151783356647</v>
      </c>
      <c r="Y3" s="3">
        <f t="shared" si="0"/>
        <v>94994.151783356647</v>
      </c>
      <c r="Z3" s="3">
        <f t="shared" si="0"/>
        <v>75280.151783356647</v>
      </c>
      <c r="AA3" s="3">
        <f t="shared" si="0"/>
        <v>462155.15178335668</v>
      </c>
      <c r="AB3" s="3">
        <f t="shared" si="0"/>
        <v>462155.15178335668</v>
      </c>
      <c r="AC3" s="3">
        <f t="shared" si="0"/>
        <v>331255.15178335668</v>
      </c>
      <c r="AD3" s="3">
        <f t="shared" si="0"/>
        <v>331255.15178335668</v>
      </c>
      <c r="AE3" s="3">
        <f t="shared" si="0"/>
        <v>331255.15178335668</v>
      </c>
      <c r="AF3" s="3">
        <f t="shared" si="0"/>
        <v>331255.15178335668</v>
      </c>
      <c r="AG3" s="3">
        <f t="shared" si="0"/>
        <v>283871.15178335668</v>
      </c>
      <c r="AH3" s="3">
        <f t="shared" si="0"/>
        <v>283871.15178335668</v>
      </c>
      <c r="AI3" s="3">
        <f t="shared" si="0"/>
        <v>255311.15178335668</v>
      </c>
      <c r="AJ3" s="3">
        <f t="shared" si="0"/>
        <v>255311.15178335668</v>
      </c>
      <c r="AK3" s="3" t="s">
        <v>13</v>
      </c>
      <c r="AL3" s="6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ht="15" thickBot="1" x14ac:dyDescent="0.4">
      <c r="A5" t="s">
        <v>895</v>
      </c>
      <c r="B5" t="s">
        <v>886</v>
      </c>
      <c r="C5" s="5">
        <v>44618</v>
      </c>
      <c r="D5" s="3">
        <v>56708</v>
      </c>
      <c r="E5" s="6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8" x14ac:dyDescent="0.35">
      <c r="A6" s="36" t="s">
        <v>995</v>
      </c>
      <c r="B6" s="66" t="s">
        <v>992</v>
      </c>
      <c r="C6" s="38">
        <v>44687</v>
      </c>
      <c r="D6" s="313">
        <v>146700</v>
      </c>
      <c r="F6" s="3" t="s">
        <v>13</v>
      </c>
      <c r="G6" s="3"/>
      <c r="H6" s="3"/>
      <c r="I6" s="3"/>
      <c r="J6" s="3"/>
      <c r="K6" s="3"/>
      <c r="L6" s="3"/>
      <c r="M6" s="3">
        <v>146700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 t="s">
        <v>13</v>
      </c>
      <c r="AG6" s="3" t="s">
        <v>13</v>
      </c>
      <c r="AH6" s="3"/>
      <c r="AI6" s="3"/>
      <c r="AJ6" s="3"/>
      <c r="AK6" s="3">
        <f>SUM($F6:AJ6)</f>
        <v>146700</v>
      </c>
      <c r="AL6" s="22"/>
    </row>
    <row r="7" spans="1:38" x14ac:dyDescent="0.35">
      <c r="A7" s="41" t="s">
        <v>1199</v>
      </c>
      <c r="B7" t="s">
        <v>1200</v>
      </c>
      <c r="C7" s="5">
        <v>44785</v>
      </c>
      <c r="D7" s="74">
        <v>208308</v>
      </c>
      <c r="E7" s="6" t="s">
        <v>1345</v>
      </c>
      <c r="F7" s="3"/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SUM($F7:AJ7)</f>
        <v>0</v>
      </c>
    </row>
    <row r="8" spans="1:38" x14ac:dyDescent="0.35">
      <c r="A8" s="41" t="s">
        <v>1223</v>
      </c>
      <c r="B8" t="s">
        <v>1224</v>
      </c>
      <c r="C8" s="5">
        <v>44799</v>
      </c>
      <c r="D8" s="74">
        <v>85642</v>
      </c>
      <c r="E8" s="6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">
        <v>13</v>
      </c>
      <c r="R8" s="3">
        <v>85642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85642</v>
      </c>
    </row>
    <row r="9" spans="1:38" x14ac:dyDescent="0.35">
      <c r="A9" s="41" t="s">
        <v>1227</v>
      </c>
      <c r="B9" t="s">
        <v>1228</v>
      </c>
      <c r="C9" s="5">
        <v>44803</v>
      </c>
      <c r="D9" s="74">
        <v>44308</v>
      </c>
      <c r="E9" s="6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s">
        <v>13</v>
      </c>
      <c r="R9" s="3">
        <v>44308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f>SUM($F9:AJ9)</f>
        <v>44308</v>
      </c>
    </row>
    <row r="10" spans="1:38" ht="15" thickBot="1" x14ac:dyDescent="0.4">
      <c r="A10" s="43" t="s">
        <v>1229</v>
      </c>
      <c r="B10" s="76" t="s">
        <v>1230</v>
      </c>
      <c r="C10" s="45">
        <v>44803</v>
      </c>
      <c r="D10" s="119">
        <v>44308</v>
      </c>
      <c r="E10" s="6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">
        <v>13</v>
      </c>
      <c r="R10" s="3">
        <v>44308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f>SUM($F10:AJ10)</f>
        <v>44308</v>
      </c>
    </row>
    <row r="11" spans="1:38" x14ac:dyDescent="0.35">
      <c r="A11" t="s">
        <v>1231</v>
      </c>
      <c r="B11" t="s">
        <v>1232</v>
      </c>
      <c r="C11" s="5">
        <v>44806</v>
      </c>
      <c r="D11" s="3">
        <v>126975</v>
      </c>
      <c r="E11" s="6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13</v>
      </c>
      <c r="R11" s="3"/>
      <c r="S11" s="3"/>
      <c r="T11" s="3"/>
      <c r="U11" s="3"/>
      <c r="V11" s="3"/>
      <c r="W11" s="3"/>
      <c r="X11" s="3"/>
      <c r="Y11" s="3"/>
      <c r="Z11" s="3">
        <v>126975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>
        <f>SUM($F11:AJ11)</f>
        <v>126975</v>
      </c>
    </row>
    <row r="12" spans="1:38" x14ac:dyDescent="0.35">
      <c r="A12" t="s">
        <v>1233</v>
      </c>
      <c r="B12" t="s">
        <v>1234</v>
      </c>
      <c r="C12" s="5">
        <v>44806</v>
      </c>
      <c r="D12" s="3">
        <v>85642</v>
      </c>
      <c r="E12" s="6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s">
        <v>13</v>
      </c>
      <c r="R12" s="3"/>
      <c r="S12" s="3"/>
      <c r="T12" s="3"/>
      <c r="U12" s="3"/>
      <c r="V12" s="3"/>
      <c r="W12" s="3"/>
      <c r="X12" s="3"/>
      <c r="Y12" s="3"/>
      <c r="Z12" s="3">
        <v>85642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>
        <f>SUM($F12:AJ12)</f>
        <v>85642</v>
      </c>
    </row>
    <row r="13" spans="1:38" x14ac:dyDescent="0.35">
      <c r="A13" t="s">
        <v>1247</v>
      </c>
      <c r="B13" t="s">
        <v>1246</v>
      </c>
      <c r="C13" s="5">
        <v>44807</v>
      </c>
      <c r="D13" s="3">
        <v>169343</v>
      </c>
      <c r="E13" s="6" t="s">
        <v>1345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>
        <f>SUM($F13:AJ13)</f>
        <v>0</v>
      </c>
    </row>
    <row r="14" spans="1:38" x14ac:dyDescent="0.35">
      <c r="A14" t="s">
        <v>1240</v>
      </c>
      <c r="B14" t="s">
        <v>1241</v>
      </c>
      <c r="C14" s="5">
        <v>44813</v>
      </c>
      <c r="D14" s="3">
        <v>85642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85642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f>SUM($F14:AJ14)</f>
        <v>85642</v>
      </c>
    </row>
    <row r="15" spans="1:38" x14ac:dyDescent="0.35">
      <c r="A15" t="s">
        <v>1242</v>
      </c>
      <c r="B15" t="s">
        <v>1243</v>
      </c>
      <c r="C15" s="5">
        <v>44813</v>
      </c>
      <c r="D15" s="3">
        <v>44308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44308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f>SUM($F15:AJ15)</f>
        <v>44308</v>
      </c>
    </row>
    <row r="16" spans="1:38" x14ac:dyDescent="0.35">
      <c r="A16" t="s">
        <v>1244</v>
      </c>
      <c r="B16" t="s">
        <v>1245</v>
      </c>
      <c r="C16" s="5">
        <v>44813</v>
      </c>
      <c r="D16" s="3">
        <v>44308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>
        <v>44308</v>
      </c>
      <c r="AK16" s="3">
        <f>SUM($F16:AJ16)</f>
        <v>44308</v>
      </c>
      <c r="AL16" s="22" t="s">
        <v>13</v>
      </c>
    </row>
    <row r="17" spans="1:38" x14ac:dyDescent="0.35">
      <c r="A17" t="s">
        <v>1306</v>
      </c>
      <c r="B17" t="s">
        <v>1305</v>
      </c>
      <c r="C17" s="5">
        <v>44817</v>
      </c>
      <c r="D17" s="3">
        <v>107766</v>
      </c>
      <c r="E17" s="6" t="s">
        <v>1345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K17" s="3">
        <f>SUM($F17:AJ17)</f>
        <v>0</v>
      </c>
      <c r="AL17" s="22"/>
    </row>
    <row r="18" spans="1:38" x14ac:dyDescent="0.35">
      <c r="A18" t="s">
        <v>1255</v>
      </c>
      <c r="B18" t="s">
        <v>1256</v>
      </c>
      <c r="C18" s="5">
        <v>44819</v>
      </c>
      <c r="D18" s="3">
        <v>85642</v>
      </c>
      <c r="E18" s="6" t="s">
        <v>782</v>
      </c>
      <c r="F18" s="3"/>
      <c r="G18" s="3"/>
      <c r="H18" s="3"/>
      <c r="I18" s="3"/>
      <c r="J18" s="3" t="s">
        <v>13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K18" s="3">
        <f>SUM($F18:AJ18)</f>
        <v>0</v>
      </c>
      <c r="AL18" s="22"/>
    </row>
    <row r="19" spans="1:38" x14ac:dyDescent="0.35">
      <c r="A19" t="s">
        <v>1257</v>
      </c>
      <c r="B19" t="s">
        <v>1258</v>
      </c>
      <c r="C19" s="5">
        <v>44819</v>
      </c>
      <c r="D19" s="3">
        <v>85642</v>
      </c>
      <c r="E19" s="6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AK19" s="3">
        <f>SUM($F19:AJ19)</f>
        <v>0</v>
      </c>
      <c r="AL19" s="22"/>
    </row>
    <row r="20" spans="1:38" x14ac:dyDescent="0.35">
      <c r="A20" t="s">
        <v>1259</v>
      </c>
      <c r="B20" t="s">
        <v>1260</v>
      </c>
      <c r="C20" s="5">
        <v>44824</v>
      </c>
      <c r="D20" s="3">
        <v>85642</v>
      </c>
      <c r="E20" s="6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K20" s="3">
        <f>SUM($F20:AJ20)</f>
        <v>0</v>
      </c>
      <c r="AL20" s="22"/>
    </row>
    <row r="21" spans="1:38" x14ac:dyDescent="0.35">
      <c r="A21" t="s">
        <v>1261</v>
      </c>
      <c r="B21" t="s">
        <v>1262</v>
      </c>
      <c r="C21" s="5">
        <v>44824</v>
      </c>
      <c r="D21" s="3">
        <v>85642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AK21" s="3">
        <f>SUM($F21:AJ21)</f>
        <v>0</v>
      </c>
      <c r="AL21" s="22"/>
    </row>
    <row r="22" spans="1:38" x14ac:dyDescent="0.35">
      <c r="A22" t="s">
        <v>1263</v>
      </c>
      <c r="B22" t="s">
        <v>1264</v>
      </c>
      <c r="C22" s="5">
        <v>44826</v>
      </c>
      <c r="D22" s="3">
        <v>44308</v>
      </c>
      <c r="E22" s="6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AK22" s="3">
        <f>SUM($F22:AJ22)</f>
        <v>0</v>
      </c>
      <c r="AL22" s="22"/>
    </row>
    <row r="23" spans="1:38" x14ac:dyDescent="0.35">
      <c r="A23" t="s">
        <v>1265</v>
      </c>
      <c r="B23" t="s">
        <v>1266</v>
      </c>
      <c r="C23" s="5">
        <v>44826</v>
      </c>
      <c r="D23" s="3">
        <v>44308</v>
      </c>
      <c r="E23" s="6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AK23" s="3">
        <f>SUM($F23:AJ23)</f>
        <v>0</v>
      </c>
      <c r="AL23" s="22"/>
    </row>
    <row r="24" spans="1:38" x14ac:dyDescent="0.35">
      <c r="A24" t="s">
        <v>1267</v>
      </c>
      <c r="B24" t="s">
        <v>1268</v>
      </c>
      <c r="C24" s="5">
        <v>44826</v>
      </c>
      <c r="D24" s="3">
        <v>85642</v>
      </c>
      <c r="E24" s="6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AK24" s="3">
        <f>SUM($F24:AJ24)</f>
        <v>0</v>
      </c>
      <c r="AL24" s="22"/>
    </row>
    <row r="25" spans="1:38" x14ac:dyDescent="0.35">
      <c r="A25" t="s">
        <v>1298</v>
      </c>
      <c r="B25" t="s">
        <v>1297</v>
      </c>
      <c r="C25" s="5">
        <v>44830</v>
      </c>
      <c r="D25" s="3">
        <v>138028</v>
      </c>
      <c r="E25" s="6" t="s">
        <v>1345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AK25" s="3">
        <f>SUM($F25:AJ25)</f>
        <v>0</v>
      </c>
      <c r="AL25" s="22"/>
    </row>
    <row r="26" spans="1:38" x14ac:dyDescent="0.35">
      <c r="A26" t="s">
        <v>1299</v>
      </c>
      <c r="B26" t="s">
        <v>1300</v>
      </c>
      <c r="C26" s="5">
        <v>44835</v>
      </c>
      <c r="D26" s="3">
        <v>85642</v>
      </c>
      <c r="E26" s="6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AK26" s="3">
        <f>SUM($F26:AJ26)</f>
        <v>0</v>
      </c>
      <c r="AL26" s="3"/>
    </row>
    <row r="27" spans="1:38" x14ac:dyDescent="0.35">
      <c r="A27" t="s">
        <v>1301</v>
      </c>
      <c r="B27" t="s">
        <v>1302</v>
      </c>
      <c r="C27" s="5">
        <v>44835</v>
      </c>
      <c r="D27" s="3">
        <v>55875</v>
      </c>
      <c r="E27" s="6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AK27" s="3">
        <f>SUM($F27:AJ27)</f>
        <v>0</v>
      </c>
      <c r="AL27" s="22"/>
    </row>
    <row r="28" spans="1:38" x14ac:dyDescent="0.35">
      <c r="C28" s="5"/>
      <c r="D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AK28" s="3">
        <f>SUM($F28:AJ28)</f>
        <v>0</v>
      </c>
      <c r="AL28" s="22"/>
    </row>
    <row r="29" spans="1:38" x14ac:dyDescent="0.35">
      <c r="A29" s="2" t="s">
        <v>1676</v>
      </c>
      <c r="D29" s="3">
        <f>SUM(D11:D28)</f>
        <v>1460355</v>
      </c>
      <c r="F29" s="3">
        <f t="shared" ref="F29:AJ29" si="1">SUM(F5:F16)</f>
        <v>0</v>
      </c>
      <c r="G29" s="3">
        <f t="shared" si="1"/>
        <v>0</v>
      </c>
      <c r="H29" s="3">
        <f t="shared" si="1"/>
        <v>0</v>
      </c>
      <c r="I29" s="3">
        <f t="shared" si="1"/>
        <v>0</v>
      </c>
      <c r="J29" s="3">
        <f t="shared" si="1"/>
        <v>0</v>
      </c>
      <c r="K29" s="3">
        <f t="shared" si="1"/>
        <v>0</v>
      </c>
      <c r="L29" s="3">
        <f t="shared" si="1"/>
        <v>0</v>
      </c>
      <c r="M29" s="3">
        <f t="shared" si="1"/>
        <v>146700</v>
      </c>
      <c r="N29" s="3">
        <f t="shared" si="1"/>
        <v>0</v>
      </c>
      <c r="O29" s="3">
        <f t="shared" si="1"/>
        <v>0</v>
      </c>
      <c r="P29" s="3">
        <f t="shared" si="1"/>
        <v>0</v>
      </c>
      <c r="Q29" s="3">
        <f t="shared" si="1"/>
        <v>0</v>
      </c>
      <c r="R29" s="3">
        <f t="shared" si="1"/>
        <v>174258</v>
      </c>
      <c r="S29" s="3">
        <f t="shared" si="1"/>
        <v>0</v>
      </c>
      <c r="T29" s="3">
        <f t="shared" si="1"/>
        <v>0</v>
      </c>
      <c r="U29" s="3">
        <f t="shared" si="1"/>
        <v>0</v>
      </c>
      <c r="V29" s="3">
        <f t="shared" si="1"/>
        <v>0</v>
      </c>
      <c r="W29" s="3">
        <f t="shared" si="1"/>
        <v>0</v>
      </c>
      <c r="X29" s="3">
        <f t="shared" si="1"/>
        <v>0</v>
      </c>
      <c r="Y29" s="3">
        <f t="shared" si="1"/>
        <v>0</v>
      </c>
      <c r="Z29" s="3">
        <f t="shared" si="1"/>
        <v>386875</v>
      </c>
      <c r="AA29" s="3">
        <f t="shared" si="1"/>
        <v>0</v>
      </c>
      <c r="AB29" s="3">
        <f t="shared" si="1"/>
        <v>0</v>
      </c>
      <c r="AC29" s="3">
        <f t="shared" si="1"/>
        <v>0</v>
      </c>
      <c r="AD29" s="3">
        <f t="shared" si="1"/>
        <v>0</v>
      </c>
      <c r="AE29" s="3">
        <f t="shared" si="1"/>
        <v>0</v>
      </c>
      <c r="AF29" s="3">
        <f t="shared" si="1"/>
        <v>0</v>
      </c>
      <c r="AG29" s="3">
        <f t="shared" si="1"/>
        <v>0</v>
      </c>
      <c r="AH29" s="3">
        <f t="shared" si="1"/>
        <v>0</v>
      </c>
      <c r="AI29" s="3">
        <f t="shared" si="1"/>
        <v>0</v>
      </c>
      <c r="AJ29" s="3">
        <f t="shared" si="1"/>
        <v>0</v>
      </c>
      <c r="AK29" s="72">
        <f>SUM(AK5:AK28)</f>
        <v>707833</v>
      </c>
    </row>
    <row r="30" spans="1:38" x14ac:dyDescent="0.35">
      <c r="A30" s="2" t="s">
        <v>1780</v>
      </c>
      <c r="D30" s="3">
        <f>SUM(D6:D27)</f>
        <v>1989621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38" x14ac:dyDescent="0.35">
      <c r="A31" s="2" t="s">
        <v>2</v>
      </c>
      <c r="F31" s="3"/>
      <c r="G31" s="3"/>
      <c r="H31" s="3"/>
      <c r="I31" s="3"/>
      <c r="J31" s="3"/>
      <c r="K31" s="3"/>
      <c r="L31" s="3" t="s">
        <v>13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AL31"/>
    </row>
    <row r="32" spans="1:38" ht="15" thickBot="1" x14ac:dyDescent="0.4">
      <c r="A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38" x14ac:dyDescent="0.35">
      <c r="A33" s="36" t="s">
        <v>1140</v>
      </c>
      <c r="B33" s="66" t="s">
        <v>337</v>
      </c>
      <c r="C33" s="38" t="s">
        <v>13</v>
      </c>
      <c r="D33" s="313">
        <f>+'Jun-22'!D35</f>
        <v>242556.17000000004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AK33" s="3">
        <f>SUM($F33:AJ33)</f>
        <v>0</v>
      </c>
    </row>
    <row r="34" spans="1:38" x14ac:dyDescent="0.35">
      <c r="A34" s="41" t="s">
        <v>1141</v>
      </c>
      <c r="B34" t="s">
        <v>337</v>
      </c>
      <c r="C34" s="5" t="s">
        <v>13</v>
      </c>
      <c r="D34" s="74">
        <f>+'Jul-22'!D34</f>
        <v>534883.75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K34" s="3">
        <f>SUM($F34:AJ34)</f>
        <v>0</v>
      </c>
    </row>
    <row r="35" spans="1:38" ht="15" thickBot="1" x14ac:dyDescent="0.4">
      <c r="A35" s="41" t="s">
        <v>1844</v>
      </c>
      <c r="B35" t="s">
        <v>337</v>
      </c>
      <c r="C35" s="5" t="s">
        <v>13</v>
      </c>
      <c r="D35" s="74">
        <f>+'Ago-22'!D32</f>
        <v>191740.62000000002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K35" s="3">
        <f>SUM($F35:AJ35)</f>
        <v>0</v>
      </c>
    </row>
    <row r="36" spans="1:38" ht="15" thickBot="1" x14ac:dyDescent="0.4">
      <c r="A36" s="88" t="s">
        <v>1616</v>
      </c>
      <c r="B36" s="89" t="s">
        <v>337</v>
      </c>
      <c r="C36" s="351">
        <v>44834</v>
      </c>
      <c r="D36" s="355">
        <f>+AK29*0.17</f>
        <v>120331.61000000002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K36" s="3">
        <f>SUM($F36:AJ36)</f>
        <v>0</v>
      </c>
      <c r="AL36" s="6" t="s">
        <v>1846</v>
      </c>
    </row>
    <row r="37" spans="1:38" x14ac:dyDescent="0.35">
      <c r="A37" s="343" t="s">
        <v>629</v>
      </c>
      <c r="B37" s="24" t="s">
        <v>337</v>
      </c>
      <c r="C37" s="67"/>
      <c r="D37" s="74">
        <v>500000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AK37" s="3">
        <f>SUM($F37:AJ37)</f>
        <v>0</v>
      </c>
    </row>
    <row r="38" spans="1:38" x14ac:dyDescent="0.35">
      <c r="A38" s="343" t="s">
        <v>952</v>
      </c>
      <c r="B38" s="24" t="s">
        <v>337</v>
      </c>
      <c r="C38" s="5"/>
      <c r="D38" s="74">
        <v>2400000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AK38" s="3">
        <f>SUM($F38:AJ38)</f>
        <v>0</v>
      </c>
    </row>
    <row r="39" spans="1:38" x14ac:dyDescent="0.35">
      <c r="A39" s="343" t="s">
        <v>1008</v>
      </c>
      <c r="B39" s="24" t="s">
        <v>337</v>
      </c>
      <c r="C39" s="5"/>
      <c r="D39" s="74">
        <v>2400000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AK39" s="3">
        <f>SUM($F39:AJ39)</f>
        <v>0</v>
      </c>
      <c r="AL39"/>
    </row>
    <row r="40" spans="1:38" x14ac:dyDescent="0.35">
      <c r="A40" s="343" t="s">
        <v>1131</v>
      </c>
      <c r="B40" s="24" t="s">
        <v>1132</v>
      </c>
      <c r="C40" s="5">
        <v>44741</v>
      </c>
      <c r="D40" s="74">
        <f>+(4300+1400*10)*1.19</f>
        <v>21777</v>
      </c>
      <c r="E40" s="6" t="s">
        <v>13</v>
      </c>
      <c r="F40" s="3"/>
      <c r="G40" s="3"/>
      <c r="H40" s="3"/>
      <c r="I40" s="3"/>
      <c r="J40" s="3"/>
      <c r="K40" s="3"/>
      <c r="L40" s="3"/>
      <c r="M40" s="7">
        <f>+(4300+1400*10)*1.19</f>
        <v>21777</v>
      </c>
      <c r="N40" s="3"/>
      <c r="O40" s="3" t="s">
        <v>13</v>
      </c>
      <c r="P40" s="3"/>
      <c r="Q40" s="3"/>
      <c r="R40" s="3"/>
      <c r="S40" s="3"/>
      <c r="T40" s="3"/>
      <c r="U40" s="3"/>
      <c r="V40" s="3"/>
      <c r="W40" s="3"/>
      <c r="Y40" s="3"/>
      <c r="AG40" s="3"/>
      <c r="AK40" s="3">
        <f>SUM($F40:AJ40)</f>
        <v>21777</v>
      </c>
      <c r="AL40" s="22" t="s">
        <v>13</v>
      </c>
    </row>
    <row r="41" spans="1:38" x14ac:dyDescent="0.35">
      <c r="A41" s="343" t="s">
        <v>1093</v>
      </c>
      <c r="B41" s="24" t="s">
        <v>1237</v>
      </c>
      <c r="C41" s="5">
        <v>44771</v>
      </c>
      <c r="D41" s="74">
        <v>16660</v>
      </c>
      <c r="F41" s="3"/>
      <c r="G41" s="3"/>
      <c r="H41" s="3"/>
      <c r="I41" s="3"/>
      <c r="J41" s="3"/>
      <c r="K41" s="3"/>
      <c r="L41" s="3"/>
      <c r="M41" s="7">
        <v>16666</v>
      </c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AJ41" s="3"/>
      <c r="AK41" s="3">
        <f>SUM($F41:AJ41)</f>
        <v>16666</v>
      </c>
      <c r="AL41" s="22" t="s">
        <v>13</v>
      </c>
    </row>
    <row r="42" spans="1:38" x14ac:dyDescent="0.35">
      <c r="A42" s="343" t="s">
        <v>1179</v>
      </c>
      <c r="B42" s="24" t="s">
        <v>1180</v>
      </c>
      <c r="C42" s="5">
        <v>44781</v>
      </c>
      <c r="D42" s="74">
        <v>126142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AG42" s="3"/>
      <c r="AK42" s="3">
        <f>SUM($F42:AJ42)</f>
        <v>0</v>
      </c>
      <c r="AL42" s="22"/>
    </row>
    <row r="43" spans="1:38" x14ac:dyDescent="0.35">
      <c r="A43" s="343" t="s">
        <v>1197</v>
      </c>
      <c r="B43" s="24" t="s">
        <v>1198</v>
      </c>
      <c r="C43" s="67">
        <v>44781</v>
      </c>
      <c r="D43" s="353">
        <v>290360</v>
      </c>
      <c r="E43" s="153" t="s">
        <v>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AG43" s="3"/>
      <c r="AK43" s="3">
        <f>SUM($F43:AJ43)</f>
        <v>0</v>
      </c>
      <c r="AL43" s="22"/>
    </row>
    <row r="44" spans="1:38" x14ac:dyDescent="0.35">
      <c r="A44" s="343" t="s">
        <v>1249</v>
      </c>
      <c r="B44" s="24"/>
      <c r="C44" s="67">
        <v>44781</v>
      </c>
      <c r="D44" s="74">
        <f>1440*1.19*40*2</f>
        <v>137088</v>
      </c>
      <c r="E44" s="153"/>
      <c r="F44" s="3"/>
      <c r="G44" s="3"/>
      <c r="H44" s="3"/>
      <c r="I44" s="3"/>
      <c r="J44" s="3"/>
      <c r="K44" s="3"/>
      <c r="L44" s="3"/>
      <c r="M44" s="3">
        <f>1440*1.19*40</f>
        <v>68544</v>
      </c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AJ44" s="3"/>
      <c r="AK44" s="3">
        <f>SUM($F44:AJ44)</f>
        <v>68544</v>
      </c>
      <c r="AL44" s="22" t="s">
        <v>13</v>
      </c>
    </row>
    <row r="45" spans="1:38" x14ac:dyDescent="0.35">
      <c r="A45" s="343" t="s">
        <v>1295</v>
      </c>
      <c r="B45" s="24" t="s">
        <v>1286</v>
      </c>
      <c r="C45" s="67">
        <v>44783</v>
      </c>
      <c r="D45" s="74">
        <f>(1500+900)*10*1.19</f>
        <v>28560</v>
      </c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H45" s="3">
        <f>(1500+900)*10*1.19</f>
        <v>28560</v>
      </c>
      <c r="AJ45" s="3"/>
      <c r="AK45" s="3">
        <f>SUM($F45:AJ45)</f>
        <v>28560</v>
      </c>
      <c r="AL45" s="22" t="s">
        <v>13</v>
      </c>
    </row>
    <row r="46" spans="1:38" x14ac:dyDescent="0.35">
      <c r="A46" s="343" t="s">
        <v>1161</v>
      </c>
      <c r="B46" s="24" t="s">
        <v>1194</v>
      </c>
      <c r="C46" s="5">
        <v>44784</v>
      </c>
      <c r="D46" s="353">
        <v>24280</v>
      </c>
      <c r="E46" s="153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G46" s="3"/>
      <c r="AK46" s="3">
        <f>SUM($F46:AJ46)</f>
        <v>0</v>
      </c>
      <c r="AL46" s="22" t="s">
        <v>13</v>
      </c>
    </row>
    <row r="47" spans="1:38" x14ac:dyDescent="0.35">
      <c r="A47" s="343" t="s">
        <v>1195</v>
      </c>
      <c r="B47" s="24" t="s">
        <v>1196</v>
      </c>
      <c r="C47" s="67">
        <v>44784</v>
      </c>
      <c r="D47" s="353">
        <v>35990</v>
      </c>
      <c r="E47" s="153" t="s">
        <v>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G47" s="3"/>
      <c r="AK47" s="3">
        <f>SUM($F47:AJ47)</f>
        <v>0</v>
      </c>
      <c r="AL47" s="22" t="s">
        <v>13</v>
      </c>
    </row>
    <row r="48" spans="1:38" x14ac:dyDescent="0.35">
      <c r="A48" s="343" t="s">
        <v>1201</v>
      </c>
      <c r="B48" s="24" t="s">
        <v>1202</v>
      </c>
      <c r="C48" s="67">
        <v>44785</v>
      </c>
      <c r="D48" s="353">
        <v>12670</v>
      </c>
      <c r="E48" s="153" t="s">
        <v>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AG48" s="3"/>
      <c r="AK48" s="3">
        <f>SUM($F48:AJ48)</f>
        <v>0</v>
      </c>
      <c r="AL48" s="22" t="s">
        <v>13</v>
      </c>
    </row>
    <row r="49" spans="1:38" x14ac:dyDescent="0.35">
      <c r="A49" s="343" t="s">
        <v>1203</v>
      </c>
      <c r="B49" s="24" t="s">
        <v>1204</v>
      </c>
      <c r="C49" s="67">
        <v>44785</v>
      </c>
      <c r="D49" s="353">
        <v>1790</v>
      </c>
      <c r="E49" s="153" t="s">
        <v>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G49" s="3"/>
      <c r="AK49" s="3">
        <f>SUM($F49:AJ49)</f>
        <v>0</v>
      </c>
      <c r="AL49" s="22" t="s">
        <v>13</v>
      </c>
    </row>
    <row r="50" spans="1:38" x14ac:dyDescent="0.35">
      <c r="A50" s="343" t="s">
        <v>1208</v>
      </c>
      <c r="B50" s="24" t="s">
        <v>1355</v>
      </c>
      <c r="C50" s="67">
        <v>44790</v>
      </c>
      <c r="D50" s="354">
        <v>114240</v>
      </c>
      <c r="E50" s="15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B50" s="3">
        <v>114240</v>
      </c>
      <c r="AG50" s="3"/>
      <c r="AK50" s="3">
        <f>SUM($F50:AJ50)</f>
        <v>114240</v>
      </c>
      <c r="AL50" s="22" t="s">
        <v>13</v>
      </c>
    </row>
    <row r="51" spans="1:38" x14ac:dyDescent="0.35">
      <c r="A51" s="343" t="s">
        <v>1218</v>
      </c>
      <c r="B51" s="24" t="s">
        <v>1219</v>
      </c>
      <c r="C51" s="67">
        <v>44791</v>
      </c>
      <c r="D51" s="353">
        <v>10990</v>
      </c>
      <c r="E51" s="153" t="s">
        <v>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AG51" s="3"/>
      <c r="AK51" s="3">
        <f>SUM($F51:AJ51)</f>
        <v>0</v>
      </c>
      <c r="AL51" s="22" t="s">
        <v>13</v>
      </c>
    </row>
    <row r="52" spans="1:38" x14ac:dyDescent="0.35">
      <c r="A52" s="343" t="s">
        <v>1221</v>
      </c>
      <c r="B52" s="24" t="s">
        <v>1220</v>
      </c>
      <c r="C52" s="67">
        <v>44791</v>
      </c>
      <c r="D52" s="353">
        <v>2990</v>
      </c>
      <c r="E52" s="153" t="s">
        <v>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  <c r="AJ52" s="3"/>
      <c r="AK52" s="3">
        <f>SUM($F52:AJ52)</f>
        <v>0</v>
      </c>
      <c r="AL52" s="22" t="s">
        <v>13</v>
      </c>
    </row>
    <row r="53" spans="1:38" ht="15" thickBot="1" x14ac:dyDescent="0.4">
      <c r="A53" s="345" t="s">
        <v>920</v>
      </c>
      <c r="B53" s="44" t="s">
        <v>1236</v>
      </c>
      <c r="C53" s="346">
        <v>44799</v>
      </c>
      <c r="D53" s="119">
        <v>11984</v>
      </c>
      <c r="E53" s="153" t="s">
        <v>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AG53" s="3"/>
      <c r="AK53" s="3">
        <f>SUM($F53:AJ53)</f>
        <v>0</v>
      </c>
      <c r="AL53" s="22" t="s">
        <v>13</v>
      </c>
    </row>
    <row r="54" spans="1:38" x14ac:dyDescent="0.35">
      <c r="A54" s="4" t="s">
        <v>1161</v>
      </c>
      <c r="B54" s="24" t="s">
        <v>1235</v>
      </c>
      <c r="C54" s="5">
        <v>44806</v>
      </c>
      <c r="D54" s="7">
        <v>12140</v>
      </c>
      <c r="E54" s="153" t="s">
        <v>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AJ54" s="3"/>
      <c r="AK54" s="3">
        <f>SUM($F54:AJ54)</f>
        <v>0</v>
      </c>
      <c r="AL54" s="22" t="s">
        <v>83</v>
      </c>
    </row>
    <row r="55" spans="1:38" x14ac:dyDescent="0.35">
      <c r="A55" s="4" t="s">
        <v>689</v>
      </c>
      <c r="B55" s="24" t="s">
        <v>1288</v>
      </c>
      <c r="C55" s="5">
        <v>44806</v>
      </c>
      <c r="D55" s="7">
        <f>1400*10*1.19</f>
        <v>16660</v>
      </c>
      <c r="E55" s="15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AB55" s="7">
        <f>1400*10*1.19</f>
        <v>16660</v>
      </c>
      <c r="AJ55" s="3"/>
      <c r="AK55" s="3">
        <f>SUM($F55:AJ55)</f>
        <v>16660</v>
      </c>
      <c r="AL55" s="22" t="s">
        <v>83</v>
      </c>
    </row>
    <row r="56" spans="1:38" x14ac:dyDescent="0.35">
      <c r="A56" s="290" t="s">
        <v>1238</v>
      </c>
      <c r="B56" s="291"/>
      <c r="C56" s="292">
        <v>44812</v>
      </c>
      <c r="D56" s="7">
        <v>16000</v>
      </c>
      <c r="E56" s="153"/>
      <c r="F56" s="3"/>
      <c r="G56" s="3"/>
      <c r="H56" s="3"/>
      <c r="I56" s="3"/>
      <c r="J56" s="3"/>
      <c r="K56" s="3"/>
      <c r="L56" s="3"/>
      <c r="M56" s="7">
        <v>16000</v>
      </c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J56" s="3"/>
      <c r="AK56" s="3">
        <f>SUM($F56:AJ56)</f>
        <v>16000</v>
      </c>
      <c r="AL56" s="22" t="s">
        <v>83</v>
      </c>
    </row>
    <row r="57" spans="1:38" x14ac:dyDescent="0.35">
      <c r="A57" s="290" t="s">
        <v>1239</v>
      </c>
      <c r="B57" s="291"/>
      <c r="C57" s="292">
        <v>44812</v>
      </c>
      <c r="D57" s="7">
        <v>8000</v>
      </c>
      <c r="E57" s="153"/>
      <c r="F57" s="3"/>
      <c r="G57" s="3"/>
      <c r="H57" s="3"/>
      <c r="I57" s="3"/>
      <c r="J57" s="3"/>
      <c r="K57" s="3"/>
      <c r="L57" s="3"/>
      <c r="M57" s="7">
        <v>8000</v>
      </c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J57" s="3"/>
      <c r="AK57" s="3">
        <f>SUM($F57:AJ57)</f>
        <v>8000</v>
      </c>
      <c r="AL57" s="22" t="s">
        <v>83</v>
      </c>
    </row>
    <row r="58" spans="1:38" x14ac:dyDescent="0.35">
      <c r="A58" s="4" t="s">
        <v>1250</v>
      </c>
      <c r="C58" s="67">
        <v>44812</v>
      </c>
      <c r="D58" s="3">
        <v>13944</v>
      </c>
      <c r="E58" s="153"/>
      <c r="F58" s="3"/>
      <c r="G58" s="3"/>
      <c r="H58" s="3"/>
      <c r="I58" s="3"/>
      <c r="J58" s="3"/>
      <c r="K58" s="3"/>
      <c r="L58" s="3"/>
      <c r="M58" s="3">
        <v>13944</v>
      </c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J58" s="3"/>
      <c r="AK58" s="3">
        <f>SUM($F58:AJ58)</f>
        <v>13944</v>
      </c>
      <c r="AL58" s="22" t="s">
        <v>1557</v>
      </c>
    </row>
    <row r="59" spans="1:38" x14ac:dyDescent="0.35">
      <c r="A59" s="4" t="s">
        <v>1161</v>
      </c>
      <c r="B59" s="24" t="s">
        <v>1248</v>
      </c>
      <c r="C59" s="5">
        <v>44813</v>
      </c>
      <c r="D59" s="7">
        <v>11360</v>
      </c>
      <c r="E59" s="153" t="s">
        <v>4</v>
      </c>
      <c r="F59" s="3"/>
      <c r="G59" s="3"/>
      <c r="H59" s="3"/>
      <c r="I59" s="3"/>
      <c r="J59" s="3"/>
      <c r="K59" s="3"/>
      <c r="L59" s="3"/>
      <c r="M59" s="7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J59" s="3"/>
      <c r="AK59" s="3">
        <f>SUM($F59:AJ59)</f>
        <v>0</v>
      </c>
      <c r="AL59" s="22" t="s">
        <v>83</v>
      </c>
    </row>
    <row r="60" spans="1:38" x14ac:dyDescent="0.35">
      <c r="A60" s="4" t="s">
        <v>1251</v>
      </c>
      <c r="B60" s="24"/>
      <c r="C60" s="67">
        <v>44813</v>
      </c>
      <c r="D60" s="3">
        <f>(12.9+7+9+5.9)*1300/9+1100+1068+1736</f>
        <v>8930.6666666666661</v>
      </c>
      <c r="E60" s="15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J60" s="3"/>
      <c r="AK60" s="3">
        <f>SUM($F60:AJ60)</f>
        <v>0</v>
      </c>
      <c r="AL60" s="22" t="s">
        <v>81</v>
      </c>
    </row>
    <row r="61" spans="1:38" x14ac:dyDescent="0.35">
      <c r="A61" s="4" t="s">
        <v>1253</v>
      </c>
      <c r="B61" s="24" t="s">
        <v>1252</v>
      </c>
      <c r="C61" s="67">
        <v>44816</v>
      </c>
      <c r="D61" s="3">
        <v>6360</v>
      </c>
      <c r="E61" s="153" t="s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J61" s="3"/>
      <c r="AK61" s="3">
        <f>SUM($F61:AJ61)</f>
        <v>0</v>
      </c>
      <c r="AL61" s="22" t="s">
        <v>83</v>
      </c>
    </row>
    <row r="62" spans="1:38" x14ac:dyDescent="0.35">
      <c r="A62" s="4" t="s">
        <v>1317</v>
      </c>
      <c r="B62" t="s">
        <v>1318</v>
      </c>
      <c r="C62" s="67">
        <v>44816</v>
      </c>
      <c r="D62" s="3">
        <v>74154</v>
      </c>
      <c r="E62" s="15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J62" s="3"/>
      <c r="AK62" s="3">
        <f>SUM($F62:AJ62)</f>
        <v>0</v>
      </c>
      <c r="AL62" s="22" t="s">
        <v>83</v>
      </c>
    </row>
    <row r="63" spans="1:38" x14ac:dyDescent="0.35">
      <c r="A63" s="4" t="s">
        <v>1296</v>
      </c>
      <c r="B63" s="24" t="s">
        <v>1287</v>
      </c>
      <c r="C63" s="67">
        <v>44816</v>
      </c>
      <c r="D63" s="3">
        <f>1500*10*1.19</f>
        <v>17850</v>
      </c>
      <c r="E63" s="15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H63" s="3" t="s">
        <v>13</v>
      </c>
      <c r="AJ63" s="3"/>
      <c r="AK63" s="3">
        <f>SUM($F63:AJ63)</f>
        <v>0</v>
      </c>
      <c r="AL63" s="22" t="s">
        <v>83</v>
      </c>
    </row>
    <row r="64" spans="1:38" x14ac:dyDescent="0.35">
      <c r="A64" s="4" t="s">
        <v>1254</v>
      </c>
      <c r="B64" s="24"/>
      <c r="C64" s="67">
        <v>44817</v>
      </c>
      <c r="D64" s="3">
        <v>56894</v>
      </c>
      <c r="E64" s="15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>
        <v>56894</v>
      </c>
      <c r="S64" s="3"/>
      <c r="T64" s="3"/>
      <c r="U64" s="3"/>
      <c r="V64" s="3"/>
      <c r="W64" s="3"/>
      <c r="Y64" s="3"/>
      <c r="AJ64" s="3"/>
      <c r="AK64" s="3">
        <f>SUM($F64:AJ64)</f>
        <v>56894</v>
      </c>
      <c r="AL64" s="22" t="s">
        <v>13</v>
      </c>
    </row>
    <row r="65" spans="1:41" x14ac:dyDescent="0.35">
      <c r="A65" s="4" t="s">
        <v>1289</v>
      </c>
      <c r="B65" s="24"/>
      <c r="C65" s="67">
        <v>44819</v>
      </c>
      <c r="D65" s="3">
        <v>25000</v>
      </c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25000</v>
      </c>
      <c r="U65" s="3"/>
      <c r="V65" s="3"/>
      <c r="W65" s="3"/>
      <c r="Y65" s="3"/>
      <c r="AJ65" s="3"/>
      <c r="AK65" s="3">
        <f>SUM($F65:AJ65)</f>
        <v>25000</v>
      </c>
      <c r="AL65" s="22" t="s">
        <v>81</v>
      </c>
    </row>
    <row r="66" spans="1:41" x14ac:dyDescent="0.35">
      <c r="A66" s="4" t="s">
        <v>1161</v>
      </c>
      <c r="B66" s="24" t="s">
        <v>1351</v>
      </c>
      <c r="C66" s="67">
        <v>44819</v>
      </c>
      <c r="D66" s="3">
        <v>10160</v>
      </c>
      <c r="E66" s="153" t="s">
        <v>1291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AJ66" s="3"/>
      <c r="AK66" s="3">
        <f>SUM($F66:AJ66)</f>
        <v>0</v>
      </c>
      <c r="AL66" s="22" t="s">
        <v>83</v>
      </c>
    </row>
    <row r="67" spans="1:41" x14ac:dyDescent="0.35">
      <c r="A67" s="4" t="s">
        <v>1161</v>
      </c>
      <c r="B67" s="24" t="s">
        <v>1290</v>
      </c>
      <c r="C67" s="67">
        <v>44824</v>
      </c>
      <c r="D67" s="3">
        <v>8610</v>
      </c>
      <c r="E67" s="153" t="s">
        <v>1291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AJ67" s="3"/>
      <c r="AK67" s="3">
        <f>SUM($F67:AJ67)</f>
        <v>0</v>
      </c>
      <c r="AL67" s="22" t="s">
        <v>83</v>
      </c>
    </row>
    <row r="68" spans="1:41" x14ac:dyDescent="0.35">
      <c r="A68" s="4" t="s">
        <v>1316</v>
      </c>
      <c r="B68" s="24"/>
      <c r="C68" s="67">
        <v>44824</v>
      </c>
      <c r="D68" s="3">
        <v>19714</v>
      </c>
      <c r="E68" s="15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>
        <v>19714</v>
      </c>
      <c r="AJ68" s="3"/>
      <c r="AK68" s="3">
        <f>SUM($F68:AJ68)</f>
        <v>19714</v>
      </c>
      <c r="AL68" s="22" t="s">
        <v>81</v>
      </c>
    </row>
    <row r="69" spans="1:41" x14ac:dyDescent="0.35">
      <c r="A69" s="4" t="s">
        <v>1161</v>
      </c>
      <c r="B69" s="24" t="s">
        <v>1294</v>
      </c>
      <c r="C69" s="67">
        <v>44827</v>
      </c>
      <c r="D69" s="3">
        <v>4520</v>
      </c>
      <c r="E69" s="153" t="s">
        <v>1291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AJ69" s="3"/>
      <c r="AK69" s="3">
        <f>SUM($F69:AJ69)</f>
        <v>0</v>
      </c>
      <c r="AL69" s="22" t="s">
        <v>83</v>
      </c>
    </row>
    <row r="70" spans="1:41" x14ac:dyDescent="0.35">
      <c r="A70" s="4" t="s">
        <v>1316</v>
      </c>
      <c r="B70" s="24"/>
      <c r="C70" s="67">
        <v>44828</v>
      </c>
      <c r="D70" s="3">
        <f>47384-3530</f>
        <v>43854</v>
      </c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F70" s="3">
        <f>47384-3530</f>
        <v>43854</v>
      </c>
      <c r="AJ70" s="3"/>
      <c r="AK70" s="3">
        <f>SUM($F70:AJ70)</f>
        <v>43854</v>
      </c>
      <c r="AL70" s="22" t="s">
        <v>81</v>
      </c>
      <c r="AO70" s="6" t="s">
        <v>1674</v>
      </c>
    </row>
    <row r="71" spans="1:41" ht="15" thickBot="1" x14ac:dyDescent="0.4">
      <c r="A71" s="4" t="s">
        <v>1161</v>
      </c>
      <c r="B71" s="24" t="s">
        <v>1292</v>
      </c>
      <c r="C71" s="67">
        <v>44829</v>
      </c>
      <c r="D71" s="3">
        <v>3530</v>
      </c>
      <c r="E71" s="153" t="s">
        <v>1293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AF71" s="3">
        <v>3530</v>
      </c>
      <c r="AJ71" s="3"/>
      <c r="AK71" s="3">
        <f>SUM($F71:AJ71)</f>
        <v>3530</v>
      </c>
      <c r="AL71" s="22" t="s">
        <v>83</v>
      </c>
      <c r="AM71" t="s">
        <v>317</v>
      </c>
      <c r="AN71" s="64" t="e">
        <f>+[2]Hoja1!$L$106+[3]Hoja1!#REF!</f>
        <v>#REF!</v>
      </c>
      <c r="AO71" s="64" t="e">
        <f>+[3]Hoja1!#REF!</f>
        <v>#REF!</v>
      </c>
    </row>
    <row r="72" spans="1:41" x14ac:dyDescent="0.35">
      <c r="A72" s="4"/>
      <c r="B72" s="24"/>
      <c r="C72" s="67"/>
      <c r="D72" s="3"/>
      <c r="E72" s="15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AJ72" s="3"/>
      <c r="AK72" s="3" t="s">
        <v>13</v>
      </c>
      <c r="AL72" s="22"/>
      <c r="AM72" s="11" t="s">
        <v>91</v>
      </c>
      <c r="AN72" s="53">
        <f>+D29/1.19</f>
        <v>1227189.0756302522</v>
      </c>
      <c r="AO72" s="53">
        <f>+SUMIF(E11:E27,"MD",D11:D27)/1.19</f>
        <v>348854.62184873951</v>
      </c>
    </row>
    <row r="73" spans="1:41" x14ac:dyDescent="0.35">
      <c r="A73" s="4"/>
      <c r="B73" s="24"/>
      <c r="C73" s="67"/>
      <c r="D73" s="3"/>
      <c r="E73" s="15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AJ73" s="3"/>
      <c r="AK73" s="3" t="s">
        <v>13</v>
      </c>
      <c r="AL73" s="22"/>
      <c r="AM73" s="14" t="s">
        <v>1558</v>
      </c>
      <c r="AN73" s="15">
        <f>+SUMIF(AL54:AL77,"CD",D54:D77)/1.19</f>
        <v>159112.6050420168</v>
      </c>
      <c r="AO73" s="15" t="e">
        <f>+AN73*AO$71/AN$71</f>
        <v>#REF!</v>
      </c>
    </row>
    <row r="74" spans="1:41" x14ac:dyDescent="0.35">
      <c r="A74" s="4"/>
      <c r="B74" s="24"/>
      <c r="C74" s="67"/>
      <c r="D74" s="3"/>
      <c r="E74" s="15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  <c r="AJ74" s="3"/>
      <c r="AK74" s="3"/>
      <c r="AL74" s="22"/>
      <c r="AM74" s="14" t="s">
        <v>1559</v>
      </c>
      <c r="AN74" s="15">
        <f>+AN72-AN73</f>
        <v>1068076.4705882354</v>
      </c>
      <c r="AO74" s="15" t="e">
        <f>+AO72-AO73</f>
        <v>#REF!</v>
      </c>
    </row>
    <row r="75" spans="1:41" x14ac:dyDescent="0.35">
      <c r="A75" s="4" t="s">
        <v>1225</v>
      </c>
      <c r="B75" s="24">
        <f>95.69/8</f>
        <v>11.96125</v>
      </c>
      <c r="C75" s="67">
        <v>44832</v>
      </c>
      <c r="D75" s="3">
        <f>+B75*D77</f>
        <v>406363.85229999997</v>
      </c>
      <c r="E75" s="15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Y75" s="3"/>
      <c r="AH75" s="3" t="s">
        <v>13</v>
      </c>
      <c r="AI75" s="3" t="s">
        <v>13</v>
      </c>
      <c r="AJ75" s="3"/>
      <c r="AK75" s="3">
        <f>SUM($F75:AJ75)</f>
        <v>0</v>
      </c>
      <c r="AL75" s="22" t="s">
        <v>1557</v>
      </c>
      <c r="AM75" s="14" t="s">
        <v>1560</v>
      </c>
      <c r="AN75" s="327">
        <f>+AN74/AN72</f>
        <v>0.87034385474764697</v>
      </c>
      <c r="AO75" s="327" t="e">
        <f>+AO74/AO72</f>
        <v>#REF!</v>
      </c>
    </row>
    <row r="76" spans="1:41" x14ac:dyDescent="0.35">
      <c r="A76" s="4" t="s">
        <v>1226</v>
      </c>
      <c r="B76" s="24">
        <f>92.58/8</f>
        <v>11.5725</v>
      </c>
      <c r="C76" s="67">
        <v>44832</v>
      </c>
      <c r="D76" s="3">
        <f>+B76*D77</f>
        <v>393156.70860000001</v>
      </c>
      <c r="E76" s="15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  <c r="AH76" s="3" t="s">
        <v>13</v>
      </c>
      <c r="AI76" s="3" t="s">
        <v>13</v>
      </c>
      <c r="AJ76" s="3"/>
      <c r="AK76" s="3">
        <f>SUM($F76:AJ76)</f>
        <v>0</v>
      </c>
      <c r="AL76" s="22" t="s">
        <v>1557</v>
      </c>
      <c r="AM76" s="14" t="s">
        <v>81</v>
      </c>
      <c r="AN76" s="15">
        <f>+SUMIF(AL33:AL77,"GAV",D33:D77)/1.19+SUMIF(AL33:AL77,"REM",D33:D77)</f>
        <v>202263.26266106445</v>
      </c>
      <c r="AO76" s="375" t="e">
        <f>+AN76*AO$71/AN$71+(600000+300000)*4/9</f>
        <v>#REF!</v>
      </c>
    </row>
    <row r="77" spans="1:41" x14ac:dyDescent="0.35">
      <c r="A77" s="4"/>
      <c r="B77" s="24"/>
      <c r="C77" s="67" t="s">
        <v>933</v>
      </c>
      <c r="D77" s="236">
        <v>33973.360000000001</v>
      </c>
      <c r="E77" s="15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  <c r="AJ77" s="3"/>
      <c r="AK77" s="3"/>
      <c r="AL77" s="22"/>
      <c r="AM77" s="14" t="s">
        <v>1561</v>
      </c>
      <c r="AN77" s="15">
        <f>+AN74-AN76</f>
        <v>865813.20792717091</v>
      </c>
      <c r="AO77" s="15" t="e">
        <f>+AO74-AO76</f>
        <v>#REF!</v>
      </c>
    </row>
    <row r="78" spans="1:41" x14ac:dyDescent="0.35">
      <c r="A78" s="4"/>
      <c r="B78" s="24"/>
      <c r="C78" s="67"/>
      <c r="D78" s="236"/>
      <c r="E78" s="15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Y78" s="3"/>
      <c r="AJ78" s="3"/>
      <c r="AK78" s="3"/>
      <c r="AL78" s="22"/>
      <c r="AM78" s="14" t="s">
        <v>1563</v>
      </c>
      <c r="AN78" s="15">
        <f>+SUMIF(AL54:AL77,"GF",D54:D77)</f>
        <v>813464.56089999992</v>
      </c>
      <c r="AO78" s="15">
        <v>0</v>
      </c>
    </row>
    <row r="79" spans="1:41" x14ac:dyDescent="0.35">
      <c r="A79" s="4"/>
      <c r="B79" s="24"/>
      <c r="C79" s="67"/>
      <c r="D79" s="236"/>
      <c r="E79" s="15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Y79" s="3"/>
      <c r="AJ79" s="3"/>
      <c r="AK79" s="3"/>
      <c r="AL79" s="22"/>
      <c r="AM79" s="14" t="s">
        <v>82</v>
      </c>
      <c r="AN79" s="15">
        <f>+SUMIF(AL21:AL77,"AF",AK21:AK77)/1.19</f>
        <v>0</v>
      </c>
      <c r="AO79" s="15" t="e">
        <f>+AN79*AO$71/AN$71</f>
        <v>#REF!</v>
      </c>
    </row>
    <row r="80" spans="1:41" ht="15" thickBot="1" x14ac:dyDescent="0.4">
      <c r="A80" s="4"/>
      <c r="B80" s="24"/>
      <c r="C80" s="67"/>
      <c r="D80" s="236"/>
      <c r="E80" s="15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Y80" s="3"/>
      <c r="AJ80" s="3"/>
      <c r="AK80" s="3"/>
      <c r="AL80" s="22"/>
      <c r="AM80" s="16"/>
      <c r="AN80" s="19">
        <f>+AN77-AN78-AN79</f>
        <v>52348.647027170984</v>
      </c>
      <c r="AO80" s="19" t="e">
        <f>+AO77-AO78-AO79</f>
        <v>#REF!</v>
      </c>
    </row>
    <row r="81" spans="1:41" x14ac:dyDescent="0.35">
      <c r="A81" s="4"/>
      <c r="B81" s="24"/>
      <c r="C81" s="67"/>
      <c r="D81" s="236"/>
      <c r="E81" s="15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Y81" s="3"/>
      <c r="AJ81" s="3"/>
      <c r="AK81" s="3"/>
      <c r="AL81" s="22"/>
    </row>
    <row r="82" spans="1:41" x14ac:dyDescent="0.35">
      <c r="A82" s="2" t="s">
        <v>9</v>
      </c>
      <c r="D82" s="3" t="s">
        <v>13</v>
      </c>
      <c r="F82" s="3">
        <f t="shared" ref="F82:AJ82" si="2">SUM(F33:F79)</f>
        <v>0</v>
      </c>
      <c r="G82" s="3">
        <f t="shared" si="2"/>
        <v>0</v>
      </c>
      <c r="H82" s="3">
        <f t="shared" si="2"/>
        <v>0</v>
      </c>
      <c r="I82" s="3">
        <f t="shared" si="2"/>
        <v>0</v>
      </c>
      <c r="J82" s="3">
        <f t="shared" si="2"/>
        <v>0</v>
      </c>
      <c r="K82" s="3">
        <f t="shared" si="2"/>
        <v>0</v>
      </c>
      <c r="L82" s="3">
        <f t="shared" si="2"/>
        <v>0</v>
      </c>
      <c r="M82" s="3">
        <f t="shared" si="2"/>
        <v>144931</v>
      </c>
      <c r="N82" s="3">
        <f t="shared" si="2"/>
        <v>0</v>
      </c>
      <c r="O82" s="3">
        <f t="shared" si="2"/>
        <v>0</v>
      </c>
      <c r="P82" s="3">
        <f t="shared" si="2"/>
        <v>0</v>
      </c>
      <c r="Q82" s="3">
        <f t="shared" si="2"/>
        <v>0</v>
      </c>
      <c r="R82" s="3">
        <f t="shared" si="2"/>
        <v>56894</v>
      </c>
      <c r="S82" s="3">
        <f t="shared" si="2"/>
        <v>0</v>
      </c>
      <c r="T82" s="3">
        <f t="shared" si="2"/>
        <v>25000</v>
      </c>
      <c r="U82" s="3">
        <f t="shared" si="2"/>
        <v>0</v>
      </c>
      <c r="V82" s="3">
        <f t="shared" si="2"/>
        <v>0</v>
      </c>
      <c r="W82" s="3">
        <f t="shared" si="2"/>
        <v>0</v>
      </c>
      <c r="X82" s="3">
        <f t="shared" si="2"/>
        <v>0</v>
      </c>
      <c r="Y82" s="3">
        <f t="shared" si="2"/>
        <v>19714</v>
      </c>
      <c r="Z82" s="3">
        <f t="shared" si="2"/>
        <v>0</v>
      </c>
      <c r="AA82" s="3">
        <f t="shared" si="2"/>
        <v>0</v>
      </c>
      <c r="AB82" s="3">
        <f t="shared" si="2"/>
        <v>130900</v>
      </c>
      <c r="AC82" s="3">
        <f t="shared" si="2"/>
        <v>0</v>
      </c>
      <c r="AD82" s="3">
        <f t="shared" si="2"/>
        <v>0</v>
      </c>
      <c r="AE82" s="3">
        <f t="shared" si="2"/>
        <v>0</v>
      </c>
      <c r="AF82" s="3">
        <f t="shared" si="2"/>
        <v>47384</v>
      </c>
      <c r="AG82" s="3">
        <f t="shared" si="2"/>
        <v>0</v>
      </c>
      <c r="AH82" s="3">
        <f t="shared" si="2"/>
        <v>28560</v>
      </c>
      <c r="AI82" s="3">
        <f t="shared" si="2"/>
        <v>0</v>
      </c>
      <c r="AJ82" s="3">
        <f t="shared" si="2"/>
        <v>0</v>
      </c>
      <c r="AK82" s="72">
        <f>SUM(AK33:AK76)</f>
        <v>453383</v>
      </c>
    </row>
    <row r="83" spans="1:41" x14ac:dyDescent="0.35">
      <c r="A83" t="s">
        <v>8</v>
      </c>
      <c r="F83" s="3">
        <f t="shared" ref="F83:AI83" si="3">+F29+F3-F82</f>
        <v>861.15178335664677</v>
      </c>
      <c r="G83" s="3">
        <f t="shared" si="3"/>
        <v>861.15178335664677</v>
      </c>
      <c r="H83" s="3">
        <f t="shared" si="3"/>
        <v>861.15178335664677</v>
      </c>
      <c r="I83" s="3">
        <f t="shared" si="3"/>
        <v>861.15178335664677</v>
      </c>
      <c r="J83" s="3">
        <f t="shared" si="3"/>
        <v>861.15178335664677</v>
      </c>
      <c r="K83" s="3">
        <f t="shared" si="3"/>
        <v>861.15178335664677</v>
      </c>
      <c r="L83" s="3">
        <f t="shared" si="3"/>
        <v>861.15178335664677</v>
      </c>
      <c r="M83" s="3">
        <f t="shared" si="3"/>
        <v>2630.1517833566468</v>
      </c>
      <c r="N83" s="3">
        <f t="shared" si="3"/>
        <v>2630.1517833566468</v>
      </c>
      <c r="O83" s="3">
        <f t="shared" si="3"/>
        <v>2630.1517833566468</v>
      </c>
      <c r="P83" s="3">
        <f t="shared" si="3"/>
        <v>2630.1517833566468</v>
      </c>
      <c r="Q83" s="3">
        <f t="shared" si="3"/>
        <v>2630.1517833566468</v>
      </c>
      <c r="R83" s="3">
        <f t="shared" si="3"/>
        <v>119994.15178335665</v>
      </c>
      <c r="S83" s="3">
        <f t="shared" si="3"/>
        <v>119994.15178335665</v>
      </c>
      <c r="T83" s="3">
        <f t="shared" si="3"/>
        <v>94994.151783356647</v>
      </c>
      <c r="U83" s="3">
        <f t="shared" si="3"/>
        <v>94994.151783356647</v>
      </c>
      <c r="V83" s="3">
        <f t="shared" si="3"/>
        <v>94994.151783356647</v>
      </c>
      <c r="W83" s="3">
        <f t="shared" si="3"/>
        <v>94994.151783356647</v>
      </c>
      <c r="X83" s="3">
        <f t="shared" si="3"/>
        <v>94994.151783356647</v>
      </c>
      <c r="Y83" s="3">
        <f t="shared" si="3"/>
        <v>75280.151783356647</v>
      </c>
      <c r="Z83" s="3">
        <f t="shared" si="3"/>
        <v>462155.15178335668</v>
      </c>
      <c r="AA83" s="3">
        <f t="shared" si="3"/>
        <v>462155.15178335668</v>
      </c>
      <c r="AB83" s="3">
        <f t="shared" si="3"/>
        <v>331255.15178335668</v>
      </c>
      <c r="AC83" s="3">
        <f t="shared" si="3"/>
        <v>331255.15178335668</v>
      </c>
      <c r="AD83" s="3">
        <f t="shared" si="3"/>
        <v>331255.15178335668</v>
      </c>
      <c r="AE83" s="3">
        <f t="shared" si="3"/>
        <v>331255.15178335668</v>
      </c>
      <c r="AF83" s="3">
        <f t="shared" si="3"/>
        <v>283871.15178335668</v>
      </c>
      <c r="AG83" s="3">
        <f t="shared" si="3"/>
        <v>283871.15178335668</v>
      </c>
      <c r="AH83" s="3">
        <f t="shared" si="3"/>
        <v>255311.15178335668</v>
      </c>
      <c r="AI83" s="3">
        <f t="shared" si="3"/>
        <v>255311.15178335668</v>
      </c>
      <c r="AJ83" s="3" t="s">
        <v>13</v>
      </c>
      <c r="AK83" s="3" t="s">
        <v>13</v>
      </c>
      <c r="AM83" t="s">
        <v>1960</v>
      </c>
      <c r="AN83" s="3">
        <f>+AN80+'Ago-22'!AN82</f>
        <v>-497508.97663049703</v>
      </c>
      <c r="AO83" s="3" t="e">
        <f>+AO80+'Ago-22'!AO82</f>
        <v>#REF!</v>
      </c>
    </row>
    <row r="84" spans="1:41" x14ac:dyDescent="0.35">
      <c r="F84" s="3"/>
      <c r="G84" s="3"/>
      <c r="H84" s="3"/>
      <c r="I84" s="3" t="s">
        <v>13</v>
      </c>
      <c r="J84" s="3"/>
      <c r="K84" s="3"/>
      <c r="L84" s="3"/>
      <c r="M84" s="3"/>
      <c r="N84" s="3"/>
      <c r="O84" s="3"/>
      <c r="P84" s="3" t="s">
        <v>13</v>
      </c>
      <c r="Q84" s="3"/>
      <c r="R84" s="3"/>
      <c r="S84" s="3"/>
      <c r="T84" s="3" t="s">
        <v>13</v>
      </c>
      <c r="U84" s="3"/>
      <c r="V84" s="3"/>
      <c r="W84" s="3"/>
      <c r="Y84" s="3" t="s">
        <v>13</v>
      </c>
      <c r="AA84" s="3" t="s">
        <v>13</v>
      </c>
      <c r="AB84" s="3" t="s">
        <v>13</v>
      </c>
    </row>
    <row r="85" spans="1:41" x14ac:dyDescent="0.35">
      <c r="B85" t="s">
        <v>13</v>
      </c>
      <c r="F85" s="3"/>
      <c r="G85" s="3"/>
      <c r="H85" s="3" t="s">
        <v>13</v>
      </c>
      <c r="I85" s="3"/>
      <c r="J85" s="3"/>
      <c r="K85" s="3"/>
      <c r="L85" s="3"/>
      <c r="M85" s="3"/>
      <c r="N85" s="3"/>
      <c r="O85" s="3"/>
      <c r="P85" s="3" t="s">
        <v>13</v>
      </c>
      <c r="Q85" s="3" t="s">
        <v>13</v>
      </c>
      <c r="R85" s="3" t="s">
        <v>13</v>
      </c>
      <c r="S85" s="3"/>
      <c r="T85" s="3"/>
      <c r="U85" s="3" t="s">
        <v>13</v>
      </c>
      <c r="V85" s="3"/>
      <c r="W85" s="3"/>
      <c r="AB85" s="3" t="s">
        <v>13</v>
      </c>
      <c r="AG85" s="3" t="s">
        <v>13</v>
      </c>
      <c r="AJ85" s="3" t="s">
        <v>13</v>
      </c>
    </row>
    <row r="86" spans="1:41" x14ac:dyDescent="0.35">
      <c r="B86" s="5" t="s">
        <v>13</v>
      </c>
      <c r="D86" s="236" t="s">
        <v>13</v>
      </c>
      <c r="F86" s="3"/>
      <c r="G86" s="3" t="s">
        <v>13</v>
      </c>
      <c r="H86" s="3" t="s">
        <v>13</v>
      </c>
      <c r="I86" s="3"/>
      <c r="J86" s="3"/>
      <c r="K86" s="3"/>
      <c r="L86" s="3"/>
      <c r="M86" s="3"/>
      <c r="N86" s="3"/>
      <c r="O86" s="3"/>
      <c r="P86" s="3"/>
      <c r="S86" s="3"/>
      <c r="T86" s="3" t="s">
        <v>13</v>
      </c>
      <c r="U86" s="3"/>
      <c r="V86" s="3"/>
      <c r="W86" s="3"/>
      <c r="AB86" s="3" t="s">
        <v>13</v>
      </c>
    </row>
    <row r="87" spans="1:41" x14ac:dyDescent="0.35">
      <c r="A87" s="5" t="s">
        <v>13</v>
      </c>
      <c r="B87" s="236" t="s">
        <v>13</v>
      </c>
      <c r="C87" s="236" t="s">
        <v>13</v>
      </c>
      <c r="F87" s="3"/>
      <c r="G87" s="3" t="s">
        <v>13</v>
      </c>
      <c r="H87" s="3"/>
      <c r="I87" s="3"/>
      <c r="J87" s="3"/>
      <c r="K87" s="3"/>
      <c r="L87" s="3"/>
      <c r="M87" s="3"/>
      <c r="N87" s="3"/>
      <c r="O87" s="3"/>
      <c r="P87" s="3"/>
      <c r="S87" s="3"/>
      <c r="T87" s="3"/>
      <c r="U87" s="3"/>
      <c r="V87" s="3"/>
      <c r="W87" s="3" t="s">
        <v>13</v>
      </c>
      <c r="AB87" s="3" t="s">
        <v>13</v>
      </c>
    </row>
    <row r="88" spans="1:41" x14ac:dyDescent="0.35">
      <c r="B88" t="s">
        <v>13</v>
      </c>
      <c r="C88" t="s">
        <v>13</v>
      </c>
      <c r="D88" s="236" t="s">
        <v>13</v>
      </c>
      <c r="F88" s="3" t="s">
        <v>13</v>
      </c>
      <c r="G88" s="3" t="s">
        <v>13</v>
      </c>
      <c r="H88" s="3"/>
      <c r="I88" s="3"/>
      <c r="J88" s="3"/>
      <c r="K88" s="3"/>
      <c r="L88" s="3"/>
      <c r="M88" s="3"/>
      <c r="N88" s="3"/>
      <c r="O88" s="3"/>
      <c r="P88" s="3" t="s">
        <v>13</v>
      </c>
      <c r="Q88" s="3"/>
      <c r="R88" s="3"/>
      <c r="S88" s="3"/>
      <c r="T88" s="3"/>
      <c r="U88" s="3"/>
      <c r="V88" s="3" t="s">
        <v>13</v>
      </c>
      <c r="W88" s="3"/>
      <c r="AB88" s="3" t="s">
        <v>13</v>
      </c>
      <c r="AC88" s="59" t="s">
        <v>13</v>
      </c>
      <c r="AD88" t="s">
        <v>13</v>
      </c>
      <c r="AE88" t="s">
        <v>13</v>
      </c>
    </row>
    <row r="89" spans="1:41" ht="15.5" x14ac:dyDescent="0.35">
      <c r="B89" t="s">
        <v>13</v>
      </c>
      <c r="C89" s="236" t="s">
        <v>13</v>
      </c>
      <c r="D89" s="286" t="s">
        <v>13</v>
      </c>
      <c r="F89" s="287" t="s">
        <v>13</v>
      </c>
      <c r="G89" s="3" t="s">
        <v>13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AB89" s="3" t="s">
        <v>13</v>
      </c>
      <c r="AC89" t="s">
        <v>13</v>
      </c>
    </row>
    <row r="90" spans="1:41" x14ac:dyDescent="0.35">
      <c r="B90" t="s">
        <v>13</v>
      </c>
      <c r="C90" t="s">
        <v>13</v>
      </c>
      <c r="D90" t="s">
        <v>13</v>
      </c>
      <c r="F90" s="3" t="s">
        <v>13</v>
      </c>
      <c r="G90" s="3" t="s">
        <v>13</v>
      </c>
      <c r="H90" s="3" t="s">
        <v>13</v>
      </c>
      <c r="I90" s="3"/>
      <c r="J90" s="3"/>
      <c r="AC90" s="59" t="s">
        <v>13</v>
      </c>
    </row>
    <row r="91" spans="1:41" x14ac:dyDescent="0.35">
      <c r="B91" t="s">
        <v>13</v>
      </c>
      <c r="D91" t="s">
        <v>13</v>
      </c>
      <c r="F91" s="3"/>
      <c r="G91" s="3" t="s">
        <v>13</v>
      </c>
      <c r="H91" s="3"/>
      <c r="I91" s="3"/>
      <c r="J91" s="3"/>
      <c r="AB91" t="s">
        <v>13</v>
      </c>
      <c r="AC91" t="s">
        <v>13</v>
      </c>
    </row>
    <row r="92" spans="1:41" x14ac:dyDescent="0.35">
      <c r="B92" t="s">
        <v>13</v>
      </c>
      <c r="F92" s="3"/>
      <c r="G92" s="3" t="s">
        <v>13</v>
      </c>
      <c r="H92" s="3"/>
      <c r="I92" s="3"/>
      <c r="J92" s="3"/>
    </row>
    <row r="93" spans="1:41" x14ac:dyDescent="0.35">
      <c r="B93" t="s">
        <v>13</v>
      </c>
      <c r="F93" s="3"/>
      <c r="G93" s="3" t="s">
        <v>13</v>
      </c>
      <c r="H93" s="3"/>
      <c r="I93" s="3"/>
      <c r="J93" s="3"/>
    </row>
    <row r="94" spans="1:41" x14ac:dyDescent="0.35">
      <c r="B94" t="s">
        <v>13</v>
      </c>
      <c r="F94" s="3"/>
      <c r="G94" s="3" t="s">
        <v>13</v>
      </c>
      <c r="H94" s="3"/>
      <c r="I94" s="3"/>
      <c r="J94" s="3"/>
    </row>
    <row r="95" spans="1:41" x14ac:dyDescent="0.35">
      <c r="B95" t="s">
        <v>13</v>
      </c>
      <c r="F95" s="3"/>
      <c r="G95" s="3" t="s">
        <v>13</v>
      </c>
      <c r="H95" s="3"/>
      <c r="I95" s="3"/>
      <c r="J95" s="3"/>
    </row>
  </sheetData>
  <sortState xmlns:xlrd2="http://schemas.microsoft.com/office/spreadsheetml/2017/richdata2" ref="A55:AL57">
    <sortCondition ref="C55:C57"/>
  </sortState>
  <pageMargins left="0.7" right="0.7" top="0.75" bottom="0.75" header="0.3" footer="0.3"/>
  <pageSetup orientation="portrait" horizontalDpi="360" verticalDpi="360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O132"/>
  <sheetViews>
    <sheetView topLeftCell="A72" workbookViewId="0">
      <selection activeCell="A85" sqref="A85"/>
    </sheetView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</cols>
  <sheetData>
    <row r="1" spans="1:38" x14ac:dyDescent="0.35">
      <c r="Z1" t="s">
        <v>13</v>
      </c>
      <c r="AA1" s="3" t="s">
        <v>13</v>
      </c>
    </row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44835</v>
      </c>
      <c r="G2" s="1">
        <v>44836</v>
      </c>
      <c r="H2" s="1">
        <v>44837</v>
      </c>
      <c r="I2" s="1">
        <v>44838</v>
      </c>
      <c r="J2" s="1">
        <v>44839</v>
      </c>
      <c r="K2" s="1">
        <v>44840</v>
      </c>
      <c r="L2" s="1">
        <v>44841</v>
      </c>
      <c r="M2" s="1">
        <v>44842</v>
      </c>
      <c r="N2" s="1">
        <v>44843</v>
      </c>
      <c r="O2" s="1">
        <v>44844</v>
      </c>
      <c r="P2" s="1">
        <v>44845</v>
      </c>
      <c r="Q2" s="1">
        <v>44846</v>
      </c>
      <c r="R2" s="1">
        <v>44847</v>
      </c>
      <c r="S2" s="1">
        <v>44848</v>
      </c>
      <c r="T2" s="1">
        <v>44849</v>
      </c>
      <c r="U2" s="1">
        <v>44850</v>
      </c>
      <c r="V2" s="1">
        <v>44851</v>
      </c>
      <c r="W2" s="1">
        <v>44852</v>
      </c>
      <c r="X2" s="1">
        <v>44853</v>
      </c>
      <c r="Y2" s="1">
        <v>44854</v>
      </c>
      <c r="Z2" s="1">
        <v>44855</v>
      </c>
      <c r="AA2" s="1">
        <v>44856</v>
      </c>
      <c r="AB2" s="1">
        <v>44857</v>
      </c>
      <c r="AC2" s="1">
        <v>44858</v>
      </c>
      <c r="AD2" s="1">
        <v>44859</v>
      </c>
      <c r="AE2" s="1">
        <v>44860</v>
      </c>
      <c r="AF2" s="1">
        <v>44861</v>
      </c>
      <c r="AG2" s="1">
        <v>44862</v>
      </c>
      <c r="AH2" s="1">
        <v>44863</v>
      </c>
      <c r="AI2" s="1">
        <v>44864</v>
      </c>
      <c r="AJ2" s="1">
        <v>44865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+'Sep-22'!AI83</f>
        <v>255311.15178335668</v>
      </c>
      <c r="G3" s="3">
        <f>+F111</f>
        <v>255311.15178335668</v>
      </c>
      <c r="H3" s="3">
        <f t="shared" ref="H3:AJ3" si="0">+G111</f>
        <v>255311.15178335668</v>
      </c>
      <c r="I3" s="3">
        <f t="shared" si="0"/>
        <v>878766.15178335668</v>
      </c>
      <c r="J3" s="3">
        <f t="shared" si="0"/>
        <v>878766.15178335668</v>
      </c>
      <c r="K3" s="3">
        <f t="shared" si="0"/>
        <v>801195.15178335668</v>
      </c>
      <c r="L3" s="3">
        <f t="shared" si="0"/>
        <v>727041.15178335668</v>
      </c>
      <c r="M3" s="3">
        <f t="shared" si="0"/>
        <v>727041.15178335668</v>
      </c>
      <c r="N3" s="3">
        <f t="shared" si="0"/>
        <v>727041.15178335668</v>
      </c>
      <c r="O3" s="3">
        <f t="shared" si="0"/>
        <v>727041.15178335668</v>
      </c>
      <c r="P3" s="3">
        <f t="shared" si="0"/>
        <v>727041.15178335668</v>
      </c>
      <c r="Q3" s="3">
        <f t="shared" si="0"/>
        <v>667656.15178335668</v>
      </c>
      <c r="R3" s="3">
        <f t="shared" si="0"/>
        <v>667656.15178335668</v>
      </c>
      <c r="S3" s="3">
        <f t="shared" si="0"/>
        <v>539285.15178335668</v>
      </c>
      <c r="T3" s="3">
        <f t="shared" si="0"/>
        <v>539285.15178335668</v>
      </c>
      <c r="U3" s="3">
        <f t="shared" si="0"/>
        <v>539285.15178335668</v>
      </c>
      <c r="V3" s="3">
        <f t="shared" si="0"/>
        <v>539285.15178335668</v>
      </c>
      <c r="W3" s="3">
        <f t="shared" si="0"/>
        <v>1116674.1517833567</v>
      </c>
      <c r="X3" s="3">
        <f t="shared" si="0"/>
        <v>1738291.1517833567</v>
      </c>
      <c r="Y3" s="3">
        <f t="shared" si="0"/>
        <v>1738291.1517833567</v>
      </c>
      <c r="Z3" s="3">
        <f t="shared" si="0"/>
        <v>1065203.1517833567</v>
      </c>
      <c r="AA3" s="3">
        <f t="shared" si="0"/>
        <v>924792.92956113443</v>
      </c>
      <c r="AB3" s="3">
        <f t="shared" si="0"/>
        <v>512243.19721113448</v>
      </c>
      <c r="AC3" s="3">
        <f t="shared" si="0"/>
        <v>512243.19721113448</v>
      </c>
      <c r="AD3" s="3">
        <f t="shared" si="0"/>
        <v>345728.19721113448</v>
      </c>
      <c r="AE3" s="3">
        <f t="shared" si="0"/>
        <v>628571.65451113461</v>
      </c>
      <c r="AF3" s="3">
        <f t="shared" si="0"/>
        <v>628571.65451113461</v>
      </c>
      <c r="AG3" s="3">
        <f t="shared" si="0"/>
        <v>611911.15451113461</v>
      </c>
      <c r="AH3" s="3">
        <f t="shared" si="0"/>
        <v>611911.15451113461</v>
      </c>
      <c r="AI3" s="3">
        <f t="shared" si="0"/>
        <v>611911.15451113461</v>
      </c>
      <c r="AJ3" s="3">
        <f t="shared" si="0"/>
        <v>611911.15451113461</v>
      </c>
      <c r="AK3" s="3" t="s">
        <v>13</v>
      </c>
      <c r="AL3" s="6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x14ac:dyDescent="0.35">
      <c r="A5" t="s">
        <v>895</v>
      </c>
      <c r="B5" t="s">
        <v>886</v>
      </c>
      <c r="C5" s="5">
        <v>44618</v>
      </c>
      <c r="D5" s="3">
        <v>56708</v>
      </c>
      <c r="E5" s="6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8" ht="15" thickBot="1" x14ac:dyDescent="0.4">
      <c r="A6" t="s">
        <v>1199</v>
      </c>
      <c r="B6" t="s">
        <v>1200</v>
      </c>
      <c r="C6" s="5">
        <v>44785</v>
      </c>
      <c r="D6" s="3">
        <v>208308</v>
      </c>
      <c r="E6" s="6" t="s">
        <v>1345</v>
      </c>
      <c r="F6" s="3"/>
      <c r="G6" s="3" t="s">
        <v>13</v>
      </c>
      <c r="H6" s="3">
        <v>208308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>
        <f>SUM($F6:AJ6)</f>
        <v>208308</v>
      </c>
    </row>
    <row r="7" spans="1:38" x14ac:dyDescent="0.35">
      <c r="A7" s="36" t="s">
        <v>1247</v>
      </c>
      <c r="B7" s="66" t="s">
        <v>1246</v>
      </c>
      <c r="C7" s="38">
        <v>44807</v>
      </c>
      <c r="D7" s="313">
        <v>169343</v>
      </c>
      <c r="E7" s="6" t="s">
        <v>1345</v>
      </c>
      <c r="F7" s="3"/>
      <c r="G7" s="3"/>
      <c r="H7" s="3">
        <v>169343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>
        <f>SUM($F7:AJ7)</f>
        <v>169343</v>
      </c>
    </row>
    <row r="8" spans="1:38" x14ac:dyDescent="0.35">
      <c r="A8" s="41" t="s">
        <v>1306</v>
      </c>
      <c r="B8" t="s">
        <v>1305</v>
      </c>
      <c r="C8" s="5">
        <v>44817</v>
      </c>
      <c r="D8" s="74">
        <v>107766</v>
      </c>
      <c r="E8" s="6" t="s">
        <v>1345</v>
      </c>
      <c r="F8" s="3"/>
      <c r="G8" s="3"/>
      <c r="H8" s="3">
        <v>107766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f>SUM($F8:AJ8)</f>
        <v>107766</v>
      </c>
    </row>
    <row r="9" spans="1:38" x14ac:dyDescent="0.35">
      <c r="A9" s="41" t="s">
        <v>1255</v>
      </c>
      <c r="B9" t="s">
        <v>1256</v>
      </c>
      <c r="C9" s="5">
        <v>44819</v>
      </c>
      <c r="D9" s="74">
        <v>85642</v>
      </c>
      <c r="E9" s="6" t="s">
        <v>782</v>
      </c>
      <c r="F9" s="3"/>
      <c r="G9" s="3"/>
      <c r="H9" s="3"/>
      <c r="I9" s="3" t="s">
        <v>13</v>
      </c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W9" s="3">
        <v>85642</v>
      </c>
      <c r="X9" s="3"/>
      <c r="AK9" s="3">
        <f>SUM($F9:AJ9)</f>
        <v>85642</v>
      </c>
      <c r="AL9" s="22"/>
    </row>
    <row r="10" spans="1:38" x14ac:dyDescent="0.35">
      <c r="A10" s="41" t="s">
        <v>1257</v>
      </c>
      <c r="B10" t="s">
        <v>1258</v>
      </c>
      <c r="C10" s="5">
        <v>44819</v>
      </c>
      <c r="D10" s="74">
        <v>85642</v>
      </c>
      <c r="E10" s="6" t="s">
        <v>782</v>
      </c>
      <c r="F10" s="3"/>
      <c r="G10" s="3"/>
      <c r="H10" s="3"/>
      <c r="I10" s="3" t="s">
        <v>13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W10" s="3">
        <v>85642</v>
      </c>
      <c r="X10" s="3"/>
      <c r="AK10" s="3">
        <f>SUM($F10:AJ10)</f>
        <v>85642</v>
      </c>
      <c r="AL10" s="22"/>
    </row>
    <row r="11" spans="1:38" x14ac:dyDescent="0.35">
      <c r="A11" s="41" t="s">
        <v>1259</v>
      </c>
      <c r="B11" t="s">
        <v>1260</v>
      </c>
      <c r="C11" s="5">
        <v>44824</v>
      </c>
      <c r="D11" s="74">
        <v>85642</v>
      </c>
      <c r="E11" s="6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W11" s="3">
        <v>85642</v>
      </c>
      <c r="X11" s="3"/>
      <c r="AK11" s="3">
        <f>SUM($F11:AJ11)</f>
        <v>85642</v>
      </c>
      <c r="AL11" s="22"/>
    </row>
    <row r="12" spans="1:38" x14ac:dyDescent="0.35">
      <c r="A12" s="41" t="s">
        <v>1261</v>
      </c>
      <c r="B12" t="s">
        <v>1262</v>
      </c>
      <c r="C12" s="5">
        <v>44824</v>
      </c>
      <c r="D12" s="74">
        <v>85642</v>
      </c>
      <c r="E12" s="6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W12" s="3">
        <v>85642</v>
      </c>
      <c r="X12" s="3"/>
      <c r="AK12" s="3">
        <f>SUM($F12:AJ12)</f>
        <v>85642</v>
      </c>
      <c r="AL12" s="22"/>
    </row>
    <row r="13" spans="1:38" x14ac:dyDescent="0.35">
      <c r="A13" s="41" t="s">
        <v>1263</v>
      </c>
      <c r="B13" t="s">
        <v>1264</v>
      </c>
      <c r="C13" s="5">
        <v>44826</v>
      </c>
      <c r="D13" s="74">
        <v>44308</v>
      </c>
      <c r="E13" s="6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W13" s="3">
        <v>44308</v>
      </c>
      <c r="X13" s="3"/>
      <c r="AK13" s="3">
        <f>SUM($F13:AJ13)</f>
        <v>44308</v>
      </c>
      <c r="AL13" s="22"/>
    </row>
    <row r="14" spans="1:38" x14ac:dyDescent="0.35">
      <c r="A14" s="41" t="s">
        <v>1265</v>
      </c>
      <c r="B14" t="s">
        <v>1266</v>
      </c>
      <c r="C14" s="5">
        <v>44826</v>
      </c>
      <c r="D14" s="74">
        <v>44308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W14" s="3">
        <v>44308</v>
      </c>
      <c r="X14" s="3"/>
      <c r="AD14" s="3"/>
      <c r="AK14" s="3">
        <f>SUM($F14:AJ14)</f>
        <v>44308</v>
      </c>
      <c r="AL14" s="22"/>
    </row>
    <row r="15" spans="1:38" x14ac:dyDescent="0.35">
      <c r="A15" s="41" t="s">
        <v>1267</v>
      </c>
      <c r="B15" t="s">
        <v>1268</v>
      </c>
      <c r="C15" s="5">
        <v>44826</v>
      </c>
      <c r="D15" s="74">
        <v>85642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 t="s">
        <v>13</v>
      </c>
      <c r="AD15" s="3">
        <v>85642</v>
      </c>
      <c r="AK15" s="3">
        <f>SUM($F15:AJ15)</f>
        <v>85642</v>
      </c>
      <c r="AL15" s="22"/>
    </row>
    <row r="16" spans="1:38" x14ac:dyDescent="0.35">
      <c r="A16" s="41" t="s">
        <v>1298</v>
      </c>
      <c r="B16" t="s">
        <v>1297</v>
      </c>
      <c r="C16" s="5">
        <v>44830</v>
      </c>
      <c r="D16" s="74">
        <v>138038</v>
      </c>
      <c r="E16" s="6" t="s">
        <v>1345</v>
      </c>
      <c r="F16" s="3"/>
      <c r="G16" s="3"/>
      <c r="H16" s="3">
        <v>138038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 t="s">
        <v>13</v>
      </c>
      <c r="AD16" s="3"/>
      <c r="AK16" s="3">
        <f>SUM($F16:AJ16)</f>
        <v>138038</v>
      </c>
      <c r="AL16" s="22"/>
    </row>
    <row r="17" spans="1:38" x14ac:dyDescent="0.35">
      <c r="A17" s="41" t="s">
        <v>1299</v>
      </c>
      <c r="B17" t="s">
        <v>1300</v>
      </c>
      <c r="C17" s="5">
        <v>44835</v>
      </c>
      <c r="D17" s="74">
        <v>85642</v>
      </c>
      <c r="E17" s="6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AD17" s="3">
        <v>85642</v>
      </c>
      <c r="AK17" s="3">
        <f>SUM($F17:AJ17)</f>
        <v>85642</v>
      </c>
      <c r="AL17" s="22"/>
    </row>
    <row r="18" spans="1:38" ht="15" thickBot="1" x14ac:dyDescent="0.4">
      <c r="A18" s="43" t="s">
        <v>1301</v>
      </c>
      <c r="B18" s="76" t="s">
        <v>1302</v>
      </c>
      <c r="C18" s="45">
        <v>44835</v>
      </c>
      <c r="D18" s="119">
        <v>55875</v>
      </c>
      <c r="E18" s="6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AD18" s="3">
        <v>55875</v>
      </c>
      <c r="AK18" s="3">
        <f>SUM($F18:AJ18)</f>
        <v>55875</v>
      </c>
      <c r="AL18" s="22"/>
    </row>
    <row r="19" spans="1:38" x14ac:dyDescent="0.35">
      <c r="A19" t="s">
        <v>1303</v>
      </c>
      <c r="B19" t="s">
        <v>1304</v>
      </c>
      <c r="C19" s="5">
        <v>44837</v>
      </c>
      <c r="D19" s="3">
        <v>322414</v>
      </c>
      <c r="E19" s="6" t="s">
        <v>1345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322414</v>
      </c>
      <c r="W19" s="3"/>
      <c r="AD19" s="3"/>
      <c r="AK19" s="3">
        <f>SUM($F19:AJ19)</f>
        <v>322414</v>
      </c>
      <c r="AL19" s="22"/>
    </row>
    <row r="20" spans="1:38" x14ac:dyDescent="0.35">
      <c r="A20" t="s">
        <v>1307</v>
      </c>
      <c r="B20" t="s">
        <v>1308</v>
      </c>
      <c r="C20" s="5">
        <v>44837</v>
      </c>
      <c r="D20" s="3">
        <v>190433</v>
      </c>
      <c r="E20" s="6" t="s">
        <v>1345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 t="s">
        <v>13</v>
      </c>
      <c r="W20" s="3">
        <v>190433</v>
      </c>
      <c r="AD20" s="3"/>
      <c r="AK20" s="3">
        <f>SUM($F20:AJ20)</f>
        <v>190433</v>
      </c>
      <c r="AL20" s="22"/>
    </row>
    <row r="21" spans="1:38" x14ac:dyDescent="0.35">
      <c r="A21" t="s">
        <v>1320</v>
      </c>
      <c r="B21" t="s">
        <v>1321</v>
      </c>
      <c r="C21" s="5">
        <v>44841</v>
      </c>
      <c r="D21" s="3">
        <v>254975</v>
      </c>
      <c r="E21" s="6" t="s">
        <v>1345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254975</v>
      </c>
      <c r="W21" s="3"/>
      <c r="AD21" s="3"/>
      <c r="AK21" s="3">
        <f>SUM($F21:AJ21)</f>
        <v>254975</v>
      </c>
      <c r="AL21" s="22"/>
    </row>
    <row r="22" spans="1:38" x14ac:dyDescent="0.35">
      <c r="A22" t="s">
        <v>1322</v>
      </c>
      <c r="B22" t="s">
        <v>1323</v>
      </c>
      <c r="C22" s="5">
        <v>44842</v>
      </c>
      <c r="D22" s="3">
        <v>85642</v>
      </c>
      <c r="E22" s="6" t="s">
        <v>782</v>
      </c>
      <c r="F22" s="3" t="s">
        <v>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AD22" s="3">
        <v>85642</v>
      </c>
      <c r="AK22" s="3">
        <f>SUM($F22:AJ22)</f>
        <v>85642</v>
      </c>
      <c r="AL22" s="22"/>
    </row>
    <row r="23" spans="1:38" x14ac:dyDescent="0.35">
      <c r="A23" t="s">
        <v>1324</v>
      </c>
      <c r="B23" t="s">
        <v>1325</v>
      </c>
      <c r="C23" s="5">
        <v>44842</v>
      </c>
      <c r="D23" s="3">
        <v>44308</v>
      </c>
      <c r="E23" s="6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AD23" s="3">
        <v>44308</v>
      </c>
      <c r="AK23" s="3">
        <f>SUM($F23:AJ23)</f>
        <v>44308</v>
      </c>
      <c r="AL23" s="22"/>
    </row>
    <row r="24" spans="1:38" x14ac:dyDescent="0.35">
      <c r="A24" s="41" t="s">
        <v>1327</v>
      </c>
      <c r="B24" t="s">
        <v>1326</v>
      </c>
      <c r="C24" s="5">
        <v>44843</v>
      </c>
      <c r="D24" s="74">
        <v>85642</v>
      </c>
      <c r="E24" s="6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AD24" s="3">
        <v>85642</v>
      </c>
      <c r="AK24" s="3">
        <f>SUM($F24:AJ24)</f>
        <v>85642</v>
      </c>
      <c r="AL24" s="22"/>
    </row>
    <row r="25" spans="1:38" x14ac:dyDescent="0.35">
      <c r="A25" t="s">
        <v>1334</v>
      </c>
      <c r="B25" t="s">
        <v>1335</v>
      </c>
      <c r="C25" s="5">
        <v>44847</v>
      </c>
      <c r="D25" s="3">
        <v>85642</v>
      </c>
      <c r="E25" s="6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AD25" s="3">
        <v>85642</v>
      </c>
      <c r="AK25" s="3">
        <f>SUM($F25:AJ25)</f>
        <v>85642</v>
      </c>
      <c r="AL25" s="22"/>
    </row>
    <row r="26" spans="1:38" x14ac:dyDescent="0.35">
      <c r="A26" t="s">
        <v>1336</v>
      </c>
      <c r="B26" t="s">
        <v>1337</v>
      </c>
      <c r="C26" s="5">
        <v>44847</v>
      </c>
      <c r="D26" s="3">
        <v>85642</v>
      </c>
      <c r="E26" s="6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AD26" s="3">
        <v>85642</v>
      </c>
      <c r="AK26" s="3">
        <f>SUM($F26:AJ26)</f>
        <v>85642</v>
      </c>
      <c r="AL26" s="22"/>
    </row>
    <row r="27" spans="1:38" x14ac:dyDescent="0.35">
      <c r="A27" t="s">
        <v>1341</v>
      </c>
      <c r="B27" t="s">
        <v>1342</v>
      </c>
      <c r="C27" s="5">
        <v>44849</v>
      </c>
      <c r="D27" s="3">
        <v>96704</v>
      </c>
      <c r="E27" s="6" t="s">
        <v>1345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 t="s">
        <v>13</v>
      </c>
      <c r="W27" s="3"/>
      <c r="AD27" s="3"/>
      <c r="AK27" s="3">
        <f>SUM($F27:AJ27)</f>
        <v>0</v>
      </c>
      <c r="AL27" s="22"/>
    </row>
    <row r="28" spans="1:38" x14ac:dyDescent="0.35">
      <c r="A28" t="s">
        <v>1348</v>
      </c>
      <c r="B28" t="s">
        <v>1346</v>
      </c>
      <c r="C28" s="5">
        <v>44849</v>
      </c>
      <c r="D28" s="3">
        <v>44308</v>
      </c>
      <c r="E28" s="6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AD28" s="3">
        <v>44308</v>
      </c>
      <c r="AK28" s="3">
        <f>SUM($F28:AJ28)</f>
        <v>44308</v>
      </c>
      <c r="AL28" s="22"/>
    </row>
    <row r="29" spans="1:38" x14ac:dyDescent="0.35">
      <c r="A29" t="s">
        <v>1349</v>
      </c>
      <c r="B29" t="s">
        <v>1347</v>
      </c>
      <c r="C29" s="5">
        <v>44849</v>
      </c>
      <c r="D29" s="3">
        <v>23642</v>
      </c>
      <c r="E29" s="6" t="s">
        <v>782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AD29" s="3">
        <v>23642</v>
      </c>
      <c r="AK29" s="3">
        <f>SUM($F29:AJ29)</f>
        <v>23642</v>
      </c>
      <c r="AL29" s="22"/>
    </row>
    <row r="30" spans="1:38" x14ac:dyDescent="0.35">
      <c r="A30" t="s">
        <v>1360</v>
      </c>
      <c r="B30" t="s">
        <v>1361</v>
      </c>
      <c r="C30" s="5">
        <v>44855</v>
      </c>
      <c r="D30" s="3">
        <v>85642</v>
      </c>
      <c r="E30" s="6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AK30" s="3">
        <f>SUM($F30:AJ30)</f>
        <v>0</v>
      </c>
      <c r="AL30" s="22"/>
    </row>
    <row r="31" spans="1:38" x14ac:dyDescent="0.35">
      <c r="A31" t="s">
        <v>1362</v>
      </c>
      <c r="B31" t="s">
        <v>1363</v>
      </c>
      <c r="C31" s="5">
        <v>44855</v>
      </c>
      <c r="D31" s="3">
        <v>85642</v>
      </c>
      <c r="E31" s="6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AK31" s="3">
        <f>SUM($F31:AJ31)</f>
        <v>0</v>
      </c>
      <c r="AL31" s="22"/>
    </row>
    <row r="32" spans="1:38" x14ac:dyDescent="0.35">
      <c r="A32" t="s">
        <v>1364</v>
      </c>
      <c r="B32" t="s">
        <v>1365</v>
      </c>
      <c r="C32" s="5">
        <v>44855</v>
      </c>
      <c r="D32" s="3">
        <v>55875</v>
      </c>
      <c r="E32" s="6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AK32" s="3">
        <f>SUM($F32:AJ32)</f>
        <v>0</v>
      </c>
      <c r="AL32" s="22"/>
    </row>
    <row r="33" spans="1:38" x14ac:dyDescent="0.35">
      <c r="A33" t="s">
        <v>1366</v>
      </c>
      <c r="B33" t="s">
        <v>1367</v>
      </c>
      <c r="C33" s="5">
        <v>44855</v>
      </c>
      <c r="D33" s="3">
        <v>44308</v>
      </c>
      <c r="E33" s="6" t="s">
        <v>782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AK33" s="3">
        <f>SUM($F33:AJ33)</f>
        <v>0</v>
      </c>
      <c r="AL33" s="22"/>
    </row>
    <row r="34" spans="1:38" x14ac:dyDescent="0.35">
      <c r="A34" t="s">
        <v>1368</v>
      </c>
      <c r="B34" t="s">
        <v>1369</v>
      </c>
      <c r="C34" s="5">
        <v>44855</v>
      </c>
      <c r="D34" s="3">
        <v>44308</v>
      </c>
      <c r="E34" s="6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K34" s="3">
        <f>SUM($F34:AJ34)</f>
        <v>0</v>
      </c>
      <c r="AL34" s="22"/>
    </row>
    <row r="35" spans="1:38" x14ac:dyDescent="0.35">
      <c r="A35" t="s">
        <v>1370</v>
      </c>
      <c r="B35" t="s">
        <v>1371</v>
      </c>
      <c r="C35" s="5">
        <v>44855</v>
      </c>
      <c r="D35" s="3">
        <v>85642</v>
      </c>
      <c r="E35" s="6" t="s">
        <v>1345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K35" s="3">
        <f>SUM($F35:AJ35)</f>
        <v>0</v>
      </c>
      <c r="AL35" s="22"/>
    </row>
    <row r="36" spans="1:38" x14ac:dyDescent="0.35">
      <c r="A36" t="s">
        <v>1379</v>
      </c>
      <c r="B36" t="s">
        <v>1376</v>
      </c>
      <c r="C36" s="5">
        <v>44862</v>
      </c>
      <c r="D36" s="3">
        <v>85642</v>
      </c>
      <c r="E36" s="6" t="s">
        <v>782</v>
      </c>
      <c r="F36" s="3"/>
      <c r="G36" s="3"/>
      <c r="H36" s="3" t="s">
        <v>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K36" s="3">
        <f>SUM($F36:AJ36)</f>
        <v>0</v>
      </c>
      <c r="AL36" s="22"/>
    </row>
    <row r="37" spans="1:38" x14ac:dyDescent="0.35">
      <c r="A37" t="s">
        <v>1380</v>
      </c>
      <c r="B37" t="s">
        <v>1377</v>
      </c>
      <c r="C37" s="5">
        <v>44862</v>
      </c>
      <c r="D37" s="3">
        <v>85642</v>
      </c>
      <c r="E37" s="6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AK37" s="3">
        <f>SUM($F37:AJ37)</f>
        <v>0</v>
      </c>
      <c r="AL37" s="22"/>
    </row>
    <row r="38" spans="1:38" x14ac:dyDescent="0.35">
      <c r="A38" t="s">
        <v>1378</v>
      </c>
      <c r="B38" t="s">
        <v>1387</v>
      </c>
      <c r="C38" s="5">
        <v>44862</v>
      </c>
      <c r="D38" s="3">
        <f>34734*4*1.19+38095*2*1.19+44030*1.19+2500*1.19</f>
        <v>311370.64</v>
      </c>
      <c r="E38" s="6" t="s">
        <v>1345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AK38" s="3">
        <f>SUM($F38:AJ38)</f>
        <v>0</v>
      </c>
      <c r="AL38" s="22"/>
    </row>
    <row r="39" spans="1:38" x14ac:dyDescent="0.35">
      <c r="A39" t="s">
        <v>1381</v>
      </c>
      <c r="B39" t="s">
        <v>1382</v>
      </c>
      <c r="C39" s="5">
        <v>44862</v>
      </c>
      <c r="D39" s="3">
        <v>85642</v>
      </c>
      <c r="E39" s="6" t="s">
        <v>782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AK39" s="3">
        <f>SUM($F39:AJ39)</f>
        <v>0</v>
      </c>
      <c r="AL39" s="22"/>
    </row>
    <row r="40" spans="1:38" x14ac:dyDescent="0.35">
      <c r="A40" t="s">
        <v>1383</v>
      </c>
      <c r="B40" t="s">
        <v>1385</v>
      </c>
      <c r="C40" s="5">
        <v>44862</v>
      </c>
      <c r="D40" s="3">
        <v>85642</v>
      </c>
      <c r="E40" s="6" t="s">
        <v>782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AK40" s="3">
        <f>SUM($F40:AJ40)</f>
        <v>0</v>
      </c>
      <c r="AL40" s="22"/>
    </row>
    <row r="41" spans="1:38" x14ac:dyDescent="0.35">
      <c r="A41" t="s">
        <v>1384</v>
      </c>
      <c r="B41" t="s">
        <v>1386</v>
      </c>
      <c r="C41" s="5">
        <v>44862</v>
      </c>
      <c r="D41" s="3">
        <v>44308</v>
      </c>
      <c r="E41" s="6" t="s">
        <v>782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 t="s">
        <v>13</v>
      </c>
      <c r="W41" s="3" t="s">
        <v>13</v>
      </c>
      <c r="X41" s="3" t="s">
        <v>13</v>
      </c>
      <c r="AK41" s="3">
        <f>SUM($F41:AJ41)</f>
        <v>0</v>
      </c>
    </row>
    <row r="42" spans="1:38" x14ac:dyDescent="0.35">
      <c r="C42" s="5"/>
      <c r="D42" s="3" t="s">
        <v>13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AK42" s="3"/>
      <c r="AL42" s="22"/>
    </row>
    <row r="43" spans="1:38" x14ac:dyDescent="0.35">
      <c r="C43" s="5"/>
      <c r="D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AK43" s="3"/>
      <c r="AL43" s="22" t="s">
        <v>1353</v>
      </c>
    </row>
    <row r="44" spans="1:38" x14ac:dyDescent="0.35">
      <c r="A44" s="2" t="s">
        <v>1676</v>
      </c>
      <c r="D44" s="3">
        <f>SUM(D19:D41)</f>
        <v>2419015.64</v>
      </c>
      <c r="F44" s="3">
        <f t="shared" ref="F44:AJ44" si="1">SUM(F5:F29)</f>
        <v>0</v>
      </c>
      <c r="G44" s="3">
        <f t="shared" si="1"/>
        <v>0</v>
      </c>
      <c r="H44" s="3">
        <f t="shared" si="1"/>
        <v>623455</v>
      </c>
      <c r="I44" s="3">
        <f t="shared" si="1"/>
        <v>0</v>
      </c>
      <c r="J44" s="3">
        <f t="shared" si="1"/>
        <v>0</v>
      </c>
      <c r="K44" s="3">
        <f t="shared" si="1"/>
        <v>0</v>
      </c>
      <c r="L44" s="3">
        <f t="shared" si="1"/>
        <v>0</v>
      </c>
      <c r="M44" s="3">
        <f t="shared" si="1"/>
        <v>0</v>
      </c>
      <c r="N44" s="3">
        <f t="shared" si="1"/>
        <v>0</v>
      </c>
      <c r="O44" s="3">
        <f t="shared" si="1"/>
        <v>0</v>
      </c>
      <c r="P44" s="3">
        <f t="shared" si="1"/>
        <v>0</v>
      </c>
      <c r="Q44" s="3">
        <f t="shared" si="1"/>
        <v>0</v>
      </c>
      <c r="R44" s="3">
        <f t="shared" si="1"/>
        <v>0</v>
      </c>
      <c r="S44" s="3">
        <f t="shared" si="1"/>
        <v>0</v>
      </c>
      <c r="T44" s="3">
        <f t="shared" si="1"/>
        <v>0</v>
      </c>
      <c r="U44" s="3">
        <f t="shared" si="1"/>
        <v>0</v>
      </c>
      <c r="V44" s="3">
        <f t="shared" si="1"/>
        <v>577389</v>
      </c>
      <c r="W44" s="3">
        <f t="shared" si="1"/>
        <v>621617</v>
      </c>
      <c r="X44" s="3">
        <f t="shared" si="1"/>
        <v>0</v>
      </c>
      <c r="Y44" s="3">
        <f t="shared" si="1"/>
        <v>0</v>
      </c>
      <c r="Z44" s="3">
        <f t="shared" si="1"/>
        <v>0</v>
      </c>
      <c r="AA44" s="3">
        <f t="shared" si="1"/>
        <v>0</v>
      </c>
      <c r="AB44" s="3">
        <f t="shared" si="1"/>
        <v>0</v>
      </c>
      <c r="AC44" s="3">
        <f t="shared" si="1"/>
        <v>0</v>
      </c>
      <c r="AD44" s="3">
        <f t="shared" si="1"/>
        <v>681985</v>
      </c>
      <c r="AE44" s="3">
        <f t="shared" si="1"/>
        <v>0</v>
      </c>
      <c r="AF44" s="3">
        <f t="shared" si="1"/>
        <v>0</v>
      </c>
      <c r="AG44" s="3">
        <f t="shared" si="1"/>
        <v>0</v>
      </c>
      <c r="AH44" s="3">
        <f t="shared" si="1"/>
        <v>0</v>
      </c>
      <c r="AI44" s="3">
        <f t="shared" si="1"/>
        <v>0</v>
      </c>
      <c r="AJ44" s="3">
        <f t="shared" si="1"/>
        <v>0</v>
      </c>
      <c r="AK44" s="72">
        <f>SUM(AK5:AK40)</f>
        <v>2504446</v>
      </c>
      <c r="AL44" s="22">
        <f>+D45-AK44</f>
        <v>1196367.6400000001</v>
      </c>
    </row>
    <row r="45" spans="1:38" x14ac:dyDescent="0.35">
      <c r="A45" s="2" t="s">
        <v>1780</v>
      </c>
      <c r="D45" s="3">
        <f>SUM(D6:D41)</f>
        <v>3700813.64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38" x14ac:dyDescent="0.35">
      <c r="A46" s="2" t="s">
        <v>2</v>
      </c>
      <c r="C46" t="s">
        <v>1406</v>
      </c>
      <c r="F46" s="3"/>
      <c r="G46" s="3"/>
      <c r="H46" s="3"/>
      <c r="I46" s="3"/>
      <c r="J46" s="3"/>
      <c r="K46" s="3"/>
      <c r="L46" s="3" t="s">
        <v>13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38" ht="15" thickBot="1" x14ac:dyDescent="0.4">
      <c r="A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38" x14ac:dyDescent="0.35">
      <c r="A48" s="36" t="s">
        <v>1140</v>
      </c>
      <c r="B48" s="66" t="s">
        <v>337</v>
      </c>
      <c r="C48" s="38" t="s">
        <v>13</v>
      </c>
      <c r="D48" s="39">
        <f>+'Jun-22'!D35</f>
        <v>242556.17000000004</v>
      </c>
      <c r="E48" s="4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AK48" s="3">
        <f>SUM($F48:AJ48)</f>
        <v>0</v>
      </c>
    </row>
    <row r="49" spans="1:38" x14ac:dyDescent="0.35">
      <c r="A49" t="s">
        <v>1141</v>
      </c>
      <c r="B49" t="s">
        <v>337</v>
      </c>
      <c r="C49" s="5" t="s">
        <v>13</v>
      </c>
      <c r="D49" s="3">
        <f>+'Sep-22'!D34</f>
        <v>534883.75</v>
      </c>
      <c r="E49" s="4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AK49" s="3">
        <f>SUM($F49:AJ49)</f>
        <v>0</v>
      </c>
    </row>
    <row r="50" spans="1:38" x14ac:dyDescent="0.35">
      <c r="A50" t="s">
        <v>1844</v>
      </c>
      <c r="B50" t="s">
        <v>337</v>
      </c>
      <c r="C50" s="5" t="s">
        <v>13</v>
      </c>
      <c r="D50" s="3">
        <f>+'Ago-22'!D32</f>
        <v>191740.62000000002</v>
      </c>
      <c r="E50" s="4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AK50" s="3">
        <f>SUM($F50:AJ50)</f>
        <v>0</v>
      </c>
    </row>
    <row r="51" spans="1:38" ht="15" thickBot="1" x14ac:dyDescent="0.4">
      <c r="A51" s="41" t="s">
        <v>1616</v>
      </c>
      <c r="B51" t="s">
        <v>337</v>
      </c>
      <c r="C51" s="5"/>
      <c r="D51" s="3">
        <f>+'Sep-22'!D36</f>
        <v>120331.61000000002</v>
      </c>
      <c r="E51" s="4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AK51" s="3">
        <f>SUM($F51:AJ51)</f>
        <v>0</v>
      </c>
    </row>
    <row r="52" spans="1:38" ht="15" thickBot="1" x14ac:dyDescent="0.4">
      <c r="A52" s="88" t="s">
        <v>1617</v>
      </c>
      <c r="B52" s="89" t="s">
        <v>337</v>
      </c>
      <c r="C52" s="351">
        <v>44864</v>
      </c>
      <c r="D52" s="270">
        <f>+AK44*0.17</f>
        <v>425755.82</v>
      </c>
      <c r="E52" s="35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AK52" s="3">
        <f>SUM($F52:AJ52)</f>
        <v>0</v>
      </c>
      <c r="AL52" s="6" t="s">
        <v>1846</v>
      </c>
    </row>
    <row r="53" spans="1:38" x14ac:dyDescent="0.35">
      <c r="A53" s="343" t="s">
        <v>629</v>
      </c>
      <c r="B53" s="24" t="s">
        <v>337</v>
      </c>
      <c r="C53" s="67"/>
      <c r="D53" s="3">
        <v>500000</v>
      </c>
      <c r="E53" s="4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AK53" s="3">
        <f>SUM($F53:AJ53)</f>
        <v>0</v>
      </c>
    </row>
    <row r="54" spans="1:38" x14ac:dyDescent="0.35">
      <c r="A54" s="343" t="s">
        <v>952</v>
      </c>
      <c r="B54" s="24" t="s">
        <v>337</v>
      </c>
      <c r="C54" s="5"/>
      <c r="D54" s="3">
        <v>2400000</v>
      </c>
      <c r="E54" s="4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AK54" s="3">
        <f>SUM($F54:AJ54)</f>
        <v>0</v>
      </c>
    </row>
    <row r="55" spans="1:38" x14ac:dyDescent="0.35">
      <c r="A55" s="343" t="s">
        <v>1008</v>
      </c>
      <c r="B55" s="24" t="s">
        <v>337</v>
      </c>
      <c r="C55" s="5"/>
      <c r="D55" s="3">
        <v>2400000</v>
      </c>
      <c r="E55" s="4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AK55" s="3">
        <f>SUM($F55:AJ55)</f>
        <v>0</v>
      </c>
    </row>
    <row r="56" spans="1:38" x14ac:dyDescent="0.35">
      <c r="A56" s="343" t="s">
        <v>1179</v>
      </c>
      <c r="B56" s="24" t="s">
        <v>1180</v>
      </c>
      <c r="C56" s="5">
        <v>44781</v>
      </c>
      <c r="D56" s="3">
        <v>126142</v>
      </c>
      <c r="E56" s="4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AC56" s="3">
        <v>126142</v>
      </c>
      <c r="AK56" s="3">
        <f>SUM($F56:AJ56)</f>
        <v>126142</v>
      </c>
      <c r="AL56" s="6" t="s">
        <v>13</v>
      </c>
    </row>
    <row r="57" spans="1:38" x14ac:dyDescent="0.35">
      <c r="A57" s="343" t="s">
        <v>1197</v>
      </c>
      <c r="B57" s="24" t="s">
        <v>1198</v>
      </c>
      <c r="C57" s="5">
        <v>44781</v>
      </c>
      <c r="D57" s="3">
        <v>290360</v>
      </c>
      <c r="E57" s="42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AK57" s="3">
        <f>SUM($F57:AJ57)</f>
        <v>0</v>
      </c>
    </row>
    <row r="58" spans="1:38" x14ac:dyDescent="0.35">
      <c r="A58" s="343" t="s">
        <v>1309</v>
      </c>
      <c r="B58" t="s">
        <v>1310</v>
      </c>
      <c r="C58" s="67">
        <v>44782</v>
      </c>
      <c r="D58" s="3">
        <v>928200</v>
      </c>
      <c r="E58" s="34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J58" s="3"/>
      <c r="AK58" s="3">
        <f>SUM($F58:AJ58)</f>
        <v>0</v>
      </c>
      <c r="AL58" s="22"/>
    </row>
    <row r="59" spans="1:38" x14ac:dyDescent="0.35">
      <c r="A59" s="343" t="s">
        <v>1309</v>
      </c>
      <c r="B59" t="s">
        <v>1311</v>
      </c>
      <c r="C59" s="67">
        <v>44782</v>
      </c>
      <c r="D59" s="3">
        <v>742203</v>
      </c>
      <c r="E59" s="34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J59" s="3"/>
      <c r="AK59" s="3">
        <f>SUM($F59:AJ59)</f>
        <v>0</v>
      </c>
      <c r="AL59" s="22"/>
    </row>
    <row r="60" spans="1:38" x14ac:dyDescent="0.35">
      <c r="A60" s="343" t="s">
        <v>1309</v>
      </c>
      <c r="B60" t="s">
        <v>1312</v>
      </c>
      <c r="C60" s="67">
        <v>44782</v>
      </c>
      <c r="D60" s="3">
        <v>673088</v>
      </c>
      <c r="E60" s="344"/>
      <c r="F60" s="3"/>
      <c r="G60" s="3"/>
      <c r="H60" s="3"/>
      <c r="I60" s="3" t="s">
        <v>13</v>
      </c>
      <c r="J60" s="3"/>
      <c r="K60" s="3"/>
      <c r="M60" s="3"/>
      <c r="N60" s="3"/>
      <c r="P60" s="3"/>
      <c r="R60" s="3"/>
      <c r="S60" s="3"/>
      <c r="U60" s="3"/>
      <c r="V60" s="3"/>
      <c r="Y60" s="3">
        <v>673088</v>
      </c>
      <c r="AJ60" s="3"/>
      <c r="AK60" s="3">
        <f>SUM($F60:AJ60)</f>
        <v>673088</v>
      </c>
      <c r="AL60" s="22" t="s">
        <v>13</v>
      </c>
    </row>
    <row r="61" spans="1:38" x14ac:dyDescent="0.35">
      <c r="A61" s="343" t="s">
        <v>1161</v>
      </c>
      <c r="B61" s="24" t="s">
        <v>1194</v>
      </c>
      <c r="C61" s="5">
        <v>44784</v>
      </c>
      <c r="D61" s="71">
        <v>24280</v>
      </c>
      <c r="E61" s="344" t="s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G61" s="3"/>
      <c r="AK61" s="3">
        <f>SUM($F61:AJ61)</f>
        <v>0</v>
      </c>
      <c r="AL61" s="22"/>
    </row>
    <row r="62" spans="1:38" x14ac:dyDescent="0.35">
      <c r="A62" s="343" t="s">
        <v>1195</v>
      </c>
      <c r="B62" s="24" t="s">
        <v>1196</v>
      </c>
      <c r="C62" s="67">
        <v>44784</v>
      </c>
      <c r="D62" s="71">
        <v>35990</v>
      </c>
      <c r="E62" s="344" t="s">
        <v>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G62" s="3"/>
      <c r="AK62" s="3">
        <f>SUM($F62:AJ62)</f>
        <v>0</v>
      </c>
      <c r="AL62" s="22"/>
    </row>
    <row r="63" spans="1:38" x14ac:dyDescent="0.35">
      <c r="A63" s="343" t="s">
        <v>1201</v>
      </c>
      <c r="B63" s="24" t="s">
        <v>1202</v>
      </c>
      <c r="C63" s="67">
        <v>44785</v>
      </c>
      <c r="D63" s="71">
        <v>12670</v>
      </c>
      <c r="E63" s="344" t="s">
        <v>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G63" s="3"/>
      <c r="AK63" s="3">
        <f>SUM($F63:AJ63)</f>
        <v>0</v>
      </c>
      <c r="AL63" s="22"/>
    </row>
    <row r="64" spans="1:38" x14ac:dyDescent="0.35">
      <c r="A64" s="343" t="s">
        <v>1203</v>
      </c>
      <c r="B64" s="24" t="s">
        <v>1204</v>
      </c>
      <c r="C64" s="67">
        <v>44785</v>
      </c>
      <c r="D64" s="71">
        <v>1790</v>
      </c>
      <c r="E64" s="344" t="s">
        <v>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AG64" s="3"/>
      <c r="AK64" s="3">
        <f>SUM($F64:AJ64)</f>
        <v>0</v>
      </c>
      <c r="AL64" s="22"/>
    </row>
    <row r="65" spans="1:38" x14ac:dyDescent="0.35">
      <c r="A65" s="343" t="s">
        <v>1218</v>
      </c>
      <c r="B65" s="24" t="s">
        <v>1219</v>
      </c>
      <c r="C65" s="67">
        <v>44791</v>
      </c>
      <c r="D65" s="71">
        <v>10990</v>
      </c>
      <c r="E65" s="344" t="s">
        <v>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AG65" s="3"/>
      <c r="AK65" s="3">
        <f>SUM($F65:AJ65)</f>
        <v>0</v>
      </c>
      <c r="AL65" s="22"/>
    </row>
    <row r="66" spans="1:38" x14ac:dyDescent="0.35">
      <c r="A66" s="343" t="s">
        <v>1221</v>
      </c>
      <c r="B66" s="24" t="s">
        <v>1220</v>
      </c>
      <c r="C66" s="67">
        <v>44791</v>
      </c>
      <c r="D66" s="71">
        <v>2990</v>
      </c>
      <c r="E66" s="344" t="s">
        <v>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AJ66" s="3"/>
      <c r="AK66" s="3">
        <f>SUM($F66:AJ66)</f>
        <v>0</v>
      </c>
      <c r="AL66" s="22"/>
    </row>
    <row r="67" spans="1:38" x14ac:dyDescent="0.35">
      <c r="A67" s="343" t="s">
        <v>920</v>
      </c>
      <c r="B67" s="24" t="s">
        <v>1236</v>
      </c>
      <c r="C67" s="67">
        <v>44799</v>
      </c>
      <c r="D67" s="3">
        <v>11984</v>
      </c>
      <c r="E67" s="344" t="s">
        <v>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Z67" s="3">
        <v>11984</v>
      </c>
      <c r="AG67" s="3"/>
      <c r="AK67" s="3">
        <f>SUM($F67:AJ67)</f>
        <v>11984</v>
      </c>
      <c r="AL67" s="22" t="s">
        <v>13</v>
      </c>
    </row>
    <row r="68" spans="1:38" x14ac:dyDescent="0.35">
      <c r="A68" s="343" t="s">
        <v>1161</v>
      </c>
      <c r="B68" s="24" t="s">
        <v>1235</v>
      </c>
      <c r="C68" s="5">
        <v>44806</v>
      </c>
      <c r="D68" s="7">
        <v>12140</v>
      </c>
      <c r="E68" s="344" t="s">
        <v>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Z68" s="7">
        <v>12140</v>
      </c>
      <c r="AJ68" s="3"/>
      <c r="AK68" s="3">
        <f>SUM($F68:AJ68)</f>
        <v>12140</v>
      </c>
      <c r="AL68" s="22" t="s">
        <v>13</v>
      </c>
    </row>
    <row r="69" spans="1:38" x14ac:dyDescent="0.35">
      <c r="A69" s="343" t="s">
        <v>1161</v>
      </c>
      <c r="B69" s="24" t="s">
        <v>1248</v>
      </c>
      <c r="C69" s="5">
        <v>44813</v>
      </c>
      <c r="D69" s="7">
        <v>11360</v>
      </c>
      <c r="E69" s="344" t="s">
        <v>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Z69" s="7">
        <v>11360</v>
      </c>
      <c r="AJ69" s="3"/>
      <c r="AK69" s="3">
        <f>SUM($F69:AJ69)</f>
        <v>11360</v>
      </c>
      <c r="AL69" s="22" t="s">
        <v>13</v>
      </c>
    </row>
    <row r="70" spans="1:38" x14ac:dyDescent="0.35">
      <c r="A70" s="343" t="s">
        <v>1251</v>
      </c>
      <c r="B70" s="24"/>
      <c r="C70" s="67">
        <v>44813</v>
      </c>
      <c r="D70" s="3">
        <f>(12.9+7+9+5.9)*1300/9+1100+1068+1736</f>
        <v>8930.6666666666661</v>
      </c>
      <c r="E70" s="34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Z70" s="3">
        <f>(12.9+7+9+5.9)*1300/9+1100+1068+1736</f>
        <v>8930.6666666666661</v>
      </c>
      <c r="AJ70" s="3"/>
      <c r="AK70" s="3">
        <f>SUM($F70:AJ70)</f>
        <v>8930.6666666666661</v>
      </c>
      <c r="AL70" s="22" t="s">
        <v>13</v>
      </c>
    </row>
    <row r="71" spans="1:38" x14ac:dyDescent="0.35">
      <c r="A71" s="343" t="s">
        <v>1253</v>
      </c>
      <c r="B71" s="24" t="s">
        <v>1252</v>
      </c>
      <c r="C71" s="67">
        <v>44816</v>
      </c>
      <c r="D71" s="3">
        <v>6360</v>
      </c>
      <c r="E71" s="344" t="s">
        <v>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Z71" s="3">
        <v>6360</v>
      </c>
      <c r="AJ71" s="3"/>
      <c r="AK71" s="3">
        <f>SUM($F71:AJ71)</f>
        <v>6360</v>
      </c>
      <c r="AL71" s="22" t="s">
        <v>13</v>
      </c>
    </row>
    <row r="72" spans="1:38" x14ac:dyDescent="0.35">
      <c r="A72" s="343" t="s">
        <v>1296</v>
      </c>
      <c r="B72" s="24" t="s">
        <v>1287</v>
      </c>
      <c r="C72" s="67">
        <v>44816</v>
      </c>
      <c r="D72" s="3">
        <f>1500*10*1.19</f>
        <v>17850</v>
      </c>
      <c r="E72" s="34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AH72" s="3" t="s">
        <v>13</v>
      </c>
      <c r="AJ72" s="3"/>
      <c r="AK72" s="3">
        <f>SUM($F72:AJ72)</f>
        <v>0</v>
      </c>
      <c r="AL72" s="22" t="s">
        <v>13</v>
      </c>
    </row>
    <row r="73" spans="1:38" x14ac:dyDescent="0.35">
      <c r="A73" s="343" t="s">
        <v>1317</v>
      </c>
      <c r="B73" t="s">
        <v>1318</v>
      </c>
      <c r="C73" s="67">
        <v>44816</v>
      </c>
      <c r="D73" s="3">
        <v>74154</v>
      </c>
      <c r="E73" s="344"/>
      <c r="F73" s="3"/>
      <c r="G73" s="3"/>
      <c r="H73" s="3" t="s">
        <v>13</v>
      </c>
      <c r="I73" s="3" t="s">
        <v>13</v>
      </c>
      <c r="J73" s="3"/>
      <c r="K73" s="3">
        <v>74154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AJ73" s="3"/>
      <c r="AK73" s="3">
        <f>SUM($F73:AJ73)</f>
        <v>74154</v>
      </c>
      <c r="AL73" s="22" t="s">
        <v>13</v>
      </c>
    </row>
    <row r="74" spans="1:38" x14ac:dyDescent="0.35">
      <c r="A74" s="343" t="s">
        <v>1161</v>
      </c>
      <c r="B74" s="24" t="s">
        <v>1351</v>
      </c>
      <c r="C74" s="67">
        <v>44819</v>
      </c>
      <c r="D74" s="3">
        <v>10160</v>
      </c>
      <c r="E74" s="344" t="s">
        <v>1291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  <c r="Z74" s="3">
        <v>10160</v>
      </c>
      <c r="AJ74" s="3"/>
      <c r="AK74" s="3">
        <f>SUM($F74:AJ74)</f>
        <v>10160</v>
      </c>
      <c r="AL74" s="22" t="s">
        <v>13</v>
      </c>
    </row>
    <row r="75" spans="1:38" x14ac:dyDescent="0.35">
      <c r="A75" s="343" t="s">
        <v>1161</v>
      </c>
      <c r="B75" s="24" t="s">
        <v>1290</v>
      </c>
      <c r="C75" s="67">
        <v>44824</v>
      </c>
      <c r="D75" s="3">
        <v>8610</v>
      </c>
      <c r="E75" s="344" t="s">
        <v>1291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Y75" s="3"/>
      <c r="Z75" s="3">
        <v>8610</v>
      </c>
      <c r="AJ75" s="3"/>
      <c r="AK75" s="3">
        <f>SUM($F75:AJ75)</f>
        <v>8610</v>
      </c>
      <c r="AL75" s="22" t="s">
        <v>13</v>
      </c>
    </row>
    <row r="76" spans="1:38" ht="15" thickBot="1" x14ac:dyDescent="0.4">
      <c r="A76" s="345" t="s">
        <v>1161</v>
      </c>
      <c r="B76" s="44" t="s">
        <v>1294</v>
      </c>
      <c r="C76" s="346">
        <v>44827</v>
      </c>
      <c r="D76" s="46">
        <v>4520</v>
      </c>
      <c r="E76" s="347" t="s">
        <v>1291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  <c r="Z76" s="3">
        <v>4520</v>
      </c>
      <c r="AJ76" s="3"/>
      <c r="AK76" s="3">
        <f>SUM($F76:AJ76)</f>
        <v>4520</v>
      </c>
      <c r="AL76" s="22" t="s">
        <v>13</v>
      </c>
    </row>
    <row r="77" spans="1:38" x14ac:dyDescent="0.35">
      <c r="A77" s="4" t="s">
        <v>1314</v>
      </c>
      <c r="B77" t="s">
        <v>1313</v>
      </c>
      <c r="C77" s="67">
        <v>44838</v>
      </c>
      <c r="D77" s="3">
        <v>16660</v>
      </c>
      <c r="E77" s="153"/>
      <c r="F77" s="3"/>
      <c r="G77" s="3"/>
      <c r="H77" s="3"/>
      <c r="I77" s="3"/>
      <c r="J77" s="3">
        <v>16660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  <c r="AJ77" s="3"/>
      <c r="AK77" s="3">
        <f>SUM($F77:AJ77)</f>
        <v>16660</v>
      </c>
      <c r="AL77" s="22" t="s">
        <v>83</v>
      </c>
    </row>
    <row r="78" spans="1:38" x14ac:dyDescent="0.35">
      <c r="A78" s="4" t="s">
        <v>1315</v>
      </c>
      <c r="C78" s="67">
        <v>44839</v>
      </c>
      <c r="D78" s="3">
        <v>13905</v>
      </c>
      <c r="E78" s="153"/>
      <c r="F78" s="3"/>
      <c r="G78" s="3"/>
      <c r="H78" s="3"/>
      <c r="I78" s="3"/>
      <c r="J78" s="3">
        <v>13905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Y78" s="3"/>
      <c r="AJ78" s="3"/>
      <c r="AK78" s="3">
        <f>SUM($F78:AJ78)</f>
        <v>13905</v>
      </c>
      <c r="AL78" s="22" t="s">
        <v>1557</v>
      </c>
    </row>
    <row r="79" spans="1:38" x14ac:dyDescent="0.35">
      <c r="A79" s="4" t="s">
        <v>1316</v>
      </c>
      <c r="C79" s="67">
        <v>44835</v>
      </c>
      <c r="D79" s="3">
        <v>30716</v>
      </c>
      <c r="E79" s="153"/>
      <c r="F79" s="3"/>
      <c r="G79" s="3"/>
      <c r="H79" s="3"/>
      <c r="I79" s="3"/>
      <c r="J79" s="3">
        <v>30716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Y79" s="3"/>
      <c r="AJ79" s="3"/>
      <c r="AK79" s="3">
        <f>SUM($F79:AJ79)</f>
        <v>30716</v>
      </c>
      <c r="AL79" s="22" t="s">
        <v>1846</v>
      </c>
    </row>
    <row r="80" spans="1:38" x14ac:dyDescent="0.35">
      <c r="A80" s="4" t="s">
        <v>1161</v>
      </c>
      <c r="B80" s="24" t="s">
        <v>1319</v>
      </c>
      <c r="C80" s="67">
        <v>44835</v>
      </c>
      <c r="D80" s="3">
        <v>16290</v>
      </c>
      <c r="E80" s="153" t="s">
        <v>1293</v>
      </c>
      <c r="F80" s="3"/>
      <c r="G80" s="3"/>
      <c r="H80" s="3"/>
      <c r="I80" s="3"/>
      <c r="J80" s="3">
        <v>16290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Y80" s="3"/>
      <c r="AJ80" s="3"/>
      <c r="AK80" s="3">
        <f>SUM($F80:AJ80)</f>
        <v>16290</v>
      </c>
      <c r="AL80" s="22" t="s">
        <v>83</v>
      </c>
    </row>
    <row r="81" spans="1:38" x14ac:dyDescent="0.35">
      <c r="A81" s="4" t="s">
        <v>1161</v>
      </c>
      <c r="B81" s="24" t="s">
        <v>1330</v>
      </c>
      <c r="C81" s="67">
        <v>44840</v>
      </c>
      <c r="D81" s="3">
        <v>10790</v>
      </c>
      <c r="E81" s="153" t="s">
        <v>1293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>
        <v>10790</v>
      </c>
      <c r="S81" s="3"/>
      <c r="T81" s="3"/>
      <c r="U81" s="3"/>
      <c r="V81" s="3"/>
      <c r="W81" s="3"/>
      <c r="Y81" s="3"/>
      <c r="AJ81" s="3"/>
      <c r="AK81" s="3">
        <f>SUM($F81:AJ81)</f>
        <v>10790</v>
      </c>
      <c r="AL81" s="22" t="s">
        <v>83</v>
      </c>
    </row>
    <row r="82" spans="1:38" x14ac:dyDescent="0.35">
      <c r="A82" s="4" t="s">
        <v>1161</v>
      </c>
      <c r="B82" s="24" t="s">
        <v>1331</v>
      </c>
      <c r="C82" s="67">
        <v>44843</v>
      </c>
      <c r="D82" s="3">
        <v>5370</v>
      </c>
      <c r="E82" s="153" t="s">
        <v>1293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>
        <v>5370</v>
      </c>
      <c r="S82" s="3"/>
      <c r="T82" s="3"/>
      <c r="U82" s="3"/>
      <c r="V82" s="3"/>
      <c r="W82" s="3"/>
      <c r="Y82" s="3"/>
      <c r="AJ82" s="3"/>
      <c r="AK82" s="3">
        <f>SUM($F82:AJ82)</f>
        <v>5370</v>
      </c>
      <c r="AL82" s="22" t="s">
        <v>83</v>
      </c>
    </row>
    <row r="83" spans="1:38" x14ac:dyDescent="0.35">
      <c r="A83" s="4" t="s">
        <v>1328</v>
      </c>
      <c r="C83" s="67">
        <v>44844</v>
      </c>
      <c r="D83" s="3">
        <v>1385</v>
      </c>
      <c r="E83" s="153"/>
      <c r="F83" s="3"/>
      <c r="G83" s="3"/>
      <c r="H83" s="3"/>
      <c r="I83" s="3"/>
      <c r="J83" s="3"/>
      <c r="K83" s="3"/>
      <c r="L83" s="3"/>
      <c r="M83" s="3"/>
      <c r="N83" s="3"/>
      <c r="O83" s="3" t="s">
        <v>13</v>
      </c>
      <c r="P83" s="3">
        <v>1385</v>
      </c>
      <c r="Q83" s="3"/>
      <c r="R83" s="3"/>
      <c r="S83" s="3"/>
      <c r="T83" s="3"/>
      <c r="U83" s="3"/>
      <c r="V83" s="3"/>
      <c r="W83" s="3"/>
      <c r="Y83" s="3"/>
      <c r="AJ83" s="3"/>
      <c r="AK83" s="3">
        <f>SUM($F83:AJ83)</f>
        <v>1385</v>
      </c>
      <c r="AL83" s="22" t="s">
        <v>13</v>
      </c>
    </row>
    <row r="84" spans="1:38" x14ac:dyDescent="0.35">
      <c r="A84" s="4" t="s">
        <v>1329</v>
      </c>
      <c r="B84" s="24" t="s">
        <v>1357</v>
      </c>
      <c r="C84" s="67">
        <v>44845</v>
      </c>
      <c r="D84" s="3">
        <v>58000</v>
      </c>
      <c r="E84" s="153"/>
      <c r="F84" s="3"/>
      <c r="G84" s="3"/>
      <c r="H84" s="3"/>
      <c r="I84" s="3"/>
      <c r="J84" s="3"/>
      <c r="K84" s="3"/>
      <c r="L84" s="3"/>
      <c r="M84" s="3"/>
      <c r="N84" s="3"/>
      <c r="O84" s="3"/>
      <c r="P84" s="3">
        <v>58000</v>
      </c>
      <c r="Q84" s="3"/>
      <c r="R84" s="3"/>
      <c r="S84" s="3"/>
      <c r="T84" s="3"/>
      <c r="U84" s="3"/>
      <c r="V84" s="3"/>
      <c r="W84" s="3"/>
      <c r="Y84" s="3"/>
      <c r="AJ84" s="3"/>
      <c r="AK84" s="3">
        <f>SUM($F84:AJ84)</f>
        <v>58000</v>
      </c>
      <c r="AL84" s="22" t="s">
        <v>81</v>
      </c>
    </row>
    <row r="85" spans="1:38" x14ac:dyDescent="0.35">
      <c r="A85" s="4" t="s">
        <v>1332</v>
      </c>
      <c r="B85" s="24" t="s">
        <v>1333</v>
      </c>
      <c r="C85" s="67">
        <v>44843</v>
      </c>
      <c r="D85" s="3">
        <v>44950</v>
      </c>
      <c r="E85" s="153" t="s">
        <v>1293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>
        <v>44950</v>
      </c>
      <c r="S85" s="3"/>
      <c r="T85" s="3"/>
      <c r="U85" s="3"/>
      <c r="V85" s="3"/>
      <c r="W85" s="3"/>
      <c r="Y85" s="3"/>
      <c r="AJ85" s="3"/>
      <c r="AK85" s="3">
        <f>SUM($F85:AJ85)</f>
        <v>44950</v>
      </c>
      <c r="AL85" s="22" t="s">
        <v>83</v>
      </c>
    </row>
    <row r="86" spans="1:38" x14ac:dyDescent="0.35">
      <c r="A86" s="4" t="s">
        <v>1316</v>
      </c>
      <c r="C86" s="67">
        <v>44847</v>
      </c>
      <c r="D86" s="3">
        <f>128371-D81-D82-D85</f>
        <v>67261</v>
      </c>
      <c r="E86" s="15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>
        <f>128371-R81-R82-R85</f>
        <v>67261</v>
      </c>
      <c r="S86" s="3"/>
      <c r="T86" s="3"/>
      <c r="U86" s="3"/>
      <c r="V86" s="3"/>
      <c r="W86" s="3"/>
      <c r="Y86" s="3"/>
      <c r="AJ86" s="3"/>
      <c r="AK86" s="3">
        <f>SUM($F86:AJ86)</f>
        <v>67261</v>
      </c>
      <c r="AL86" s="22" t="s">
        <v>1846</v>
      </c>
    </row>
    <row r="87" spans="1:38" x14ac:dyDescent="0.35">
      <c r="A87" s="4" t="s">
        <v>1338</v>
      </c>
      <c r="B87" t="s">
        <v>1339</v>
      </c>
      <c r="C87" s="67">
        <v>44848</v>
      </c>
      <c r="D87" s="3">
        <v>7140</v>
      </c>
      <c r="E87" s="153" t="s">
        <v>4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Y87" s="3"/>
      <c r="Z87" s="3">
        <v>7140</v>
      </c>
      <c r="AJ87" s="3"/>
      <c r="AK87" s="3">
        <f>SUM($F87:AJ87)</f>
        <v>7140</v>
      </c>
      <c r="AL87" s="22" t="s">
        <v>81</v>
      </c>
    </row>
    <row r="88" spans="1:38" x14ac:dyDescent="0.35">
      <c r="A88" s="4" t="s">
        <v>1161</v>
      </c>
      <c r="B88" s="24" t="s">
        <v>1340</v>
      </c>
      <c r="C88" s="5">
        <v>44849</v>
      </c>
      <c r="D88" s="7">
        <v>28970</v>
      </c>
      <c r="E88" s="153" t="s">
        <v>4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 t="s">
        <v>13</v>
      </c>
      <c r="Y88" s="3"/>
      <c r="Z88" s="7">
        <v>28970</v>
      </c>
      <c r="AJ88" s="3"/>
      <c r="AK88" s="3">
        <f>SUM($F88:AJ88)</f>
        <v>28970</v>
      </c>
      <c r="AL88" s="22" t="s">
        <v>83</v>
      </c>
    </row>
    <row r="89" spans="1:38" x14ac:dyDescent="0.35">
      <c r="A89" s="4" t="s">
        <v>1208</v>
      </c>
      <c r="B89" t="s">
        <v>1425</v>
      </c>
      <c r="C89" s="67">
        <v>44852</v>
      </c>
      <c r="D89" s="3">
        <f>260*400*1.19</f>
        <v>123760</v>
      </c>
      <c r="E89" s="15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AJ89" s="3"/>
      <c r="AK89" s="3">
        <f>SUM($F89:AJ89)</f>
        <v>0</v>
      </c>
      <c r="AL89" s="22" t="s">
        <v>83</v>
      </c>
    </row>
    <row r="90" spans="1:38" x14ac:dyDescent="0.35">
      <c r="A90" s="4" t="s">
        <v>1356</v>
      </c>
      <c r="C90" s="67">
        <v>44852</v>
      </c>
      <c r="D90" s="3">
        <f>82*2*1330/9+6000</f>
        <v>30235.555555555555</v>
      </c>
      <c r="E90" s="15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f>82*2*1330/9+6000</f>
        <v>30235.555555555555</v>
      </c>
      <c r="AJ90" s="3"/>
      <c r="AK90" s="3">
        <f>SUM($F90:AJ90)</f>
        <v>30235.555555555555</v>
      </c>
      <c r="AL90" s="22" t="s">
        <v>1846</v>
      </c>
    </row>
    <row r="91" spans="1:38" x14ac:dyDescent="0.35">
      <c r="A91" s="4" t="s">
        <v>1314</v>
      </c>
      <c r="B91" t="s">
        <v>1373</v>
      </c>
      <c r="C91" s="67">
        <v>44854</v>
      </c>
      <c r="D91" s="3">
        <v>16660</v>
      </c>
      <c r="E91" s="15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AF91" s="3">
        <v>16660.5</v>
      </c>
      <c r="AJ91" s="3"/>
      <c r="AK91" s="3">
        <f>SUM($F91:AJ91)</f>
        <v>16660.5</v>
      </c>
      <c r="AL91" s="22" t="s">
        <v>83</v>
      </c>
    </row>
    <row r="92" spans="1:38" x14ac:dyDescent="0.35">
      <c r="A92" s="4" t="s">
        <v>1392</v>
      </c>
      <c r="B92" t="s">
        <v>1391</v>
      </c>
      <c r="C92" s="67">
        <v>44854</v>
      </c>
      <c r="D92" s="3">
        <v>81939</v>
      </c>
      <c r="E92" s="153"/>
      <c r="F92" s="3"/>
      <c r="G92" s="3"/>
      <c r="H92" s="3" t="s">
        <v>13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AJ92" s="3"/>
      <c r="AK92" s="3">
        <f>SUM($F92:AJ92)</f>
        <v>0</v>
      </c>
      <c r="AL92" s="22" t="s">
        <v>83</v>
      </c>
    </row>
    <row r="93" spans="1:38" x14ac:dyDescent="0.35">
      <c r="A93" s="4" t="s">
        <v>1161</v>
      </c>
      <c r="B93" t="s">
        <v>1358</v>
      </c>
      <c r="C93" s="67">
        <v>44855</v>
      </c>
      <c r="D93" s="3">
        <v>2680</v>
      </c>
      <c r="E93" s="153" t="s">
        <v>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AJ93" s="3"/>
      <c r="AK93" s="3">
        <f>SUM($F93:AJ93)</f>
        <v>0</v>
      </c>
      <c r="AL93" s="22" t="s">
        <v>83</v>
      </c>
    </row>
    <row r="94" spans="1:38" x14ac:dyDescent="0.35">
      <c r="A94" s="4" t="s">
        <v>1161</v>
      </c>
      <c r="B94" t="s">
        <v>1359</v>
      </c>
      <c r="C94" s="67">
        <v>44855</v>
      </c>
      <c r="D94" s="3">
        <v>17820</v>
      </c>
      <c r="E94" s="153" t="s">
        <v>1291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AJ94" s="3"/>
      <c r="AK94" s="3">
        <f>SUM($F94:AJ94)</f>
        <v>0</v>
      </c>
      <c r="AL94" s="22" t="s">
        <v>83</v>
      </c>
    </row>
    <row r="95" spans="1:38" x14ac:dyDescent="0.35">
      <c r="A95" s="4" t="s">
        <v>1316</v>
      </c>
      <c r="C95" s="67">
        <v>44858</v>
      </c>
      <c r="D95" s="3">
        <v>40373</v>
      </c>
      <c r="E95" s="15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AC95" s="3">
        <v>40373</v>
      </c>
      <c r="AJ95" s="3"/>
      <c r="AK95" s="3">
        <f>SUM($F95:AJ95)</f>
        <v>40373</v>
      </c>
      <c r="AL95" s="22" t="s">
        <v>1846</v>
      </c>
    </row>
    <row r="96" spans="1:38" x14ac:dyDescent="0.35">
      <c r="A96" s="4" t="s">
        <v>1375</v>
      </c>
      <c r="B96" t="s">
        <v>1374</v>
      </c>
      <c r="C96" s="67">
        <v>44861</v>
      </c>
      <c r="D96" s="3">
        <v>33320</v>
      </c>
      <c r="E96" s="15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AJ96" s="3"/>
      <c r="AK96" s="3">
        <f>SUM($F96:AJ96)</f>
        <v>0</v>
      </c>
      <c r="AL96" s="22" t="s">
        <v>83</v>
      </c>
    </row>
    <row r="97" spans="1:41" x14ac:dyDescent="0.35">
      <c r="A97" s="4" t="s">
        <v>1393</v>
      </c>
      <c r="B97" t="s">
        <v>1394</v>
      </c>
      <c r="C97" s="67">
        <v>44862</v>
      </c>
      <c r="D97" s="3">
        <v>16950</v>
      </c>
      <c r="E97" s="153" t="s">
        <v>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AJ97" s="3"/>
      <c r="AK97" s="3">
        <f>SUM($F97:AJ97)</f>
        <v>0</v>
      </c>
      <c r="AL97" s="22" t="s">
        <v>83</v>
      </c>
      <c r="AO97" s="6" t="s">
        <v>1674</v>
      </c>
    </row>
    <row r="98" spans="1:41" ht="15" thickBot="1" x14ac:dyDescent="0.4">
      <c r="A98" s="4" t="s">
        <v>1161</v>
      </c>
      <c r="B98" t="s">
        <v>1395</v>
      </c>
      <c r="C98" s="67">
        <v>44861</v>
      </c>
      <c r="D98" s="3">
        <v>24840</v>
      </c>
      <c r="E98" s="153" t="s">
        <v>1291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AJ98" s="3"/>
      <c r="AK98" s="3">
        <f>SUM($F98:AJ98)</f>
        <v>0</v>
      </c>
      <c r="AL98" s="22" t="s">
        <v>83</v>
      </c>
      <c r="AM98" t="s">
        <v>317</v>
      </c>
      <c r="AN98" s="64">
        <f>+[2]Hoja1!$L$125+[3]Hoja1!$L$48</f>
        <v>295</v>
      </c>
      <c r="AO98" s="64">
        <f>+[3]Hoja1!$L$48</f>
        <v>0</v>
      </c>
    </row>
    <row r="99" spans="1:41" x14ac:dyDescent="0.35">
      <c r="A99" s="4"/>
      <c r="C99" s="67"/>
      <c r="D99" s="3"/>
      <c r="E99" s="15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AJ99" s="3"/>
      <c r="AK99" s="3" t="s">
        <v>13</v>
      </c>
      <c r="AL99" s="22"/>
      <c r="AM99" s="11" t="s">
        <v>91</v>
      </c>
      <c r="AN99" s="53">
        <f>+D44/1.19</f>
        <v>2032786.2521008404</v>
      </c>
      <c r="AO99" s="53">
        <f>+SUMIF(E19:E41,"MD",D19:D41)/1.19</f>
        <v>1060116.5042016809</v>
      </c>
    </row>
    <row r="100" spans="1:41" x14ac:dyDescent="0.35">
      <c r="A100" s="4" t="s">
        <v>1225</v>
      </c>
      <c r="B100" s="24">
        <f>95.69/8</f>
        <v>11.96125</v>
      </c>
      <c r="C100" s="67">
        <v>44856</v>
      </c>
      <c r="D100" s="3">
        <f>+B100*C102</f>
        <v>412549.73234999995</v>
      </c>
      <c r="E100" s="153"/>
      <c r="F100" s="3"/>
      <c r="G100" s="3"/>
      <c r="H100" s="3"/>
      <c r="J100" s="3"/>
      <c r="K100" s="3"/>
      <c r="L100" s="3"/>
      <c r="N100" s="3"/>
      <c r="P100" s="3"/>
      <c r="R100" s="3"/>
      <c r="S100" s="3"/>
      <c r="U100" s="3"/>
      <c r="V100" s="3"/>
      <c r="Y100" s="3"/>
      <c r="AA100" s="3">
        <f>+D100</f>
        <v>412549.73234999995</v>
      </c>
      <c r="AH100" s="3" t="s">
        <v>13</v>
      </c>
      <c r="AI100" s="3" t="s">
        <v>13</v>
      </c>
      <c r="AJ100" s="3"/>
      <c r="AK100" s="3">
        <f>SUM($F100:AJ100)</f>
        <v>412549.73234999995</v>
      </c>
      <c r="AL100" s="22" t="s">
        <v>13</v>
      </c>
      <c r="AM100" s="14" t="s">
        <v>1558</v>
      </c>
      <c r="AN100" s="15">
        <f>+SUMIF(AL77:AL104,"CD",D77:D104)/1.19</f>
        <v>370587.39495798323</v>
      </c>
      <c r="AO100" s="15">
        <f>+AN100*AO$98/AN$98</f>
        <v>0</v>
      </c>
    </row>
    <row r="101" spans="1:41" x14ac:dyDescent="0.35">
      <c r="A101" s="4" t="s">
        <v>1226</v>
      </c>
      <c r="B101" s="24">
        <f>92.58/8</f>
        <v>11.5725</v>
      </c>
      <c r="C101" s="67">
        <v>44859</v>
      </c>
      <c r="D101" s="3">
        <f>+B101*C102</f>
        <v>399141.54269999993</v>
      </c>
      <c r="E101" s="153"/>
      <c r="F101" s="3"/>
      <c r="G101" s="3"/>
      <c r="H101" s="3"/>
      <c r="J101" s="3"/>
      <c r="K101" s="3"/>
      <c r="L101" s="3"/>
      <c r="N101" s="3"/>
      <c r="P101" s="3"/>
      <c r="R101" s="3"/>
      <c r="S101" s="3"/>
      <c r="U101" s="3"/>
      <c r="V101" s="3"/>
      <c r="Y101" s="3"/>
      <c r="AD101" s="3">
        <f>+D101</f>
        <v>399141.54269999993</v>
      </c>
      <c r="AH101" s="3" t="s">
        <v>13</v>
      </c>
      <c r="AI101" s="3" t="s">
        <v>13</v>
      </c>
      <c r="AJ101" s="3"/>
      <c r="AK101" s="3">
        <f>SUM($F101:AJ101)</f>
        <v>399141.54269999993</v>
      </c>
      <c r="AL101" s="22" t="s">
        <v>13</v>
      </c>
      <c r="AM101" s="14" t="s">
        <v>1559</v>
      </c>
      <c r="AN101" s="15">
        <f>+AN99-AN100</f>
        <v>1662198.8571428573</v>
      </c>
      <c r="AO101" s="15">
        <f>+AO99-AO100</f>
        <v>1060116.5042016809</v>
      </c>
    </row>
    <row r="102" spans="1:41" x14ac:dyDescent="0.35">
      <c r="A102" s="4"/>
      <c r="B102" s="67" t="s">
        <v>933</v>
      </c>
      <c r="C102" s="236">
        <v>34490.519999999997</v>
      </c>
      <c r="E102" s="15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Y102" s="3"/>
      <c r="AJ102" s="3"/>
      <c r="AK102" s="3" t="s">
        <v>13</v>
      </c>
      <c r="AL102" s="22"/>
      <c r="AM102" s="14" t="s">
        <v>1560</v>
      </c>
      <c r="AN102" s="327">
        <f>+AN101/AN99</f>
        <v>0.81769485376291329</v>
      </c>
      <c r="AO102" s="327">
        <f>+AO101/AO99</f>
        <v>1</v>
      </c>
    </row>
    <row r="103" spans="1:41" x14ac:dyDescent="0.35">
      <c r="A103" s="4"/>
      <c r="B103" s="24"/>
      <c r="C103" s="67" t="s">
        <v>13</v>
      </c>
      <c r="D103" s="236" t="s">
        <v>13</v>
      </c>
      <c r="E103" s="15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Y103" s="3"/>
      <c r="AJ103" s="3"/>
      <c r="AK103" s="3" t="s">
        <v>13</v>
      </c>
      <c r="AL103" s="22"/>
      <c r="AM103" s="14" t="s">
        <v>81</v>
      </c>
      <c r="AN103" s="15">
        <f>+SUMIF(AL48:AL104,"GAV",D48:D104)/1.19+SUMIF(AL48:AL104,"REM",D48:D104)</f>
        <v>649080.87135387491</v>
      </c>
      <c r="AO103" s="375">
        <f>+AN103*AO$98/AN$98+(600000+300000)*3/8</f>
        <v>337500</v>
      </c>
    </row>
    <row r="104" spans="1:41" x14ac:dyDescent="0.35">
      <c r="A104" s="4" t="s">
        <v>1389</v>
      </c>
      <c r="B104" s="24">
        <f>95.69/8</f>
        <v>11.96125</v>
      </c>
      <c r="C104" s="67">
        <v>44865</v>
      </c>
      <c r="D104" s="3">
        <f>+B104*C106</f>
        <v>413863.4364375</v>
      </c>
      <c r="E104" s="15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Y104" s="3"/>
      <c r="AJ104" s="3"/>
      <c r="AK104" s="3">
        <f>SUM($F104:AJ104)</f>
        <v>0</v>
      </c>
      <c r="AL104" s="22" t="s">
        <v>1557</v>
      </c>
      <c r="AM104" s="14" t="s">
        <v>1561</v>
      </c>
      <c r="AN104" s="15">
        <f>+AN101-AN103</f>
        <v>1013117.9857889824</v>
      </c>
      <c r="AO104" s="15">
        <f>+AO101-AO103</f>
        <v>722616.50420168089</v>
      </c>
    </row>
    <row r="105" spans="1:41" x14ac:dyDescent="0.35">
      <c r="A105" s="4" t="s">
        <v>1390</v>
      </c>
      <c r="B105" s="24">
        <f>92.58/8</f>
        <v>11.5725</v>
      </c>
      <c r="C105" s="67">
        <v>44865</v>
      </c>
      <c r="D105" s="3">
        <f>+B105*C106</f>
        <v>400412.55037499999</v>
      </c>
      <c r="E105" s="15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Y105" s="3"/>
      <c r="AJ105" s="3"/>
      <c r="AK105" s="3">
        <f>SUM($F105:AJ105)</f>
        <v>0</v>
      </c>
      <c r="AL105" s="22" t="s">
        <v>1557</v>
      </c>
      <c r="AM105" s="14" t="s">
        <v>1563</v>
      </c>
      <c r="AN105" s="15">
        <f>+SUMIF(AL77:AL104,"GF",D77:D104)</f>
        <v>427768.4364375</v>
      </c>
      <c r="AO105" s="15">
        <v>0</v>
      </c>
    </row>
    <row r="106" spans="1:41" x14ac:dyDescent="0.35">
      <c r="A106" s="4"/>
      <c r="B106" s="67" t="s">
        <v>933</v>
      </c>
      <c r="C106" s="236">
        <v>34600.35</v>
      </c>
      <c r="E106" s="15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Y106" s="3"/>
      <c r="AJ106" s="3"/>
      <c r="AK106" s="3"/>
      <c r="AL106" s="22"/>
      <c r="AM106" s="14" t="s">
        <v>82</v>
      </c>
      <c r="AN106" s="15">
        <f>+SUMIF(AL77:AL104,"AF",D77:D104)/1.19</f>
        <v>0</v>
      </c>
      <c r="AO106" s="15">
        <f>+AN106*AO$98/AN$98</f>
        <v>0</v>
      </c>
    </row>
    <row r="107" spans="1:41" ht="15" thickBot="1" x14ac:dyDescent="0.4">
      <c r="A107" s="4"/>
      <c r="B107" s="67"/>
      <c r="C107" s="236"/>
      <c r="E107" s="15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Y107" s="3"/>
      <c r="AJ107" s="3"/>
      <c r="AK107" s="3"/>
      <c r="AL107" s="22"/>
      <c r="AM107" s="16"/>
      <c r="AN107" s="19">
        <f>+AN104-AN105-AN106</f>
        <v>585349.54935148242</v>
      </c>
      <c r="AO107" s="19">
        <f>+AO104-AO105-AO106</f>
        <v>722616.50420168089</v>
      </c>
    </row>
    <row r="108" spans="1:41" x14ac:dyDescent="0.35">
      <c r="A108" s="4"/>
      <c r="B108" s="67"/>
      <c r="C108" s="236"/>
      <c r="D108" s="3">
        <f>SUM(D67:D107)+SUM(D58:D60)+D56</f>
        <v>4951683.4840847217</v>
      </c>
      <c r="E108" s="15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Y108" s="3"/>
      <c r="AJ108" s="3"/>
      <c r="AK108" s="3" t="s">
        <v>13</v>
      </c>
      <c r="AL108" s="22"/>
    </row>
    <row r="109" spans="1:41" x14ac:dyDescent="0.35">
      <c r="A109" s="4"/>
      <c r="B109" s="67"/>
      <c r="C109" s="236"/>
      <c r="E109" s="15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Y109" s="3"/>
      <c r="AJ109" s="3"/>
      <c r="AK109" s="3"/>
      <c r="AL109" s="22"/>
    </row>
    <row r="110" spans="1:41" x14ac:dyDescent="0.35">
      <c r="A110" s="2" t="s">
        <v>9</v>
      </c>
      <c r="D110" s="3" t="s">
        <v>13</v>
      </c>
      <c r="F110" s="3">
        <f t="shared" ref="F110:AI110" si="2">SUM(F48:F104)</f>
        <v>0</v>
      </c>
      <c r="G110" s="3">
        <f t="shared" si="2"/>
        <v>0</v>
      </c>
      <c r="H110" s="3">
        <f t="shared" si="2"/>
        <v>0</v>
      </c>
      <c r="I110" s="3">
        <f t="shared" si="2"/>
        <v>0</v>
      </c>
      <c r="J110" s="3">
        <f t="shared" si="2"/>
        <v>77571</v>
      </c>
      <c r="K110" s="3">
        <f t="shared" si="2"/>
        <v>74154</v>
      </c>
      <c r="L110" s="3">
        <f t="shared" si="2"/>
        <v>0</v>
      </c>
      <c r="M110" s="3">
        <f t="shared" si="2"/>
        <v>0</v>
      </c>
      <c r="N110" s="3">
        <f t="shared" si="2"/>
        <v>0</v>
      </c>
      <c r="O110" s="3">
        <f t="shared" si="2"/>
        <v>0</v>
      </c>
      <c r="P110" s="3">
        <f t="shared" si="2"/>
        <v>59385</v>
      </c>
      <c r="Q110" s="3">
        <f t="shared" si="2"/>
        <v>0</v>
      </c>
      <c r="R110" s="3">
        <f t="shared" si="2"/>
        <v>128371</v>
      </c>
      <c r="S110" s="3">
        <f t="shared" si="2"/>
        <v>0</v>
      </c>
      <c r="T110" s="3">
        <f t="shared" si="2"/>
        <v>0</v>
      </c>
      <c r="U110" s="3">
        <f t="shared" si="2"/>
        <v>0</v>
      </c>
      <c r="V110" s="3">
        <f t="shared" si="2"/>
        <v>0</v>
      </c>
      <c r="W110" s="3">
        <f t="shared" si="2"/>
        <v>0</v>
      </c>
      <c r="X110" s="3">
        <f t="shared" si="2"/>
        <v>0</v>
      </c>
      <c r="Y110" s="3">
        <f t="shared" si="2"/>
        <v>673088</v>
      </c>
      <c r="Z110" s="3">
        <f t="shared" si="2"/>
        <v>140410.22222222222</v>
      </c>
      <c r="AA110" s="3">
        <f t="shared" si="2"/>
        <v>412549.73234999995</v>
      </c>
      <c r="AB110" s="3">
        <f t="shared" si="2"/>
        <v>0</v>
      </c>
      <c r="AC110" s="3">
        <f t="shared" si="2"/>
        <v>166515</v>
      </c>
      <c r="AD110" s="3">
        <f t="shared" si="2"/>
        <v>399141.54269999993</v>
      </c>
      <c r="AE110" s="3">
        <f t="shared" si="2"/>
        <v>0</v>
      </c>
      <c r="AF110" s="3">
        <f t="shared" si="2"/>
        <v>16660.5</v>
      </c>
      <c r="AG110" s="3">
        <f t="shared" si="2"/>
        <v>0</v>
      </c>
      <c r="AH110" s="3">
        <f t="shared" si="2"/>
        <v>0</v>
      </c>
      <c r="AI110" s="3">
        <f t="shared" si="2"/>
        <v>0</v>
      </c>
      <c r="AJ110" s="3">
        <f>SUM(AJ48:AJ108)</f>
        <v>0</v>
      </c>
      <c r="AK110" s="72">
        <f>SUM(AK48:AK107)</f>
        <v>2147845.9972722218</v>
      </c>
      <c r="AM110" t="s">
        <v>1960</v>
      </c>
      <c r="AN110" s="3">
        <f>+AN107+'Sep-22'!AN83</f>
        <v>87840.572720985394</v>
      </c>
      <c r="AO110" s="3" t="e">
        <f>+AO107+'Sep-22'!AO83</f>
        <v>#REF!</v>
      </c>
    </row>
    <row r="111" spans="1:41" x14ac:dyDescent="0.35">
      <c r="A111" t="s">
        <v>8</v>
      </c>
      <c r="F111" s="3">
        <f t="shared" ref="F111:AJ111" si="3">+F44+F3-F110</f>
        <v>255311.15178335668</v>
      </c>
      <c r="G111" s="3">
        <f t="shared" si="3"/>
        <v>255311.15178335668</v>
      </c>
      <c r="H111" s="3">
        <f t="shared" si="3"/>
        <v>878766.15178335668</v>
      </c>
      <c r="I111" s="3">
        <f t="shared" si="3"/>
        <v>878766.15178335668</v>
      </c>
      <c r="J111" s="3">
        <f t="shared" si="3"/>
        <v>801195.15178335668</v>
      </c>
      <c r="K111" s="3">
        <f t="shared" si="3"/>
        <v>727041.15178335668</v>
      </c>
      <c r="L111" s="3">
        <f t="shared" si="3"/>
        <v>727041.15178335668</v>
      </c>
      <c r="M111" s="3">
        <f t="shared" si="3"/>
        <v>727041.15178335668</v>
      </c>
      <c r="N111" s="3">
        <f t="shared" si="3"/>
        <v>727041.15178335668</v>
      </c>
      <c r="O111" s="3">
        <f t="shared" si="3"/>
        <v>727041.15178335668</v>
      </c>
      <c r="P111" s="3">
        <f t="shared" si="3"/>
        <v>667656.15178335668</v>
      </c>
      <c r="Q111" s="3">
        <f t="shared" si="3"/>
        <v>667656.15178335668</v>
      </c>
      <c r="R111" s="3">
        <f t="shared" si="3"/>
        <v>539285.15178335668</v>
      </c>
      <c r="S111" s="3">
        <f t="shared" si="3"/>
        <v>539285.15178335668</v>
      </c>
      <c r="T111" s="3">
        <f t="shared" si="3"/>
        <v>539285.15178335668</v>
      </c>
      <c r="U111" s="3">
        <f t="shared" si="3"/>
        <v>539285.15178335668</v>
      </c>
      <c r="V111" s="3">
        <f t="shared" si="3"/>
        <v>1116674.1517833567</v>
      </c>
      <c r="W111" s="3">
        <f t="shared" si="3"/>
        <v>1738291.1517833567</v>
      </c>
      <c r="X111" s="3">
        <f t="shared" si="3"/>
        <v>1738291.1517833567</v>
      </c>
      <c r="Y111" s="3">
        <f t="shared" si="3"/>
        <v>1065203.1517833567</v>
      </c>
      <c r="Z111" s="3">
        <f t="shared" si="3"/>
        <v>924792.92956113443</v>
      </c>
      <c r="AA111" s="3">
        <f t="shared" si="3"/>
        <v>512243.19721113448</v>
      </c>
      <c r="AB111" s="3">
        <f t="shared" si="3"/>
        <v>512243.19721113448</v>
      </c>
      <c r="AC111" s="3">
        <f t="shared" si="3"/>
        <v>345728.19721113448</v>
      </c>
      <c r="AD111" s="3">
        <f t="shared" si="3"/>
        <v>628571.65451113461</v>
      </c>
      <c r="AE111" s="3">
        <f t="shared" si="3"/>
        <v>628571.65451113461</v>
      </c>
      <c r="AF111" s="3">
        <f t="shared" si="3"/>
        <v>611911.15451113461</v>
      </c>
      <c r="AG111" s="3">
        <f t="shared" si="3"/>
        <v>611911.15451113461</v>
      </c>
      <c r="AH111" s="3">
        <f t="shared" si="3"/>
        <v>611911.15451113461</v>
      </c>
      <c r="AI111" s="3">
        <f t="shared" si="3"/>
        <v>611911.15451113461</v>
      </c>
      <c r="AJ111" s="3">
        <f t="shared" si="3"/>
        <v>611911.15451113461</v>
      </c>
      <c r="AK111" s="3" t="s">
        <v>13</v>
      </c>
    </row>
    <row r="112" spans="1:41" x14ac:dyDescent="0.35">
      <c r="F112" s="3"/>
      <c r="G112" s="3"/>
      <c r="H112" s="3"/>
      <c r="I112" s="3" t="s">
        <v>13</v>
      </c>
      <c r="J112" s="3"/>
      <c r="K112" s="3"/>
      <c r="L112" s="3"/>
      <c r="M112" s="3"/>
      <c r="N112" s="3"/>
      <c r="O112" s="3"/>
      <c r="P112" s="3" t="s">
        <v>13</v>
      </c>
      <c r="Q112" s="3"/>
      <c r="R112" s="3"/>
      <c r="S112" s="3"/>
      <c r="T112" s="3" t="s">
        <v>13</v>
      </c>
      <c r="U112" s="3"/>
      <c r="V112" s="3"/>
      <c r="W112" s="3"/>
      <c r="Y112" s="3" t="s">
        <v>13</v>
      </c>
      <c r="AA112" s="3" t="s">
        <v>13</v>
      </c>
      <c r="AB112" s="3" t="s">
        <v>13</v>
      </c>
    </row>
    <row r="113" spans="1:36" x14ac:dyDescent="0.35">
      <c r="B113" t="s">
        <v>13</v>
      </c>
      <c r="F113" s="3">
        <v>878766</v>
      </c>
      <c r="G113" s="3"/>
      <c r="H113" s="3" t="s">
        <v>13</v>
      </c>
      <c r="I113" s="3"/>
      <c r="J113" s="3"/>
      <c r="K113" s="3"/>
      <c r="L113" s="3"/>
      <c r="M113" s="3"/>
      <c r="N113" s="3"/>
      <c r="O113" s="3"/>
      <c r="P113" s="3" t="s">
        <v>13</v>
      </c>
      <c r="Q113" s="3" t="s">
        <v>13</v>
      </c>
      <c r="R113" s="3" t="s">
        <v>13</v>
      </c>
      <c r="S113" s="3"/>
      <c r="T113" s="3"/>
      <c r="U113" s="3" t="s">
        <v>13</v>
      </c>
      <c r="V113" s="3"/>
      <c r="W113" s="3"/>
      <c r="AB113" s="3" t="s">
        <v>13</v>
      </c>
      <c r="AG113" s="3" t="s">
        <v>13</v>
      </c>
      <c r="AJ113" s="3" t="s">
        <v>13</v>
      </c>
    </row>
    <row r="114" spans="1:36" x14ac:dyDescent="0.35">
      <c r="B114" s="5" t="s">
        <v>13</v>
      </c>
      <c r="D114" s="236" t="s">
        <v>13</v>
      </c>
      <c r="F114" s="3"/>
      <c r="G114" s="3" t="s">
        <v>13</v>
      </c>
      <c r="H114" s="3" t="s">
        <v>13</v>
      </c>
      <c r="I114" s="3"/>
      <c r="J114" s="3"/>
      <c r="K114" s="3"/>
      <c r="L114" s="3"/>
      <c r="M114" s="3"/>
      <c r="N114" s="3"/>
      <c r="O114" s="3"/>
      <c r="P114" s="3"/>
      <c r="S114" s="3"/>
      <c r="T114" s="3" t="s">
        <v>13</v>
      </c>
      <c r="U114" s="3"/>
      <c r="V114" s="3"/>
      <c r="W114" s="3"/>
      <c r="AB114" s="3" t="s">
        <v>13</v>
      </c>
    </row>
    <row r="115" spans="1:36" x14ac:dyDescent="0.35">
      <c r="A115" s="5" t="s">
        <v>13</v>
      </c>
      <c r="B115" s="236" t="s">
        <v>13</v>
      </c>
      <c r="C115" s="236" t="s">
        <v>13</v>
      </c>
      <c r="F115" s="3"/>
      <c r="G115" s="3" t="s">
        <v>13</v>
      </c>
      <c r="H115" s="3"/>
      <c r="I115" s="3"/>
      <c r="J115" s="3"/>
      <c r="K115" s="3"/>
      <c r="L115" s="3"/>
      <c r="M115" s="3"/>
      <c r="N115" s="3"/>
      <c r="O115" s="3"/>
      <c r="P115" s="3"/>
      <c r="S115" s="3"/>
      <c r="T115" s="3"/>
      <c r="U115" s="3"/>
      <c r="V115" s="3"/>
      <c r="W115" s="3" t="s">
        <v>13</v>
      </c>
      <c r="AB115" s="3" t="s">
        <v>13</v>
      </c>
    </row>
    <row r="116" spans="1:36" x14ac:dyDescent="0.35">
      <c r="B116" t="s">
        <v>13</v>
      </c>
      <c r="C116" t="s">
        <v>13</v>
      </c>
      <c r="D116" s="236" t="s">
        <v>13</v>
      </c>
      <c r="F116" s="3"/>
      <c r="G116" s="3" t="s">
        <v>13</v>
      </c>
      <c r="H116" s="3"/>
      <c r="I116" s="3"/>
      <c r="J116" s="3"/>
      <c r="K116" s="3"/>
      <c r="L116" s="3"/>
      <c r="M116" s="3"/>
      <c r="N116" s="3"/>
      <c r="O116" s="3"/>
      <c r="P116" s="3" t="s">
        <v>13</v>
      </c>
      <c r="Q116" s="3"/>
      <c r="R116" s="3"/>
      <c r="S116" s="3"/>
      <c r="T116" s="3"/>
      <c r="U116" s="3"/>
      <c r="V116" s="3" t="s">
        <v>13</v>
      </c>
      <c r="W116" s="3"/>
      <c r="AB116" s="3" t="s">
        <v>13</v>
      </c>
      <c r="AC116" s="59" t="s">
        <v>13</v>
      </c>
      <c r="AD116" t="s">
        <v>13</v>
      </c>
      <c r="AE116" t="s">
        <v>13</v>
      </c>
    </row>
    <row r="117" spans="1:36" x14ac:dyDescent="0.35">
      <c r="B117" t="s">
        <v>13</v>
      </c>
      <c r="C117" s="236" t="s">
        <v>13</v>
      </c>
      <c r="D117" s="286" t="s">
        <v>13</v>
      </c>
      <c r="F117" s="3"/>
      <c r="G117" s="3" t="s">
        <v>13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AB117" s="3" t="s">
        <v>13</v>
      </c>
      <c r="AC117" t="s">
        <v>13</v>
      </c>
    </row>
    <row r="118" spans="1:36" x14ac:dyDescent="0.35">
      <c r="B118" t="s">
        <v>13</v>
      </c>
      <c r="C118" t="s">
        <v>13</v>
      </c>
      <c r="D118" t="s">
        <v>13</v>
      </c>
      <c r="F118" s="3"/>
      <c r="G118" s="3" t="s">
        <v>13</v>
      </c>
      <c r="H118" s="3"/>
      <c r="I118" s="3"/>
      <c r="J118" s="3"/>
      <c r="K118" s="3"/>
      <c r="L118" s="3"/>
      <c r="AC118" s="59" t="s">
        <v>13</v>
      </c>
    </row>
    <row r="119" spans="1:36" x14ac:dyDescent="0.35">
      <c r="B119" t="s">
        <v>13</v>
      </c>
      <c r="D119" t="s">
        <v>13</v>
      </c>
      <c r="F119" s="3"/>
      <c r="G119" s="3" t="s">
        <v>13</v>
      </c>
      <c r="H119" s="3"/>
      <c r="I119" s="3"/>
      <c r="J119" s="3"/>
      <c r="K119" s="3"/>
      <c r="L119" s="3"/>
      <c r="AB119" t="s">
        <v>13</v>
      </c>
      <c r="AC119" t="s">
        <v>13</v>
      </c>
    </row>
    <row r="120" spans="1:36" x14ac:dyDescent="0.35">
      <c r="B120" t="s">
        <v>13</v>
      </c>
      <c r="F120" s="3"/>
      <c r="G120" s="3" t="s">
        <v>13</v>
      </c>
      <c r="H120" s="3"/>
      <c r="I120" s="3"/>
      <c r="J120" s="3"/>
      <c r="K120" s="3"/>
      <c r="L120" s="3"/>
      <c r="AF120" t="s">
        <v>13</v>
      </c>
    </row>
    <row r="121" spans="1:36" x14ac:dyDescent="0.35">
      <c r="B121" t="s">
        <v>13</v>
      </c>
      <c r="F121" s="3"/>
      <c r="G121" s="3" t="s">
        <v>13</v>
      </c>
      <c r="H121" s="3"/>
      <c r="I121" s="3"/>
      <c r="J121" s="3"/>
      <c r="K121" s="3"/>
      <c r="L121" s="3"/>
    </row>
    <row r="122" spans="1:36" x14ac:dyDescent="0.35">
      <c r="B122" t="s">
        <v>13</v>
      </c>
      <c r="F122" s="3"/>
      <c r="G122" s="3" t="s">
        <v>13</v>
      </c>
      <c r="H122" s="3"/>
      <c r="I122" s="3"/>
      <c r="J122" s="3"/>
      <c r="K122" s="3"/>
      <c r="L122" s="3"/>
    </row>
    <row r="123" spans="1:36" x14ac:dyDescent="0.35">
      <c r="B123" t="s">
        <v>13</v>
      </c>
      <c r="F123" s="3"/>
      <c r="G123" s="3" t="s">
        <v>13</v>
      </c>
      <c r="H123" s="3"/>
      <c r="I123" s="3"/>
      <c r="J123" s="3"/>
      <c r="K123" s="3"/>
      <c r="L123" s="3"/>
    </row>
    <row r="124" spans="1:36" x14ac:dyDescent="0.35">
      <c r="F124" s="3"/>
      <c r="G124" s="3" t="s">
        <v>13</v>
      </c>
      <c r="H124" s="3"/>
      <c r="I124" s="3"/>
      <c r="J124" s="3"/>
      <c r="K124" s="3"/>
      <c r="L124" s="3"/>
    </row>
    <row r="125" spans="1:36" x14ac:dyDescent="0.35">
      <c r="F125" s="3"/>
      <c r="G125" s="3" t="s">
        <v>13</v>
      </c>
      <c r="H125" s="3"/>
      <c r="I125" s="3"/>
      <c r="J125" s="3"/>
      <c r="K125" s="3"/>
      <c r="L125" s="3"/>
    </row>
    <row r="126" spans="1:36" x14ac:dyDescent="0.35">
      <c r="F126" s="3"/>
      <c r="G126" s="3" t="s">
        <v>13</v>
      </c>
      <c r="H126" s="3"/>
      <c r="I126" s="3"/>
      <c r="J126" s="3"/>
      <c r="K126" s="3"/>
      <c r="L126" s="3"/>
    </row>
    <row r="127" spans="1:36" x14ac:dyDescent="0.35">
      <c r="F127" s="3"/>
      <c r="G127" s="3" t="s">
        <v>13</v>
      </c>
      <c r="H127" s="3"/>
      <c r="I127" s="3"/>
      <c r="J127" s="3"/>
      <c r="K127" s="3"/>
      <c r="L127" s="3"/>
    </row>
    <row r="128" spans="1:36" x14ac:dyDescent="0.35">
      <c r="F128" s="3"/>
      <c r="G128" s="3" t="s">
        <v>13</v>
      </c>
      <c r="H128" s="3"/>
      <c r="I128" s="3"/>
      <c r="J128" s="3"/>
      <c r="K128" s="3"/>
      <c r="L128" s="3"/>
    </row>
    <row r="129" spans="6:12" x14ac:dyDescent="0.35">
      <c r="F129" s="3"/>
      <c r="G129" s="3" t="s">
        <v>13</v>
      </c>
      <c r="H129" s="3"/>
      <c r="I129" s="3"/>
      <c r="J129" s="3"/>
      <c r="K129" s="3"/>
      <c r="L129" s="3"/>
    </row>
    <row r="130" spans="6:12" x14ac:dyDescent="0.35">
      <c r="F130" s="3"/>
      <c r="G130" s="3" t="s">
        <v>13</v>
      </c>
      <c r="H130" s="3"/>
      <c r="I130" s="3"/>
      <c r="J130" s="3"/>
      <c r="K130" s="3"/>
      <c r="L130" s="3"/>
    </row>
    <row r="131" spans="6:12" x14ac:dyDescent="0.35">
      <c r="F131" s="3"/>
      <c r="G131" s="3" t="s">
        <v>13</v>
      </c>
      <c r="H131" s="3"/>
      <c r="I131" s="3"/>
      <c r="J131" s="3"/>
      <c r="K131" s="3"/>
      <c r="L131" s="3"/>
    </row>
    <row r="132" spans="6:12" x14ac:dyDescent="0.35">
      <c r="F132" s="3"/>
      <c r="G132" s="3" t="s">
        <v>13</v>
      </c>
      <c r="H132" s="3"/>
      <c r="I132" s="3"/>
      <c r="J132" s="3"/>
      <c r="K132" s="3"/>
      <c r="L132" s="3"/>
    </row>
  </sheetData>
  <sortState xmlns:xlrd2="http://schemas.microsoft.com/office/spreadsheetml/2017/richdata2" ref="A89:AL93">
    <sortCondition ref="C89:C93"/>
  </sortState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O135"/>
  <sheetViews>
    <sheetView workbookViewId="0"/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</cols>
  <sheetData>
    <row r="1" spans="1:38" x14ac:dyDescent="0.35">
      <c r="Z1" t="s">
        <v>13</v>
      </c>
      <c r="AA1" s="3" t="s">
        <v>13</v>
      </c>
    </row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44866</v>
      </c>
      <c r="G2" s="1">
        <v>44867</v>
      </c>
      <c r="H2" s="1">
        <v>44868</v>
      </c>
      <c r="I2" s="1">
        <v>44869</v>
      </c>
      <c r="J2" s="1">
        <v>44870</v>
      </c>
      <c r="K2" s="1">
        <v>44871</v>
      </c>
      <c r="L2" s="1">
        <v>44872</v>
      </c>
      <c r="M2" s="1">
        <v>44873</v>
      </c>
      <c r="N2" s="1">
        <v>44874</v>
      </c>
      <c r="O2" s="1">
        <v>44875</v>
      </c>
      <c r="P2" s="1">
        <v>44876</v>
      </c>
      <c r="Q2" s="1">
        <v>44877</v>
      </c>
      <c r="R2" s="1">
        <v>44878</v>
      </c>
      <c r="S2" s="1">
        <v>44879</v>
      </c>
      <c r="T2" s="1">
        <v>44880</v>
      </c>
      <c r="U2" s="1">
        <v>44881</v>
      </c>
      <c r="V2" s="1">
        <v>44882</v>
      </c>
      <c r="W2" s="1">
        <v>44883</v>
      </c>
      <c r="X2" s="1">
        <v>44884</v>
      </c>
      <c r="Y2" s="1">
        <v>44885</v>
      </c>
      <c r="Z2" s="1">
        <v>44886</v>
      </c>
      <c r="AA2" s="1">
        <v>44887</v>
      </c>
      <c r="AB2" s="1">
        <v>44888</v>
      </c>
      <c r="AC2" s="1">
        <v>44889</v>
      </c>
      <c r="AD2" s="1">
        <v>44890</v>
      </c>
      <c r="AE2" s="1">
        <v>44891</v>
      </c>
      <c r="AF2" s="1">
        <v>44892</v>
      </c>
      <c r="AG2" s="1">
        <v>44893</v>
      </c>
      <c r="AH2" s="1">
        <v>44894</v>
      </c>
      <c r="AI2" s="1">
        <v>44895</v>
      </c>
      <c r="AJ2" s="1" t="s">
        <v>13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+'Oct-22'!AJ111</f>
        <v>611911.15451113461</v>
      </c>
      <c r="G3" s="3">
        <f t="shared" ref="G3:AI3" si="0">+F114</f>
        <v>611911.15451113461</v>
      </c>
      <c r="H3" s="3">
        <f t="shared" si="0"/>
        <v>611911.15451113461</v>
      </c>
      <c r="I3" s="3">
        <f t="shared" si="0"/>
        <v>611911.15451113461</v>
      </c>
      <c r="J3" s="3">
        <f t="shared" si="0"/>
        <v>547719.15451113461</v>
      </c>
      <c r="K3" s="3">
        <f t="shared" si="0"/>
        <v>547719.15451113461</v>
      </c>
      <c r="L3" s="3">
        <f t="shared" si="0"/>
        <v>547719.15451113461</v>
      </c>
      <c r="M3" s="3">
        <f t="shared" si="0"/>
        <v>521814.15451113461</v>
      </c>
      <c r="N3" s="3">
        <f t="shared" si="0"/>
        <v>929888.79451113462</v>
      </c>
      <c r="O3" s="3">
        <f t="shared" si="0"/>
        <v>1242689.7945111347</v>
      </c>
      <c r="P3" s="3">
        <f t="shared" si="0"/>
        <v>1242689.7945111347</v>
      </c>
      <c r="Q3" s="3">
        <f t="shared" si="0"/>
        <v>824520.79451113474</v>
      </c>
      <c r="R3" s="3">
        <f t="shared" si="0"/>
        <v>824520.79451113474</v>
      </c>
      <c r="S3" s="3">
        <f t="shared" si="0"/>
        <v>824520.79451113474</v>
      </c>
      <c r="T3" s="3">
        <f t="shared" si="0"/>
        <v>1262882.7945111347</v>
      </c>
      <c r="U3" s="3">
        <f t="shared" si="0"/>
        <v>1262882.7945111347</v>
      </c>
      <c r="V3" s="3">
        <f t="shared" si="0"/>
        <v>1262882.7945111347</v>
      </c>
      <c r="W3" s="3">
        <f t="shared" si="0"/>
        <v>1262882.7945111347</v>
      </c>
      <c r="X3" s="3">
        <f t="shared" si="0"/>
        <v>1609793.7945111347</v>
      </c>
      <c r="Y3" s="3">
        <f t="shared" si="0"/>
        <v>1609793.7945111347</v>
      </c>
      <c r="Z3" s="3">
        <f t="shared" si="0"/>
        <v>1609793.7945111347</v>
      </c>
      <c r="AA3" s="3">
        <f t="shared" si="0"/>
        <v>1154271.1428986348</v>
      </c>
      <c r="AB3" s="3">
        <f t="shared" si="0"/>
        <v>1154271.1428986348</v>
      </c>
      <c r="AC3" s="3">
        <f t="shared" si="0"/>
        <v>1154271.1428986348</v>
      </c>
      <c r="AD3" s="3">
        <f t="shared" si="0"/>
        <v>858821.14289863477</v>
      </c>
      <c r="AE3" s="3">
        <f t="shared" si="0"/>
        <v>858821.14289863477</v>
      </c>
      <c r="AF3" s="3">
        <f t="shared" si="0"/>
        <v>858821.14289863477</v>
      </c>
      <c r="AG3" s="3">
        <f t="shared" si="0"/>
        <v>858821.14289863477</v>
      </c>
      <c r="AH3" s="3">
        <f t="shared" si="0"/>
        <v>1083525.1428986348</v>
      </c>
      <c r="AI3" s="3">
        <f t="shared" si="0"/>
        <v>1385054.1428986348</v>
      </c>
      <c r="AJ3" s="3" t="s">
        <v>13</v>
      </c>
      <c r="AK3" s="3" t="s">
        <v>13</v>
      </c>
      <c r="AL3" s="6" t="s">
        <v>13</v>
      </c>
    </row>
    <row r="4" spans="1:38" x14ac:dyDescent="0.35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ht="15" thickBot="1" x14ac:dyDescent="0.4">
      <c r="A5" t="s">
        <v>895</v>
      </c>
      <c r="B5" t="s">
        <v>886</v>
      </c>
      <c r="C5" s="5">
        <v>44618</v>
      </c>
      <c r="D5" s="3">
        <v>56708</v>
      </c>
      <c r="E5" s="6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8" x14ac:dyDescent="0.35">
      <c r="A6" s="36" t="s">
        <v>1341</v>
      </c>
      <c r="B6" s="66" t="s">
        <v>1342</v>
      </c>
      <c r="C6" s="38">
        <v>44849</v>
      </c>
      <c r="D6" s="39">
        <v>96704</v>
      </c>
      <c r="E6" s="40" t="s">
        <v>1345</v>
      </c>
      <c r="F6" s="3"/>
      <c r="G6" s="3"/>
      <c r="H6" s="3"/>
      <c r="I6" s="3"/>
      <c r="J6" s="3"/>
      <c r="K6" s="3"/>
      <c r="L6" s="3"/>
      <c r="M6" s="3">
        <v>96704</v>
      </c>
      <c r="N6" s="3"/>
      <c r="O6" s="3"/>
      <c r="P6" s="3"/>
      <c r="Q6" s="3"/>
      <c r="R6" s="3"/>
      <c r="S6" s="3"/>
      <c r="T6" s="3"/>
      <c r="U6" s="3"/>
      <c r="V6" s="3" t="s">
        <v>13</v>
      </c>
      <c r="W6" s="3"/>
      <c r="AD6" s="3"/>
      <c r="AK6" s="3">
        <f>SUM($F6:AJ6)</f>
        <v>96704</v>
      </c>
      <c r="AL6" s="22"/>
    </row>
    <row r="7" spans="1:38" x14ac:dyDescent="0.35">
      <c r="A7" s="41" t="s">
        <v>1360</v>
      </c>
      <c r="B7" t="s">
        <v>1361</v>
      </c>
      <c r="C7" s="5">
        <v>44855</v>
      </c>
      <c r="D7" s="3">
        <v>85642</v>
      </c>
      <c r="E7" s="42" t="s">
        <v>782</v>
      </c>
      <c r="F7" s="3"/>
      <c r="G7" s="3"/>
      <c r="H7" s="3"/>
      <c r="I7" s="3"/>
      <c r="J7" s="3"/>
      <c r="K7" s="3"/>
      <c r="L7" s="3"/>
      <c r="M7" s="3"/>
      <c r="N7" s="3">
        <v>85642</v>
      </c>
      <c r="O7" s="3"/>
      <c r="P7" s="3"/>
      <c r="Q7" s="3"/>
      <c r="R7" s="3"/>
      <c r="S7" s="3"/>
      <c r="T7" s="3"/>
      <c r="U7" s="3"/>
      <c r="V7" s="3"/>
      <c r="W7" s="3"/>
      <c r="AK7" s="3">
        <f>SUM($F7:AJ7)</f>
        <v>85642</v>
      </c>
      <c r="AL7" s="22"/>
    </row>
    <row r="8" spans="1:38" x14ac:dyDescent="0.35">
      <c r="A8" s="41" t="s">
        <v>1362</v>
      </c>
      <c r="B8" t="s">
        <v>1363</v>
      </c>
      <c r="C8" s="5">
        <v>44855</v>
      </c>
      <c r="D8" s="3">
        <v>85642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>
        <v>85642</v>
      </c>
      <c r="O8" s="3"/>
      <c r="P8" s="3"/>
      <c r="Q8" s="3"/>
      <c r="R8" s="3"/>
      <c r="S8" s="3"/>
      <c r="T8" s="3"/>
      <c r="U8" s="3"/>
      <c r="V8" s="3"/>
      <c r="W8" s="3"/>
      <c r="AK8" s="3">
        <f>SUM($F8:AJ8)</f>
        <v>85642</v>
      </c>
      <c r="AL8" s="22"/>
    </row>
    <row r="9" spans="1:38" x14ac:dyDescent="0.35">
      <c r="A9" s="41" t="s">
        <v>1364</v>
      </c>
      <c r="B9" t="s">
        <v>1365</v>
      </c>
      <c r="C9" s="5">
        <v>44855</v>
      </c>
      <c r="D9" s="3">
        <v>55875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>
        <v>55875</v>
      </c>
      <c r="O9" s="3"/>
      <c r="P9" s="3"/>
      <c r="Q9" s="3"/>
      <c r="R9" s="3"/>
      <c r="S9" s="3"/>
      <c r="T9" s="3"/>
      <c r="U9" s="3"/>
      <c r="V9" s="3"/>
      <c r="W9" s="3"/>
      <c r="AK9" s="3">
        <f>SUM($F9:AJ9)</f>
        <v>55875</v>
      </c>
      <c r="AL9" s="22"/>
    </row>
    <row r="10" spans="1:38" x14ac:dyDescent="0.35">
      <c r="A10" s="41" t="s">
        <v>1366</v>
      </c>
      <c r="B10" t="s">
        <v>1367</v>
      </c>
      <c r="C10" s="5">
        <v>44855</v>
      </c>
      <c r="D10" s="3">
        <v>44308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>
        <v>44308</v>
      </c>
      <c r="AK10" s="3">
        <f>SUM($F10:AJ10)</f>
        <v>44308</v>
      </c>
      <c r="AL10" s="22"/>
    </row>
    <row r="11" spans="1:38" x14ac:dyDescent="0.35">
      <c r="A11" s="41" t="s">
        <v>1368</v>
      </c>
      <c r="B11" t="s">
        <v>1369</v>
      </c>
      <c r="C11" s="5">
        <v>44855</v>
      </c>
      <c r="D11" s="3">
        <v>44308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>
        <v>44308</v>
      </c>
      <c r="AK11" s="3">
        <f>SUM($F11:AJ11)</f>
        <v>44308</v>
      </c>
      <c r="AL11" s="22"/>
    </row>
    <row r="12" spans="1:38" x14ac:dyDescent="0.35">
      <c r="A12" s="41" t="s">
        <v>1370</v>
      </c>
      <c r="B12" t="s">
        <v>1371</v>
      </c>
      <c r="C12" s="5">
        <v>44855</v>
      </c>
      <c r="D12" s="3">
        <v>85642</v>
      </c>
      <c r="E12" s="42" t="s">
        <v>1345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85642</v>
      </c>
      <c r="T12" s="3"/>
      <c r="U12" s="3"/>
      <c r="V12" s="3"/>
      <c r="W12" s="3" t="s">
        <v>13</v>
      </c>
      <c r="AK12" s="3">
        <f>SUM($F12:AJ12)</f>
        <v>85642</v>
      </c>
      <c r="AL12" s="22"/>
    </row>
    <row r="13" spans="1:38" x14ac:dyDescent="0.35">
      <c r="A13" s="41" t="s">
        <v>1379</v>
      </c>
      <c r="B13" t="s">
        <v>1376</v>
      </c>
      <c r="C13" s="5">
        <v>44862</v>
      </c>
      <c r="D13" s="3">
        <v>85642</v>
      </c>
      <c r="E13" s="42" t="s">
        <v>782</v>
      </c>
      <c r="F13" s="3"/>
      <c r="G13" s="3"/>
      <c r="H13" s="3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>
        <v>85642</v>
      </c>
      <c r="AK13" s="3">
        <f>SUM($F13:AJ13)</f>
        <v>85642</v>
      </c>
      <c r="AL13" s="22"/>
    </row>
    <row r="14" spans="1:38" x14ac:dyDescent="0.35">
      <c r="A14" s="41" t="s">
        <v>1380</v>
      </c>
      <c r="B14" t="s">
        <v>1377</v>
      </c>
      <c r="C14" s="5">
        <v>44862</v>
      </c>
      <c r="D14" s="3">
        <v>85642</v>
      </c>
      <c r="E14" s="42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>
        <v>85642</v>
      </c>
      <c r="AK14" s="3">
        <f>SUM($F14:AJ14)</f>
        <v>85642</v>
      </c>
      <c r="AL14" s="22"/>
    </row>
    <row r="15" spans="1:38" x14ac:dyDescent="0.35">
      <c r="A15" s="41" t="s">
        <v>1378</v>
      </c>
      <c r="B15" t="s">
        <v>1387</v>
      </c>
      <c r="C15" s="5">
        <v>44862</v>
      </c>
      <c r="D15" s="3">
        <f>34734*4*1.19+38095*2*1.19+44030*1.19+2500*1.19</f>
        <v>311370.64</v>
      </c>
      <c r="E15" s="42" t="s">
        <v>1345</v>
      </c>
      <c r="F15" s="3"/>
      <c r="G15" s="3"/>
      <c r="H15" s="3"/>
      <c r="I15" s="3"/>
      <c r="J15" s="3"/>
      <c r="K15" s="3"/>
      <c r="L15" s="3"/>
      <c r="M15" s="3">
        <f>34734*4*1.19+38095*2*1.19+44030*1.19+2500*1.19</f>
        <v>311370.64</v>
      </c>
      <c r="N15" s="3"/>
      <c r="O15" s="3"/>
      <c r="P15" s="3"/>
      <c r="Q15" s="3"/>
      <c r="R15" s="3"/>
      <c r="S15" s="3"/>
      <c r="T15" s="3"/>
      <c r="U15" s="3"/>
      <c r="V15" s="3"/>
      <c r="W15" s="3" t="s">
        <v>13</v>
      </c>
      <c r="AK15" s="3">
        <f>SUM($F15:AJ15)</f>
        <v>311370.64</v>
      </c>
      <c r="AL15" s="22"/>
    </row>
    <row r="16" spans="1:38" x14ac:dyDescent="0.35">
      <c r="A16" s="41" t="s">
        <v>1381</v>
      </c>
      <c r="B16" t="s">
        <v>1382</v>
      </c>
      <c r="C16" s="5">
        <v>44862</v>
      </c>
      <c r="D16" s="3">
        <v>85642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>
        <v>85642</v>
      </c>
      <c r="O16" s="3"/>
      <c r="P16" s="3"/>
      <c r="Q16" s="3"/>
      <c r="R16" s="3"/>
      <c r="S16" s="3"/>
      <c r="T16" s="3"/>
      <c r="U16" s="3"/>
      <c r="V16" s="3"/>
      <c r="W16" s="3" t="s">
        <v>13</v>
      </c>
      <c r="AK16" s="3">
        <f>SUM($F16:AJ16)</f>
        <v>85642</v>
      </c>
      <c r="AL16" s="22"/>
    </row>
    <row r="17" spans="1:38" x14ac:dyDescent="0.35">
      <c r="A17" s="41" t="s">
        <v>1383</v>
      </c>
      <c r="B17" t="s">
        <v>1385</v>
      </c>
      <c r="C17" s="5">
        <v>44862</v>
      </c>
      <c r="D17" s="3">
        <v>85642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>
        <v>85642</v>
      </c>
      <c r="AK17" s="3">
        <f>SUM($F17:AJ17)</f>
        <v>85642</v>
      </c>
      <c r="AL17" s="22"/>
    </row>
    <row r="18" spans="1:38" ht="15" thickBot="1" x14ac:dyDescent="0.4">
      <c r="A18" s="43" t="s">
        <v>1384</v>
      </c>
      <c r="B18" s="76" t="s">
        <v>1386</v>
      </c>
      <c r="C18" s="45">
        <v>44862</v>
      </c>
      <c r="D18" s="46">
        <v>44308</v>
      </c>
      <c r="E18" s="47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44308</v>
      </c>
      <c r="AK18" s="3">
        <f>SUM($F18:AJ18)</f>
        <v>44308</v>
      </c>
      <c r="AL18" s="22" t="s">
        <v>13</v>
      </c>
    </row>
    <row r="19" spans="1:38" x14ac:dyDescent="0.35">
      <c r="A19" t="s">
        <v>1404</v>
      </c>
      <c r="B19" t="s">
        <v>1405</v>
      </c>
      <c r="C19" s="5">
        <v>44867</v>
      </c>
      <c r="D19" s="3">
        <v>308412</v>
      </c>
      <c r="E19" s="6" t="s">
        <v>1345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308412</v>
      </c>
      <c r="T19" s="3"/>
      <c r="U19" s="3"/>
      <c r="V19" s="3"/>
      <c r="W19" s="3"/>
      <c r="AK19" s="3">
        <f>SUM($F19:AJ19)</f>
        <v>308412</v>
      </c>
      <c r="AL19" s="22"/>
    </row>
    <row r="20" spans="1:38" x14ac:dyDescent="0.35">
      <c r="A20" t="s">
        <v>1407</v>
      </c>
      <c r="B20" t="s">
        <v>1408</v>
      </c>
      <c r="C20" s="5">
        <v>44869</v>
      </c>
      <c r="D20" s="3">
        <v>85642</v>
      </c>
      <c r="E20" s="6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AH20" s="3">
        <v>85642</v>
      </c>
      <c r="AK20" s="3">
        <f>SUM($F20:AJ20)</f>
        <v>85642</v>
      </c>
      <c r="AL20" s="22"/>
    </row>
    <row r="21" spans="1:38" x14ac:dyDescent="0.35">
      <c r="A21" t="s">
        <v>1409</v>
      </c>
      <c r="B21" t="s">
        <v>1410</v>
      </c>
      <c r="C21" s="5">
        <v>44869</v>
      </c>
      <c r="D21" s="3">
        <v>44308</v>
      </c>
      <c r="E21" s="6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 t="s">
        <v>13</v>
      </c>
      <c r="T21" s="3"/>
      <c r="U21" s="3"/>
      <c r="V21" s="3"/>
      <c r="W21" s="3"/>
      <c r="AH21" s="3">
        <v>44308</v>
      </c>
      <c r="AK21" s="3">
        <f>SUM($F21:AJ21)</f>
        <v>44308</v>
      </c>
      <c r="AL21" s="22"/>
    </row>
    <row r="22" spans="1:38" x14ac:dyDescent="0.35">
      <c r="A22" t="s">
        <v>1412</v>
      </c>
      <c r="B22" t="s">
        <v>1411</v>
      </c>
      <c r="C22" s="5">
        <v>44869</v>
      </c>
      <c r="D22" s="3">
        <v>44308</v>
      </c>
      <c r="E22" s="6" t="s">
        <v>1345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44308</v>
      </c>
      <c r="T22" s="3"/>
      <c r="U22" s="3"/>
      <c r="V22" s="3"/>
      <c r="W22" s="3"/>
      <c r="AK22" s="3">
        <f>SUM($F22:AJ22)</f>
        <v>44308</v>
      </c>
      <c r="AL22" s="22"/>
    </row>
    <row r="23" spans="1:38" x14ac:dyDescent="0.35">
      <c r="A23" t="s">
        <v>1418</v>
      </c>
      <c r="C23" s="5">
        <v>44876</v>
      </c>
      <c r="D23" s="3">
        <v>45059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v>45059</v>
      </c>
      <c r="Q23" s="3"/>
      <c r="R23" s="3"/>
      <c r="S23" s="3"/>
      <c r="T23" s="3"/>
      <c r="U23" s="3"/>
      <c r="V23" s="3"/>
      <c r="W23" s="3"/>
      <c r="AK23" s="3">
        <f>SUM($F23:AJ23)</f>
        <v>45059</v>
      </c>
      <c r="AL23" s="22"/>
    </row>
    <row r="24" spans="1:38" x14ac:dyDescent="0.35">
      <c r="A24" t="s">
        <v>1419</v>
      </c>
      <c r="B24" t="s">
        <v>1420</v>
      </c>
      <c r="C24" s="5">
        <v>44876</v>
      </c>
      <c r="D24" s="3">
        <v>44308</v>
      </c>
      <c r="E24" s="6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AH24" s="3">
        <v>44308</v>
      </c>
      <c r="AK24" s="3">
        <f>SUM($F24:AJ24)</f>
        <v>44308</v>
      </c>
      <c r="AL24" s="22"/>
    </row>
    <row r="25" spans="1:38" x14ac:dyDescent="0.35">
      <c r="A25" t="s">
        <v>1421</v>
      </c>
      <c r="B25" t="s">
        <v>1422</v>
      </c>
      <c r="C25" s="5">
        <v>44876</v>
      </c>
      <c r="D25" s="3">
        <v>44308</v>
      </c>
      <c r="E25" s="6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AH25" s="3">
        <v>44308</v>
      </c>
      <c r="AK25" s="3">
        <f>SUM($F25:AJ25)</f>
        <v>44308</v>
      </c>
      <c r="AL25" s="22"/>
    </row>
    <row r="26" spans="1:38" x14ac:dyDescent="0.35">
      <c r="A26" t="s">
        <v>1424</v>
      </c>
      <c r="B26" t="s">
        <v>1423</v>
      </c>
      <c r="C26" s="5">
        <v>44876</v>
      </c>
      <c r="D26" s="3">
        <v>130975</v>
      </c>
      <c r="E26" s="6" t="s">
        <v>1345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AK26" s="3">
        <f>SUM($F26:AJ26)</f>
        <v>0</v>
      </c>
      <c r="AL26" s="22"/>
    </row>
    <row r="27" spans="1:38" x14ac:dyDescent="0.35">
      <c r="A27" t="s">
        <v>1435</v>
      </c>
      <c r="B27" t="s">
        <v>1436</v>
      </c>
      <c r="C27" s="5">
        <v>44881</v>
      </c>
      <c r="D27" s="3">
        <v>224704</v>
      </c>
      <c r="E27" s="6" t="s">
        <v>1345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AG27" s="3">
        <v>224704</v>
      </c>
      <c r="AK27" s="3">
        <f>SUM($F27:AJ27)</f>
        <v>224704</v>
      </c>
      <c r="AL27" s="22"/>
    </row>
    <row r="28" spans="1:38" x14ac:dyDescent="0.35">
      <c r="A28" t="s">
        <v>1439</v>
      </c>
      <c r="B28" t="s">
        <v>1440</v>
      </c>
      <c r="C28" s="5">
        <v>44882</v>
      </c>
      <c r="D28" s="3">
        <v>176308</v>
      </c>
      <c r="E28" s="6" t="s">
        <v>1441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AK28" s="3">
        <f>SUM($F28:AJ28)</f>
        <v>0</v>
      </c>
      <c r="AL28" s="22"/>
    </row>
    <row r="29" spans="1:38" x14ac:dyDescent="0.35">
      <c r="A29" t="s">
        <v>1448</v>
      </c>
      <c r="B29" t="s">
        <v>1449</v>
      </c>
      <c r="C29" s="5">
        <v>44884</v>
      </c>
      <c r="D29" s="3">
        <v>85642</v>
      </c>
      <c r="E29" s="6" t="s">
        <v>782</v>
      </c>
      <c r="F29" s="3"/>
      <c r="G29" s="3"/>
      <c r="H29" s="3" t="s">
        <v>13</v>
      </c>
      <c r="I29" s="3" t="s">
        <v>13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AH29" s="3">
        <v>85642</v>
      </c>
      <c r="AK29" s="3">
        <f>SUM($F29:AJ29)</f>
        <v>85642</v>
      </c>
      <c r="AL29" s="22"/>
    </row>
    <row r="30" spans="1:38" x14ac:dyDescent="0.35">
      <c r="A30" t="s">
        <v>1450</v>
      </c>
      <c r="B30" t="s">
        <v>1452</v>
      </c>
      <c r="C30" s="5">
        <v>44884</v>
      </c>
      <c r="D30" s="3">
        <v>44308</v>
      </c>
      <c r="E30" s="6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AH30" s="3">
        <v>44308</v>
      </c>
      <c r="AK30" s="3">
        <f>SUM($F30:AJ30)</f>
        <v>44308</v>
      </c>
      <c r="AL30" s="22"/>
    </row>
    <row r="31" spans="1:38" x14ac:dyDescent="0.35">
      <c r="A31" t="s">
        <v>1451</v>
      </c>
      <c r="B31" t="s">
        <v>1453</v>
      </c>
      <c r="C31" s="5">
        <v>44884</v>
      </c>
      <c r="D31" s="3">
        <v>44308</v>
      </c>
      <c r="E31" s="6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AH31" s="3">
        <v>44308</v>
      </c>
      <c r="AK31" s="3">
        <f>SUM($F31:AJ31)</f>
        <v>44308</v>
      </c>
      <c r="AL31" s="22"/>
    </row>
    <row r="32" spans="1:38" x14ac:dyDescent="0.35">
      <c r="A32" t="s">
        <v>1454</v>
      </c>
      <c r="B32" t="s">
        <v>1456</v>
      </c>
      <c r="C32" s="5">
        <v>44888</v>
      </c>
      <c r="D32" s="3">
        <v>85642</v>
      </c>
      <c r="E32" s="6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AK32" s="3">
        <f>SUM($F32:AJ32)</f>
        <v>0</v>
      </c>
      <c r="AL32" s="22"/>
    </row>
    <row r="33" spans="1:38" x14ac:dyDescent="0.35">
      <c r="A33" t="s">
        <v>1455</v>
      </c>
      <c r="B33" t="s">
        <v>1457</v>
      </c>
      <c r="C33" s="5">
        <v>44888</v>
      </c>
      <c r="D33" s="3">
        <v>44308</v>
      </c>
      <c r="E33" s="6" t="s">
        <v>782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AK33" s="3">
        <f>SUM($F33:AJ33)</f>
        <v>0</v>
      </c>
      <c r="AL33" s="22"/>
    </row>
    <row r="34" spans="1:38" x14ac:dyDescent="0.35">
      <c r="A34" t="s">
        <v>1461</v>
      </c>
      <c r="B34" t="s">
        <v>1462</v>
      </c>
      <c r="C34" s="5">
        <v>44890</v>
      </c>
      <c r="D34" s="3">
        <v>44308</v>
      </c>
      <c r="E34" s="6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AK34" s="3">
        <f>SUM($F34:AJ34)</f>
        <v>0</v>
      </c>
      <c r="AL34" s="22"/>
    </row>
    <row r="35" spans="1:38" x14ac:dyDescent="0.35">
      <c r="A35" t="s">
        <v>1463</v>
      </c>
      <c r="B35" t="s">
        <v>1464</v>
      </c>
      <c r="C35" s="5">
        <v>44890</v>
      </c>
      <c r="D35" s="3">
        <v>44308</v>
      </c>
      <c r="E35" s="6" t="s">
        <v>782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AK35" s="3">
        <f>SUM($F35:AJ35)</f>
        <v>0</v>
      </c>
      <c r="AL35" s="22"/>
    </row>
    <row r="36" spans="1:38" x14ac:dyDescent="0.35">
      <c r="A36" t="s">
        <v>1465</v>
      </c>
      <c r="B36" t="s">
        <v>1466</v>
      </c>
      <c r="C36" s="5">
        <v>44896</v>
      </c>
      <c r="D36" s="3">
        <v>172308</v>
      </c>
      <c r="E36" s="6" t="s">
        <v>1345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AK36" s="3">
        <f>SUM($F36:AJ36)</f>
        <v>0</v>
      </c>
      <c r="AL36" s="22"/>
    </row>
    <row r="37" spans="1:38" x14ac:dyDescent="0.35">
      <c r="C37" s="5"/>
      <c r="D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AK37" s="3">
        <f>SUM($F37:AJ37)</f>
        <v>0</v>
      </c>
      <c r="AL37" s="22"/>
    </row>
    <row r="38" spans="1:38" x14ac:dyDescent="0.35">
      <c r="C38" s="5"/>
      <c r="D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AK38" s="3">
        <f>SUM($F38:AJ38)</f>
        <v>0</v>
      </c>
      <c r="AL38" s="22"/>
    </row>
    <row r="39" spans="1:38" x14ac:dyDescent="0.35">
      <c r="C39" s="5"/>
      <c r="D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AK39" s="3">
        <f>SUM($F39:AJ39)</f>
        <v>0</v>
      </c>
      <c r="AL39" s="22" t="s">
        <v>1352</v>
      </c>
    </row>
    <row r="40" spans="1:38" x14ac:dyDescent="0.35">
      <c r="A40" s="2" t="s">
        <v>1676</v>
      </c>
      <c r="D40" s="3">
        <f>SUM(D19:D38)-D23</f>
        <v>1668405</v>
      </c>
      <c r="F40" s="3">
        <f t="shared" ref="F40:AJ40" si="1">SUM(F5:F39)</f>
        <v>0</v>
      </c>
      <c r="G40" s="3">
        <f t="shared" si="1"/>
        <v>0</v>
      </c>
      <c r="H40" s="3">
        <f t="shared" si="1"/>
        <v>0</v>
      </c>
      <c r="I40" s="3">
        <f t="shared" si="1"/>
        <v>0</v>
      </c>
      <c r="J40" s="3">
        <f t="shared" si="1"/>
        <v>0</v>
      </c>
      <c r="K40" s="3">
        <f t="shared" si="1"/>
        <v>0</v>
      </c>
      <c r="L40" s="3">
        <f t="shared" si="1"/>
        <v>0</v>
      </c>
      <c r="M40" s="3">
        <f t="shared" si="1"/>
        <v>408074.64</v>
      </c>
      <c r="N40" s="3">
        <f t="shared" si="1"/>
        <v>312801</v>
      </c>
      <c r="O40" s="3">
        <f t="shared" si="1"/>
        <v>0</v>
      </c>
      <c r="P40" s="3">
        <f t="shared" si="1"/>
        <v>45059</v>
      </c>
      <c r="Q40" s="3">
        <f t="shared" si="1"/>
        <v>0</v>
      </c>
      <c r="R40" s="3">
        <f t="shared" si="1"/>
        <v>0</v>
      </c>
      <c r="S40" s="3">
        <f t="shared" si="1"/>
        <v>438362</v>
      </c>
      <c r="T40" s="3">
        <f t="shared" si="1"/>
        <v>0</v>
      </c>
      <c r="U40" s="3">
        <f t="shared" si="1"/>
        <v>0</v>
      </c>
      <c r="V40" s="3">
        <f t="shared" si="1"/>
        <v>0</v>
      </c>
      <c r="W40" s="3">
        <f t="shared" si="1"/>
        <v>389850</v>
      </c>
      <c r="X40" s="3">
        <f t="shared" si="1"/>
        <v>0</v>
      </c>
      <c r="Y40" s="3">
        <f t="shared" si="1"/>
        <v>0</v>
      </c>
      <c r="Z40" s="3">
        <f t="shared" si="1"/>
        <v>0</v>
      </c>
      <c r="AA40" s="3">
        <f t="shared" si="1"/>
        <v>0</v>
      </c>
      <c r="AB40" s="3">
        <f t="shared" si="1"/>
        <v>0</v>
      </c>
      <c r="AC40" s="3">
        <f t="shared" si="1"/>
        <v>0</v>
      </c>
      <c r="AD40" s="3">
        <f t="shared" si="1"/>
        <v>0</v>
      </c>
      <c r="AE40" s="3">
        <f t="shared" si="1"/>
        <v>0</v>
      </c>
      <c r="AF40" s="3">
        <f t="shared" si="1"/>
        <v>0</v>
      </c>
      <c r="AG40" s="3">
        <f t="shared" si="1"/>
        <v>224704</v>
      </c>
      <c r="AH40" s="3">
        <f t="shared" si="1"/>
        <v>392824</v>
      </c>
      <c r="AI40" s="3">
        <f t="shared" si="1"/>
        <v>0</v>
      </c>
      <c r="AJ40" s="3">
        <f t="shared" si="1"/>
        <v>0</v>
      </c>
      <c r="AK40" s="72">
        <f>SUM(AK5:AK39)-AK23</f>
        <v>2166615.64</v>
      </c>
      <c r="AL40" s="22">
        <f>+D41-AK40</f>
        <v>743216</v>
      </c>
    </row>
    <row r="41" spans="1:38" x14ac:dyDescent="0.35">
      <c r="A41" s="2" t="s">
        <v>1780</v>
      </c>
      <c r="D41" s="3">
        <f>SUM(D6:D36)</f>
        <v>2909831.64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38" x14ac:dyDescent="0.35">
      <c r="A42" s="2" t="s">
        <v>2</v>
      </c>
      <c r="F42" s="3"/>
      <c r="G42" s="3"/>
      <c r="H42" s="3"/>
      <c r="I42" s="3"/>
      <c r="J42" s="3"/>
      <c r="K42" s="3"/>
      <c r="L42" s="3" t="s">
        <v>13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38" ht="15" thickBot="1" x14ac:dyDescent="0.4">
      <c r="A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38" x14ac:dyDescent="0.35">
      <c r="A44" s="36" t="s">
        <v>1140</v>
      </c>
      <c r="B44" s="66" t="s">
        <v>337</v>
      </c>
      <c r="C44" s="38" t="s">
        <v>13</v>
      </c>
      <c r="D44" s="39">
        <f>+'Jun-22'!D35</f>
        <v>242556.17000000004</v>
      </c>
      <c r="E44" s="4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AK44" s="3">
        <f>SUM($F44:AJ44)</f>
        <v>0</v>
      </c>
    </row>
    <row r="45" spans="1:38" x14ac:dyDescent="0.35">
      <c r="A45" t="s">
        <v>1141</v>
      </c>
      <c r="B45" t="s">
        <v>337</v>
      </c>
      <c r="C45" s="5" t="s">
        <v>13</v>
      </c>
      <c r="D45" s="3">
        <f>+'Oct-22'!D49</f>
        <v>534883.75</v>
      </c>
      <c r="E45" s="4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AK45" s="3">
        <f>SUM($F45:AJ45)</f>
        <v>0</v>
      </c>
    </row>
    <row r="46" spans="1:38" x14ac:dyDescent="0.35">
      <c r="A46" t="s">
        <v>1844</v>
      </c>
      <c r="B46" t="s">
        <v>337</v>
      </c>
      <c r="C46" s="5" t="s">
        <v>13</v>
      </c>
      <c r="D46" s="3">
        <f>+'Ago-22'!D32</f>
        <v>191740.62000000002</v>
      </c>
      <c r="E46" s="4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AK46" s="3">
        <f>SUM($F46:AJ46)</f>
        <v>0</v>
      </c>
    </row>
    <row r="47" spans="1:38" x14ac:dyDescent="0.35">
      <c r="A47" s="41" t="s">
        <v>1616</v>
      </c>
      <c r="B47" t="s">
        <v>337</v>
      </c>
      <c r="C47" s="5"/>
      <c r="D47" s="3">
        <f>+'Sep-22'!D36</f>
        <v>120331.61000000002</v>
      </c>
      <c r="E47" s="4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AK47" s="3">
        <f>SUM($F47:AJ47)</f>
        <v>0</v>
      </c>
    </row>
    <row r="48" spans="1:38" ht="15" thickBot="1" x14ac:dyDescent="0.4">
      <c r="A48" s="41" t="s">
        <v>1617</v>
      </c>
      <c r="B48" t="s">
        <v>337</v>
      </c>
      <c r="C48" s="5"/>
      <c r="D48" s="3">
        <f>+'Oct-22'!D52</f>
        <v>425755.82</v>
      </c>
      <c r="E48" s="4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AK48" s="3">
        <f>SUM($F48:AJ48)</f>
        <v>0</v>
      </c>
    </row>
    <row r="49" spans="1:38" ht="15" thickBot="1" x14ac:dyDescent="0.4">
      <c r="A49" s="88" t="s">
        <v>1841</v>
      </c>
      <c r="B49" s="89"/>
      <c r="C49" s="351">
        <v>44895</v>
      </c>
      <c r="D49" s="270">
        <f>+AK40*0.17</f>
        <v>368324.65880000003</v>
      </c>
      <c r="E49" s="35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AK49" s="3">
        <f>SUM($F49:AJ49)</f>
        <v>0</v>
      </c>
      <c r="AL49" s="6" t="s">
        <v>1846</v>
      </c>
    </row>
    <row r="50" spans="1:38" x14ac:dyDescent="0.35">
      <c r="A50" s="343" t="s">
        <v>629</v>
      </c>
      <c r="B50" s="24" t="s">
        <v>337</v>
      </c>
      <c r="C50" s="67"/>
      <c r="D50" s="3">
        <v>500000</v>
      </c>
      <c r="E50" s="4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AK50" s="3">
        <f>SUM($F50:AJ50)</f>
        <v>0</v>
      </c>
    </row>
    <row r="51" spans="1:38" x14ac:dyDescent="0.35">
      <c r="A51" s="343" t="s">
        <v>952</v>
      </c>
      <c r="B51" s="24" t="s">
        <v>337</v>
      </c>
      <c r="C51" s="5"/>
      <c r="D51" s="3">
        <v>2400000</v>
      </c>
      <c r="E51" s="4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AK51" s="3">
        <f>SUM($F51:AJ51)</f>
        <v>0</v>
      </c>
    </row>
    <row r="52" spans="1:38" x14ac:dyDescent="0.35">
      <c r="A52" s="343" t="s">
        <v>1008</v>
      </c>
      <c r="B52" s="24" t="s">
        <v>337</v>
      </c>
      <c r="C52" s="5"/>
      <c r="D52" s="3">
        <v>2400000</v>
      </c>
      <c r="E52" s="4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AK52" s="3">
        <f>SUM($F52:AJ52)</f>
        <v>0</v>
      </c>
    </row>
    <row r="53" spans="1:38" x14ac:dyDescent="0.35">
      <c r="A53" s="343" t="s">
        <v>1197</v>
      </c>
      <c r="B53" s="24" t="s">
        <v>1198</v>
      </c>
      <c r="C53" s="5">
        <v>44781</v>
      </c>
      <c r="D53" s="3">
        <v>290360</v>
      </c>
      <c r="E53" s="42" t="s">
        <v>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AK53" s="3">
        <f>SUM($F53:AJ53)</f>
        <v>0</v>
      </c>
    </row>
    <row r="54" spans="1:38" x14ac:dyDescent="0.35">
      <c r="A54" s="343" t="s">
        <v>1309</v>
      </c>
      <c r="B54" t="s">
        <v>1310</v>
      </c>
      <c r="C54" s="67">
        <v>44782</v>
      </c>
      <c r="D54" s="3">
        <v>928200</v>
      </c>
      <c r="E54" s="34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AI54" s="3"/>
      <c r="AJ54" s="3"/>
      <c r="AK54" s="3">
        <f>SUM($F54:AJ54)</f>
        <v>0</v>
      </c>
      <c r="AL54" s="22"/>
    </row>
    <row r="55" spans="1:38" x14ac:dyDescent="0.35">
      <c r="A55" s="343" t="s">
        <v>1309</v>
      </c>
      <c r="B55" t="s">
        <v>1311</v>
      </c>
      <c r="C55" s="67">
        <v>44782</v>
      </c>
      <c r="D55" s="3">
        <v>742203</v>
      </c>
      <c r="E55" s="34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AI55" s="3">
        <v>742203</v>
      </c>
      <c r="AJ55" s="3"/>
      <c r="AK55" s="3">
        <f>SUM($F55:AJ55)</f>
        <v>742203</v>
      </c>
      <c r="AL55" s="22" t="s">
        <v>13</v>
      </c>
    </row>
    <row r="56" spans="1:38" x14ac:dyDescent="0.35">
      <c r="A56" s="343" t="s">
        <v>1161</v>
      </c>
      <c r="B56" s="24" t="s">
        <v>1194</v>
      </c>
      <c r="C56" s="5">
        <v>44784</v>
      </c>
      <c r="D56" s="71">
        <v>24280</v>
      </c>
      <c r="E56" s="344" t="s">
        <v>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G56" s="3"/>
      <c r="AI56" s="3"/>
      <c r="AK56" s="3">
        <f>SUM($F56:AJ56)</f>
        <v>0</v>
      </c>
      <c r="AL56" s="22"/>
    </row>
    <row r="57" spans="1:38" x14ac:dyDescent="0.35">
      <c r="A57" s="343" t="s">
        <v>1195</v>
      </c>
      <c r="B57" s="24" t="s">
        <v>1196</v>
      </c>
      <c r="C57" s="67">
        <v>44784</v>
      </c>
      <c r="D57" s="71">
        <v>35990</v>
      </c>
      <c r="E57" s="344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AG57" s="3"/>
      <c r="AI57" s="3"/>
      <c r="AK57" s="3">
        <f>SUM($F57:AJ57)</f>
        <v>0</v>
      </c>
      <c r="AL57" s="22"/>
    </row>
    <row r="58" spans="1:38" x14ac:dyDescent="0.35">
      <c r="A58" s="343" t="s">
        <v>1201</v>
      </c>
      <c r="B58" s="24" t="s">
        <v>1202</v>
      </c>
      <c r="C58" s="67">
        <v>44785</v>
      </c>
      <c r="D58" s="71">
        <v>12670</v>
      </c>
      <c r="E58" s="344" t="s">
        <v>4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AG58" s="3"/>
      <c r="AI58" s="3"/>
      <c r="AK58" s="3">
        <f>SUM($F58:AJ58)</f>
        <v>0</v>
      </c>
      <c r="AL58" s="22"/>
    </row>
    <row r="59" spans="1:38" x14ac:dyDescent="0.35">
      <c r="A59" s="343" t="s">
        <v>1203</v>
      </c>
      <c r="B59" s="24" t="s">
        <v>1204</v>
      </c>
      <c r="C59" s="67">
        <v>44785</v>
      </c>
      <c r="D59" s="71">
        <v>1790</v>
      </c>
      <c r="E59" s="344" t="s">
        <v>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AG59" s="3"/>
      <c r="AI59" s="3"/>
      <c r="AK59" s="3">
        <f>SUM($F59:AJ59)</f>
        <v>0</v>
      </c>
      <c r="AL59" s="22"/>
    </row>
    <row r="60" spans="1:38" x14ac:dyDescent="0.35">
      <c r="A60" s="343" t="s">
        <v>1218</v>
      </c>
      <c r="B60" s="24" t="s">
        <v>1219</v>
      </c>
      <c r="C60" s="67">
        <v>44791</v>
      </c>
      <c r="D60" s="71">
        <v>10990</v>
      </c>
      <c r="E60" s="344" t="s">
        <v>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AG60" s="3"/>
      <c r="AI60" s="3"/>
      <c r="AK60" s="3">
        <f>SUM($F60:AJ60)</f>
        <v>0</v>
      </c>
      <c r="AL60" s="22"/>
    </row>
    <row r="61" spans="1:38" x14ac:dyDescent="0.35">
      <c r="A61" s="343" t="s">
        <v>1221</v>
      </c>
      <c r="B61" s="24" t="s">
        <v>1220</v>
      </c>
      <c r="C61" s="67">
        <v>44791</v>
      </c>
      <c r="D61" s="71">
        <v>2990</v>
      </c>
      <c r="E61" s="344" t="s">
        <v>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I61" s="3"/>
      <c r="AJ61" s="3"/>
      <c r="AK61" s="3">
        <f>SUM($F61:AJ61)</f>
        <v>0</v>
      </c>
      <c r="AL61" s="22"/>
    </row>
    <row r="62" spans="1:38" x14ac:dyDescent="0.35">
      <c r="A62" s="343" t="s">
        <v>1208</v>
      </c>
      <c r="B62" t="s">
        <v>1425</v>
      </c>
      <c r="C62" s="67">
        <v>44852</v>
      </c>
      <c r="D62" s="3">
        <f>260*400*1.19</f>
        <v>123760</v>
      </c>
      <c r="E62" s="344"/>
      <c r="F62" s="3" t="s">
        <v>13</v>
      </c>
      <c r="G62" s="3"/>
      <c r="H62" s="3"/>
      <c r="I62" s="3"/>
      <c r="J62" s="3"/>
      <c r="K62" s="3"/>
      <c r="L62" s="3"/>
      <c r="M62" s="3"/>
      <c r="N62" s="3"/>
      <c r="O62" s="3"/>
      <c r="P62" s="3">
        <f>260*500*1.19</f>
        <v>154700</v>
      </c>
      <c r="Q62" s="3"/>
      <c r="R62" s="3"/>
      <c r="S62" s="3"/>
      <c r="T62" s="3"/>
      <c r="U62" s="3"/>
      <c r="V62" s="3"/>
      <c r="W62" s="3"/>
      <c r="X62" s="3"/>
      <c r="Y62" s="3"/>
      <c r="AI62" s="3"/>
      <c r="AJ62" s="3"/>
      <c r="AK62" s="3">
        <f>SUM($F62:AJ62)</f>
        <v>154700</v>
      </c>
      <c r="AL62" s="22" t="s">
        <v>13</v>
      </c>
    </row>
    <row r="63" spans="1:38" x14ac:dyDescent="0.35">
      <c r="A63" s="343" t="s">
        <v>1392</v>
      </c>
      <c r="B63" t="s">
        <v>1391</v>
      </c>
      <c r="C63" s="67">
        <v>44854</v>
      </c>
      <c r="D63" s="3">
        <v>81939</v>
      </c>
      <c r="E63" s="344"/>
      <c r="F63" s="3" t="s">
        <v>13</v>
      </c>
      <c r="G63" s="3"/>
      <c r="H63" s="3"/>
      <c r="I63" s="3"/>
      <c r="J63" s="3"/>
      <c r="K63" s="3"/>
      <c r="L63" s="3"/>
      <c r="M63" s="3"/>
      <c r="N63" s="3"/>
      <c r="O63" s="3"/>
      <c r="P63" s="3">
        <v>81939</v>
      </c>
      <c r="Q63" s="3"/>
      <c r="R63" s="3"/>
      <c r="S63" s="3"/>
      <c r="T63" s="3"/>
      <c r="U63" s="3"/>
      <c r="V63" s="3"/>
      <c r="W63" s="3"/>
      <c r="X63" s="3"/>
      <c r="Y63" s="3"/>
      <c r="AI63" s="3"/>
      <c r="AJ63" s="3"/>
      <c r="AK63" s="3">
        <f>SUM($F63:AJ63)</f>
        <v>81939</v>
      </c>
      <c r="AL63" s="22" t="s">
        <v>13</v>
      </c>
    </row>
    <row r="64" spans="1:38" x14ac:dyDescent="0.35">
      <c r="A64" s="343" t="s">
        <v>1161</v>
      </c>
      <c r="B64" t="s">
        <v>1358</v>
      </c>
      <c r="C64" s="67">
        <v>44855</v>
      </c>
      <c r="D64" s="3">
        <v>2680</v>
      </c>
      <c r="E64" s="344" t="s">
        <v>4</v>
      </c>
      <c r="F64" s="3" t="s">
        <v>13</v>
      </c>
      <c r="G64" s="3"/>
      <c r="H64" s="3"/>
      <c r="I64" s="3"/>
      <c r="J64" s="3"/>
      <c r="K64" s="3"/>
      <c r="L64" s="3"/>
      <c r="M64" s="3"/>
      <c r="N64" s="3"/>
      <c r="O64" s="3"/>
      <c r="P64" s="3">
        <v>2680</v>
      </c>
      <c r="Q64" s="3" t="s">
        <v>13</v>
      </c>
      <c r="R64" s="3"/>
      <c r="S64" s="3"/>
      <c r="T64" s="3"/>
      <c r="U64" s="3"/>
      <c r="V64" s="3"/>
      <c r="W64" s="3"/>
      <c r="X64" s="3"/>
      <c r="Y64" s="3"/>
      <c r="AI64" s="3"/>
      <c r="AJ64" s="3"/>
      <c r="AK64" s="3">
        <f>SUM($F64:AJ64)</f>
        <v>2680</v>
      </c>
      <c r="AL64" s="22" t="s">
        <v>13</v>
      </c>
    </row>
    <row r="65" spans="1:38" x14ac:dyDescent="0.35">
      <c r="A65" s="343" t="s">
        <v>1161</v>
      </c>
      <c r="B65" t="s">
        <v>1359</v>
      </c>
      <c r="C65" s="67">
        <v>44855</v>
      </c>
      <c r="D65" s="3">
        <v>17820</v>
      </c>
      <c r="E65" s="344" t="s">
        <v>1291</v>
      </c>
      <c r="F65" s="3" t="s">
        <v>13</v>
      </c>
      <c r="G65" s="3"/>
      <c r="H65" s="3"/>
      <c r="I65" s="3"/>
      <c r="J65" s="3"/>
      <c r="K65" s="3"/>
      <c r="L65" s="3"/>
      <c r="M65" s="3"/>
      <c r="N65" s="3"/>
      <c r="O65" s="3"/>
      <c r="P65" s="3">
        <v>17820</v>
      </c>
      <c r="Q65" s="3" t="s">
        <v>13</v>
      </c>
      <c r="R65" s="3"/>
      <c r="S65" s="3"/>
      <c r="T65" s="3"/>
      <c r="U65" s="3"/>
      <c r="V65" s="3"/>
      <c r="W65" s="3"/>
      <c r="X65" s="3"/>
      <c r="Y65" s="3"/>
      <c r="AI65" s="3"/>
      <c r="AJ65" s="3"/>
      <c r="AK65" s="3">
        <f>SUM($F65:AJ65)</f>
        <v>17820</v>
      </c>
      <c r="AL65" s="22" t="s">
        <v>13</v>
      </c>
    </row>
    <row r="66" spans="1:38" x14ac:dyDescent="0.35">
      <c r="A66" s="343" t="s">
        <v>1375</v>
      </c>
      <c r="B66" t="s">
        <v>1374</v>
      </c>
      <c r="C66" s="67">
        <v>44861</v>
      </c>
      <c r="D66" s="3">
        <v>33320</v>
      </c>
      <c r="E66" s="344"/>
      <c r="F66" s="3" t="s">
        <v>13</v>
      </c>
      <c r="G66" s="3"/>
      <c r="H66" s="3"/>
      <c r="I66" s="3"/>
      <c r="J66" s="3"/>
      <c r="K66" s="3"/>
      <c r="L66" s="3"/>
      <c r="M66" s="3"/>
      <c r="N66" s="3"/>
      <c r="O66" s="3"/>
      <c r="P66" s="3">
        <v>33320</v>
      </c>
      <c r="Q66" s="3" t="s">
        <v>13</v>
      </c>
      <c r="R66" s="3"/>
      <c r="S66" s="3"/>
      <c r="T66" s="3"/>
      <c r="U66" s="3"/>
      <c r="V66" s="3"/>
      <c r="W66" s="3"/>
      <c r="X66" s="3"/>
      <c r="Y66" s="3"/>
      <c r="AI66" s="3"/>
      <c r="AJ66" s="3"/>
      <c r="AK66" s="3">
        <f>SUM($F66:AJ66)</f>
        <v>33320</v>
      </c>
      <c r="AL66" s="22" t="s">
        <v>13</v>
      </c>
    </row>
    <row r="67" spans="1:38" x14ac:dyDescent="0.35">
      <c r="A67" s="343" t="s">
        <v>1161</v>
      </c>
      <c r="B67" t="s">
        <v>1395</v>
      </c>
      <c r="C67" s="67">
        <v>44861</v>
      </c>
      <c r="D67" s="3">
        <v>24840</v>
      </c>
      <c r="E67" s="344" t="s">
        <v>1291</v>
      </c>
      <c r="F67" s="3" t="s">
        <v>13</v>
      </c>
      <c r="G67" s="3"/>
      <c r="H67" s="3"/>
      <c r="I67" s="3"/>
      <c r="J67" s="3"/>
      <c r="K67" s="3"/>
      <c r="L67" s="3"/>
      <c r="M67" s="3"/>
      <c r="N67" s="3"/>
      <c r="O67" s="3"/>
      <c r="P67" s="3">
        <v>24840</v>
      </c>
      <c r="Q67" s="3" t="s">
        <v>13</v>
      </c>
      <c r="R67" s="3"/>
      <c r="S67" s="3"/>
      <c r="T67" s="3"/>
      <c r="U67" s="3"/>
      <c r="V67" s="3"/>
      <c r="W67" s="3"/>
      <c r="X67" s="3"/>
      <c r="Y67" s="3"/>
      <c r="AI67" s="3"/>
      <c r="AJ67" s="3"/>
      <c r="AK67" s="3">
        <f>SUM($F67:AJ67)</f>
        <v>24840</v>
      </c>
      <c r="AL67" s="22" t="s">
        <v>13</v>
      </c>
    </row>
    <row r="68" spans="1:38" ht="15" thickBot="1" x14ac:dyDescent="0.4">
      <c r="A68" s="345" t="s">
        <v>1393</v>
      </c>
      <c r="B68" s="76" t="s">
        <v>1394</v>
      </c>
      <c r="C68" s="346">
        <v>44862</v>
      </c>
      <c r="D68" s="46">
        <v>16950</v>
      </c>
      <c r="E68" s="347" t="s">
        <v>4</v>
      </c>
      <c r="F68" s="3" t="s">
        <v>13</v>
      </c>
      <c r="G68" s="3"/>
      <c r="H68" s="3"/>
      <c r="I68" s="3"/>
      <c r="J68" s="3"/>
      <c r="K68" s="3"/>
      <c r="L68" s="3"/>
      <c r="M68" s="3"/>
      <c r="N68" s="3"/>
      <c r="O68" s="3"/>
      <c r="P68" s="3">
        <v>16950</v>
      </c>
      <c r="Q68" s="3" t="s">
        <v>13</v>
      </c>
      <c r="R68" s="3"/>
      <c r="S68" s="3"/>
      <c r="T68" s="3"/>
      <c r="U68" s="3"/>
      <c r="V68" s="3"/>
      <c r="W68" s="3"/>
      <c r="X68" s="3"/>
      <c r="Y68" s="3"/>
      <c r="AI68" s="3"/>
      <c r="AJ68" s="3"/>
      <c r="AK68" s="3">
        <f>SUM($F68:AJ68)</f>
        <v>16950</v>
      </c>
      <c r="AL68" s="22" t="s">
        <v>13</v>
      </c>
    </row>
    <row r="69" spans="1:38" x14ac:dyDescent="0.35">
      <c r="A69" s="4" t="s">
        <v>1161</v>
      </c>
      <c r="B69" t="s">
        <v>1413</v>
      </c>
      <c r="C69" s="67">
        <v>44869</v>
      </c>
      <c r="D69" s="3">
        <v>6630</v>
      </c>
      <c r="E69" s="153" t="s">
        <v>1291</v>
      </c>
      <c r="F69" s="3" t="s">
        <v>13</v>
      </c>
      <c r="G69" s="3"/>
      <c r="H69" s="3"/>
      <c r="I69" s="3"/>
      <c r="J69" s="3"/>
      <c r="K69" s="3"/>
      <c r="L69" s="3"/>
      <c r="M69" s="3"/>
      <c r="N69" s="3"/>
      <c r="O69" s="3"/>
      <c r="P69" s="3">
        <v>6630</v>
      </c>
      <c r="Q69" s="3" t="s">
        <v>13</v>
      </c>
      <c r="R69" s="3"/>
      <c r="S69" s="3"/>
      <c r="T69" s="3"/>
      <c r="U69" s="3"/>
      <c r="V69" s="3"/>
      <c r="W69" s="3"/>
      <c r="X69" s="3"/>
      <c r="Y69" s="3"/>
      <c r="AI69" s="3"/>
      <c r="AJ69" s="3"/>
      <c r="AK69" s="3">
        <f>SUM($F69:AJ69)</f>
        <v>6630</v>
      </c>
      <c r="AL69" s="22" t="s">
        <v>83</v>
      </c>
    </row>
    <row r="70" spans="1:38" x14ac:dyDescent="0.35">
      <c r="A70" s="4" t="s">
        <v>1161</v>
      </c>
      <c r="B70" t="s">
        <v>1414</v>
      </c>
      <c r="C70" s="67">
        <v>44869</v>
      </c>
      <c r="D70" s="3">
        <v>1980</v>
      </c>
      <c r="E70" s="153" t="s">
        <v>1293</v>
      </c>
      <c r="F70" s="3" t="s">
        <v>13</v>
      </c>
      <c r="G70" s="3"/>
      <c r="H70" s="3"/>
      <c r="I70" s="3">
        <v>1980</v>
      </c>
      <c r="J70" s="3"/>
      <c r="K70" s="3"/>
      <c r="L70" s="3"/>
      <c r="M70" s="3"/>
      <c r="N70" s="3"/>
      <c r="O70" s="3"/>
      <c r="P70" s="3">
        <v>1980</v>
      </c>
      <c r="Q70" s="3" t="s">
        <v>13</v>
      </c>
      <c r="R70" s="3"/>
      <c r="S70" s="3"/>
      <c r="T70" s="3"/>
      <c r="U70" s="3"/>
      <c r="V70" s="3"/>
      <c r="W70" s="3"/>
      <c r="X70" s="3"/>
      <c r="Y70" s="3"/>
      <c r="AI70" s="3"/>
      <c r="AJ70" s="3"/>
      <c r="AK70" s="3">
        <f>SUM($F70:AJ70)</f>
        <v>3960</v>
      </c>
      <c r="AL70" s="22" t="s">
        <v>83</v>
      </c>
    </row>
    <row r="71" spans="1:38" x14ac:dyDescent="0.35">
      <c r="A71" s="4" t="s">
        <v>1316</v>
      </c>
      <c r="C71" s="67">
        <v>44869</v>
      </c>
      <c r="D71" s="3">
        <f>64192-D70</f>
        <v>62212</v>
      </c>
      <c r="E71" s="153"/>
      <c r="F71" s="3"/>
      <c r="G71" s="3"/>
      <c r="H71" s="3"/>
      <c r="I71" s="3">
        <f>64192-I70</f>
        <v>62212</v>
      </c>
      <c r="J71" s="3"/>
      <c r="K71" s="3"/>
      <c r="L71" s="3"/>
      <c r="M71" s="3"/>
      <c r="N71" s="3"/>
      <c r="O71" s="3"/>
      <c r="P71" s="3"/>
      <c r="Q71" s="3" t="s">
        <v>13</v>
      </c>
      <c r="R71" s="3"/>
      <c r="S71" s="3"/>
      <c r="T71" s="3"/>
      <c r="U71" s="3"/>
      <c r="V71" s="3"/>
      <c r="W71" s="3"/>
      <c r="X71" s="3"/>
      <c r="Y71" s="3"/>
      <c r="AI71" s="3"/>
      <c r="AJ71" s="3"/>
      <c r="AK71" s="3">
        <f>SUM($F71:AJ71)</f>
        <v>62212</v>
      </c>
      <c r="AL71" s="22" t="s">
        <v>1846</v>
      </c>
    </row>
    <row r="72" spans="1:38" x14ac:dyDescent="0.35">
      <c r="A72" s="4" t="s">
        <v>1415</v>
      </c>
      <c r="B72" t="s">
        <v>1530</v>
      </c>
      <c r="C72" s="67">
        <v>44867</v>
      </c>
      <c r="D72" s="3">
        <v>96394</v>
      </c>
      <c r="E72" s="153" t="s">
        <v>4</v>
      </c>
      <c r="F72" s="3" t="s">
        <v>13</v>
      </c>
      <c r="G72" s="3"/>
      <c r="H72" s="3"/>
      <c r="I72" s="3"/>
      <c r="J72" s="3"/>
      <c r="K72" s="3"/>
      <c r="L72" s="3"/>
      <c r="M72" s="3"/>
      <c r="N72" s="3"/>
      <c r="O72" s="3"/>
      <c r="P72" s="3">
        <v>96349</v>
      </c>
      <c r="Q72" s="3" t="s">
        <v>13</v>
      </c>
      <c r="R72" s="3"/>
      <c r="S72" s="3"/>
      <c r="T72" s="3"/>
      <c r="U72" s="3"/>
      <c r="V72" s="3"/>
      <c r="W72" s="3"/>
      <c r="X72" s="3"/>
      <c r="Y72" s="3"/>
      <c r="AI72" s="3"/>
      <c r="AJ72" s="3"/>
      <c r="AK72" s="3">
        <f>SUM($F72:AJ72)</f>
        <v>96349</v>
      </c>
      <c r="AL72" s="22" t="s">
        <v>83</v>
      </c>
    </row>
    <row r="73" spans="1:38" x14ac:dyDescent="0.35">
      <c r="A73" s="4" t="s">
        <v>1416</v>
      </c>
      <c r="C73" s="67">
        <v>44872</v>
      </c>
      <c r="D73" s="3">
        <v>13905</v>
      </c>
      <c r="E73" s="153"/>
      <c r="F73" s="3"/>
      <c r="G73" s="3"/>
      <c r="H73" s="3"/>
      <c r="I73" s="3"/>
      <c r="J73" s="3"/>
      <c r="K73" s="3"/>
      <c r="L73" s="3">
        <v>13905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AI73" s="3"/>
      <c r="AJ73" s="3"/>
      <c r="AK73" s="3">
        <f>SUM($F73:AJ73)</f>
        <v>13905</v>
      </c>
      <c r="AL73" s="22" t="s">
        <v>1557</v>
      </c>
    </row>
    <row r="74" spans="1:38" x14ac:dyDescent="0.35">
      <c r="A74" s="4" t="s">
        <v>1417</v>
      </c>
      <c r="C74" s="67">
        <v>44872</v>
      </c>
      <c r="D74" s="3">
        <v>12000</v>
      </c>
      <c r="E74" s="153"/>
      <c r="F74" s="3"/>
      <c r="G74" s="3"/>
      <c r="H74" s="3"/>
      <c r="I74" s="3"/>
      <c r="J74" s="3"/>
      <c r="K74" s="3"/>
      <c r="L74" s="3">
        <v>12000</v>
      </c>
      <c r="M74" s="3"/>
      <c r="N74" s="3"/>
      <c r="O74" s="3"/>
      <c r="P74" s="3"/>
      <c r="Q74" s="3" t="s">
        <v>13</v>
      </c>
      <c r="R74" s="3"/>
      <c r="S74" s="3"/>
      <c r="T74" s="3"/>
      <c r="U74" s="3"/>
      <c r="V74" s="3"/>
      <c r="W74" s="3"/>
      <c r="X74" s="3"/>
      <c r="Y74" s="3"/>
      <c r="AI74" s="3"/>
      <c r="AJ74" s="3"/>
      <c r="AK74" s="3">
        <f>SUM($F74:AJ74)</f>
        <v>12000</v>
      </c>
      <c r="AL74" s="22" t="s">
        <v>1846</v>
      </c>
    </row>
    <row r="75" spans="1:38" x14ac:dyDescent="0.35">
      <c r="A75" s="4" t="s">
        <v>1161</v>
      </c>
      <c r="B75" t="s">
        <v>1426</v>
      </c>
      <c r="C75" s="67">
        <v>44876</v>
      </c>
      <c r="D75" s="3">
        <v>11150</v>
      </c>
      <c r="E75" s="153" t="s">
        <v>1291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AH75" s="3">
        <v>11150</v>
      </c>
      <c r="AI75" s="3"/>
      <c r="AJ75" s="3"/>
      <c r="AK75" s="3">
        <f>SUM($F75:AJ75)</f>
        <v>11150</v>
      </c>
      <c r="AL75" s="22" t="s">
        <v>83</v>
      </c>
    </row>
    <row r="76" spans="1:38" x14ac:dyDescent="0.35">
      <c r="A76" s="4" t="s">
        <v>1316</v>
      </c>
      <c r="C76" s="67">
        <v>44876</v>
      </c>
      <c r="D76" s="3">
        <v>26020</v>
      </c>
      <c r="E76" s="153"/>
      <c r="G76" s="3"/>
      <c r="H76" s="3"/>
      <c r="I76" s="3"/>
      <c r="J76" s="3"/>
      <c r="K76" s="3"/>
      <c r="L76" s="3"/>
      <c r="M76" s="3"/>
      <c r="N76" s="3"/>
      <c r="O76" s="3"/>
      <c r="P76" s="3">
        <v>26020</v>
      </c>
      <c r="Q76" s="3"/>
      <c r="R76" s="3"/>
      <c r="S76" s="3"/>
      <c r="T76" s="3"/>
      <c r="U76" s="3"/>
      <c r="V76" s="3"/>
      <c r="W76" s="3"/>
      <c r="X76" s="3"/>
      <c r="Y76" s="3"/>
      <c r="AI76" s="3"/>
      <c r="AJ76" s="3"/>
      <c r="AK76" s="3">
        <f>SUM($F76:AJ76)</f>
        <v>26020</v>
      </c>
      <c r="AL76" s="22" t="s">
        <v>1846</v>
      </c>
    </row>
    <row r="77" spans="1:38" x14ac:dyDescent="0.35">
      <c r="A77" s="4" t="s">
        <v>62</v>
      </c>
      <c r="C77" s="67">
        <v>44888</v>
      </c>
      <c r="D77" s="3">
        <v>295450</v>
      </c>
      <c r="E77" s="15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AC77" s="3">
        <v>295450</v>
      </c>
      <c r="AI77" s="3"/>
      <c r="AJ77" s="3"/>
      <c r="AK77" s="3">
        <f>SUM($F77:AJ77)</f>
        <v>295450</v>
      </c>
      <c r="AL77" s="22" t="s">
        <v>13</v>
      </c>
    </row>
    <row r="78" spans="1:38" x14ac:dyDescent="0.35">
      <c r="A78" s="4" t="s">
        <v>1427</v>
      </c>
      <c r="B78" t="s">
        <v>1433</v>
      </c>
      <c r="C78" s="67">
        <v>44879</v>
      </c>
      <c r="D78" s="3">
        <v>3190</v>
      </c>
      <c r="E78" s="153" t="s">
        <v>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AH78" s="3">
        <v>3190</v>
      </c>
      <c r="AI78" s="3"/>
      <c r="AJ78" s="3"/>
      <c r="AK78" s="3">
        <f>SUM($F78:AJ78)</f>
        <v>3190</v>
      </c>
      <c r="AL78" s="22" t="s">
        <v>82</v>
      </c>
    </row>
    <row r="79" spans="1:38" x14ac:dyDescent="0.35">
      <c r="A79" s="4" t="s">
        <v>1428</v>
      </c>
      <c r="B79" t="s">
        <v>1429</v>
      </c>
      <c r="C79" s="67">
        <v>44879</v>
      </c>
      <c r="D79" s="3">
        <v>15480</v>
      </c>
      <c r="E79" s="153" t="s">
        <v>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AH79" s="3">
        <v>15480</v>
      </c>
      <c r="AI79" s="3"/>
      <c r="AJ79" s="3"/>
      <c r="AK79" s="3">
        <f>SUM($F79:AJ79)</f>
        <v>15480</v>
      </c>
      <c r="AL79" s="22" t="s">
        <v>82</v>
      </c>
    </row>
    <row r="80" spans="1:38" x14ac:dyDescent="0.35">
      <c r="A80" s="4" t="s">
        <v>1434</v>
      </c>
      <c r="C80" s="67">
        <v>44879</v>
      </c>
      <c r="D80" s="3">
        <f>+(6.1+6.1+2.3)*1350/9</f>
        <v>2175</v>
      </c>
      <c r="E80" s="15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AH80" s="3">
        <f>+(6.1+6.1+2.3)*1350/9</f>
        <v>2175</v>
      </c>
      <c r="AI80" s="3"/>
      <c r="AJ80" s="3"/>
      <c r="AK80" s="3">
        <f>SUM($F80:AJ80)</f>
        <v>2175</v>
      </c>
      <c r="AL80" s="22" t="s">
        <v>1846</v>
      </c>
    </row>
    <row r="81" spans="1:41" x14ac:dyDescent="0.35">
      <c r="A81" s="4" t="s">
        <v>858</v>
      </c>
      <c r="C81" s="67">
        <v>44879</v>
      </c>
      <c r="D81" s="3">
        <f>400+1800</f>
        <v>2200</v>
      </c>
      <c r="E81" s="153" t="s">
        <v>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AH81" s="3">
        <f>400+1800</f>
        <v>2200</v>
      </c>
      <c r="AI81" s="3"/>
      <c r="AJ81" s="3"/>
      <c r="AK81" s="3">
        <f>SUM($F81:AJ81)</f>
        <v>2200</v>
      </c>
      <c r="AL81" s="22" t="s">
        <v>1846</v>
      </c>
    </row>
    <row r="82" spans="1:41" x14ac:dyDescent="0.35">
      <c r="A82" s="4" t="s">
        <v>1431</v>
      </c>
      <c r="B82" t="s">
        <v>1432</v>
      </c>
      <c r="C82" s="67">
        <v>44880</v>
      </c>
      <c r="D82" s="3">
        <v>6190</v>
      </c>
      <c r="E82" s="153" t="s">
        <v>4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AH82" s="3">
        <v>6190</v>
      </c>
      <c r="AI82" s="3"/>
      <c r="AJ82" s="3"/>
      <c r="AK82" s="3">
        <f>SUM($F82:AJ82)</f>
        <v>6190</v>
      </c>
      <c r="AL82" s="22" t="s">
        <v>82</v>
      </c>
    </row>
    <row r="83" spans="1:41" x14ac:dyDescent="0.35">
      <c r="A83" s="4" t="s">
        <v>1442</v>
      </c>
      <c r="B83" t="s">
        <v>1443</v>
      </c>
      <c r="C83" s="67">
        <v>44880</v>
      </c>
      <c r="D83" s="3">
        <v>33180</v>
      </c>
      <c r="E83" s="153" t="s">
        <v>1293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Y83" s="3"/>
      <c r="Z83" s="3">
        <f>+D83</f>
        <v>33180</v>
      </c>
      <c r="AI83" s="3"/>
      <c r="AJ83" s="3"/>
      <c r="AK83" s="3">
        <f>SUM($F83:AJ83)</f>
        <v>33180</v>
      </c>
      <c r="AL83" s="22" t="s">
        <v>83</v>
      </c>
    </row>
    <row r="84" spans="1:41" x14ac:dyDescent="0.35">
      <c r="A84" s="4" t="s">
        <v>1444</v>
      </c>
      <c r="B84" t="s">
        <v>1485</v>
      </c>
      <c r="C84" s="67">
        <v>44880</v>
      </c>
      <c r="D84" s="3">
        <v>6780</v>
      </c>
      <c r="E84" s="153" t="s">
        <v>1293</v>
      </c>
      <c r="F84" s="3" t="s">
        <v>13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X84" s="3"/>
      <c r="Y84" s="3"/>
      <c r="Z84" s="3">
        <f>+D84</f>
        <v>6780</v>
      </c>
      <c r="AI84" s="3"/>
      <c r="AJ84" s="3"/>
      <c r="AK84" s="3">
        <f>SUM($F84:AJ84)</f>
        <v>6780</v>
      </c>
      <c r="AL84" s="22" t="s">
        <v>83</v>
      </c>
    </row>
    <row r="85" spans="1:41" x14ac:dyDescent="0.35">
      <c r="A85" s="4" t="s">
        <v>1444</v>
      </c>
      <c r="B85" t="s">
        <v>1445</v>
      </c>
      <c r="C85" s="67">
        <v>44881</v>
      </c>
      <c r="D85" s="3">
        <v>3390</v>
      </c>
      <c r="E85" s="153" t="s">
        <v>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AH85" s="3">
        <v>3390</v>
      </c>
      <c r="AI85" s="3"/>
      <c r="AJ85" s="3"/>
      <c r="AK85" s="3">
        <f>SUM($F85:AJ85)</f>
        <v>3390</v>
      </c>
      <c r="AL85" s="22" t="s">
        <v>83</v>
      </c>
    </row>
    <row r="86" spans="1:41" x14ac:dyDescent="0.35">
      <c r="A86" s="4" t="s">
        <v>1446</v>
      </c>
      <c r="C86" s="67">
        <v>44881</v>
      </c>
      <c r="D86" s="3">
        <f>2*2*1350/9</f>
        <v>600</v>
      </c>
      <c r="E86" s="15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AH86" s="3">
        <f>2*2*1350/9</f>
        <v>600</v>
      </c>
      <c r="AI86" s="3"/>
      <c r="AJ86" s="3"/>
      <c r="AK86" s="3">
        <f>SUM($F86:AJ86)</f>
        <v>600</v>
      </c>
      <c r="AL86" s="22" t="s">
        <v>1846</v>
      </c>
    </row>
    <row r="87" spans="1:41" x14ac:dyDescent="0.35">
      <c r="A87" s="4" t="s">
        <v>858</v>
      </c>
      <c r="C87" s="67">
        <v>44881</v>
      </c>
      <c r="D87" s="3">
        <v>600</v>
      </c>
      <c r="E87" s="15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AH87" s="3">
        <v>600</v>
      </c>
      <c r="AI87" s="3"/>
      <c r="AJ87" s="3"/>
      <c r="AK87" s="3">
        <f>SUM($F87:AJ87)</f>
        <v>600</v>
      </c>
      <c r="AL87" s="22" t="s">
        <v>1846</v>
      </c>
    </row>
    <row r="88" spans="1:41" x14ac:dyDescent="0.35">
      <c r="A88" s="4" t="s">
        <v>1437</v>
      </c>
      <c r="B88" t="s">
        <v>1438</v>
      </c>
      <c r="C88" s="67">
        <v>44882</v>
      </c>
      <c r="D88" s="3">
        <v>29765</v>
      </c>
      <c r="E88" s="153"/>
      <c r="F88" s="3"/>
      <c r="G88" s="3"/>
      <c r="H88" s="3"/>
      <c r="I88" s="3"/>
      <c r="J88" s="3"/>
      <c r="K88" s="3"/>
      <c r="L88" s="3"/>
      <c r="M88" s="3"/>
      <c r="N88" s="3" t="s">
        <v>13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AI88" s="3"/>
      <c r="AJ88" s="3"/>
      <c r="AK88" s="3">
        <f>SUM($F88:AJ88)</f>
        <v>0</v>
      </c>
      <c r="AL88" s="22" t="s">
        <v>82</v>
      </c>
    </row>
    <row r="89" spans="1:41" x14ac:dyDescent="0.35">
      <c r="A89" s="4" t="s">
        <v>1316</v>
      </c>
      <c r="C89" s="67">
        <v>44883</v>
      </c>
      <c r="D89" s="3">
        <f>62899-D83-D84</f>
        <v>22939</v>
      </c>
      <c r="E89" s="15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>
        <f>+D89</f>
        <v>22939</v>
      </c>
      <c r="X89" s="3"/>
      <c r="Y89" s="3"/>
      <c r="AI89" s="3"/>
      <c r="AJ89" s="3"/>
      <c r="AK89" s="3">
        <f>SUM($F89:AJ89)</f>
        <v>22939</v>
      </c>
      <c r="AL89" s="22" t="s">
        <v>1846</v>
      </c>
    </row>
    <row r="90" spans="1:41" x14ac:dyDescent="0.35">
      <c r="A90" s="4" t="s">
        <v>1161</v>
      </c>
      <c r="B90" t="s">
        <v>1481</v>
      </c>
      <c r="C90" s="67">
        <v>44883</v>
      </c>
      <c r="D90" s="3">
        <v>8500</v>
      </c>
      <c r="E90" s="153" t="s">
        <v>1291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AI90" s="3"/>
      <c r="AJ90" s="3"/>
      <c r="AK90" s="3">
        <f>SUM($F90:AJ90)</f>
        <v>0</v>
      </c>
      <c r="AL90" s="22" t="s">
        <v>83</v>
      </c>
    </row>
    <row r="91" spans="1:41" x14ac:dyDescent="0.35">
      <c r="A91" s="4" t="s">
        <v>1447</v>
      </c>
      <c r="C91" s="67">
        <v>44883</v>
      </c>
      <c r="D91" s="3">
        <v>20000</v>
      </c>
      <c r="E91" s="15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>
        <v>20000</v>
      </c>
      <c r="X91" s="3"/>
      <c r="Y91" s="3"/>
      <c r="AI91" s="3"/>
      <c r="AJ91" s="3"/>
      <c r="AK91" s="3">
        <f>SUM($F91:AJ91)</f>
        <v>20000</v>
      </c>
      <c r="AL91" s="22" t="s">
        <v>1846</v>
      </c>
    </row>
    <row r="92" spans="1:41" x14ac:dyDescent="0.35">
      <c r="A92" s="4" t="s">
        <v>1458</v>
      </c>
      <c r="B92" t="s">
        <v>1459</v>
      </c>
      <c r="C92" s="67">
        <v>44888</v>
      </c>
      <c r="D92" s="3">
        <v>36719</v>
      </c>
      <c r="E92" s="153" t="s">
        <v>4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AH92" s="3">
        <v>36720</v>
      </c>
      <c r="AI92" s="3"/>
      <c r="AJ92" s="3"/>
      <c r="AK92" s="3">
        <f>SUM($F92:AJ92)</f>
        <v>36720</v>
      </c>
      <c r="AL92" s="22" t="s">
        <v>83</v>
      </c>
    </row>
    <row r="93" spans="1:41" x14ac:dyDescent="0.35">
      <c r="A93" s="4" t="s">
        <v>1161</v>
      </c>
      <c r="B93" t="s">
        <v>1460</v>
      </c>
      <c r="C93" s="67">
        <v>44888</v>
      </c>
      <c r="D93" s="3">
        <v>9600</v>
      </c>
      <c r="E93" s="153" t="s">
        <v>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AH93" s="3">
        <v>9600</v>
      </c>
      <c r="AI93" s="3"/>
      <c r="AJ93" s="3"/>
      <c r="AK93" s="3">
        <f>SUM($F93:AJ93)</f>
        <v>9600</v>
      </c>
      <c r="AL93" s="22" t="s">
        <v>83</v>
      </c>
    </row>
    <row r="94" spans="1:41" x14ac:dyDescent="0.35">
      <c r="A94" s="4" t="s">
        <v>1161</v>
      </c>
      <c r="B94" t="s">
        <v>1482</v>
      </c>
      <c r="C94" s="67">
        <v>44893</v>
      </c>
      <c r="D94" s="3">
        <v>22310</v>
      </c>
      <c r="E94" s="153" t="s">
        <v>1291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AI94" s="3"/>
      <c r="AJ94" s="3"/>
      <c r="AK94" s="3">
        <f>SUM($F94:AJ94)</f>
        <v>0</v>
      </c>
      <c r="AL94" s="22" t="s">
        <v>83</v>
      </c>
    </row>
    <row r="95" spans="1:41" x14ac:dyDescent="0.35">
      <c r="A95" s="4" t="s">
        <v>1468</v>
      </c>
      <c r="B95" t="s">
        <v>1469</v>
      </c>
      <c r="C95" s="67">
        <v>44895</v>
      </c>
      <c r="D95" s="3">
        <v>26990</v>
      </c>
      <c r="E95" s="153" t="s">
        <v>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AI95" s="3"/>
      <c r="AJ95" s="3"/>
      <c r="AK95" s="3">
        <f>SUM($F95:AJ95)</f>
        <v>0</v>
      </c>
      <c r="AL95" s="22" t="s">
        <v>82</v>
      </c>
    </row>
    <row r="96" spans="1:41" x14ac:dyDescent="0.35">
      <c r="A96" s="4" t="s">
        <v>1434</v>
      </c>
      <c r="C96" s="67">
        <v>44894</v>
      </c>
      <c r="D96" s="3">
        <f>+(6.1+6.1+2.3)*1350/9</f>
        <v>2175</v>
      </c>
      <c r="E96" s="15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AI96" s="3"/>
      <c r="AJ96" s="3"/>
      <c r="AK96" s="3">
        <f>SUM($F96:AJ96)</f>
        <v>0</v>
      </c>
      <c r="AL96" s="22" t="s">
        <v>1846</v>
      </c>
      <c r="AO96" s="6" t="s">
        <v>1674</v>
      </c>
    </row>
    <row r="97" spans="1:41" ht="15" thickBot="1" x14ac:dyDescent="0.4">
      <c r="A97" s="4" t="s">
        <v>1470</v>
      </c>
      <c r="C97" s="67">
        <v>44894</v>
      </c>
      <c r="D97" s="3">
        <f>600+800+700</f>
        <v>2100</v>
      </c>
      <c r="E97" s="153" t="s">
        <v>4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AI97" s="3"/>
      <c r="AJ97" s="3"/>
      <c r="AK97" s="3">
        <f>SUM($F97:AJ97)</f>
        <v>0</v>
      </c>
      <c r="AL97" s="22" t="s">
        <v>1846</v>
      </c>
      <c r="AM97" t="s">
        <v>317</v>
      </c>
      <c r="AN97" s="64" t="e">
        <f>+[2]Hoja1!$L$136+[3]Hoja1!#REF!</f>
        <v>#REF!</v>
      </c>
      <c r="AO97" s="64" t="e">
        <f>+[3]Hoja1!#REF!</f>
        <v>#REF!</v>
      </c>
    </row>
    <row r="98" spans="1:41" x14ac:dyDescent="0.35">
      <c r="A98" s="4" t="s">
        <v>1522</v>
      </c>
      <c r="B98" t="s">
        <v>1523</v>
      </c>
      <c r="C98" s="67">
        <v>44895</v>
      </c>
      <c r="D98" s="3">
        <v>16730</v>
      </c>
      <c r="E98" s="153" t="s">
        <v>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AI98" s="3"/>
      <c r="AJ98" s="3"/>
      <c r="AK98" s="3">
        <f>SUM($F98:AJ98)</f>
        <v>0</v>
      </c>
      <c r="AL98" s="22" t="s">
        <v>81</v>
      </c>
      <c r="AM98" s="11" t="s">
        <v>91</v>
      </c>
      <c r="AN98" s="53">
        <f>+D40/1.19</f>
        <v>1402021.0084033613</v>
      </c>
      <c r="AO98" s="53">
        <f>+(SUMIF(E19:E36,"MD",D19:D36)+SUMIF(E19:E36,"MK",D19:D36))/1.19</f>
        <v>888247.89915966394</v>
      </c>
    </row>
    <row r="99" spans="1:41" x14ac:dyDescent="0.35">
      <c r="A99" s="4"/>
      <c r="C99" s="67"/>
      <c r="D99" s="3"/>
      <c r="E99" s="15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AI99" s="3"/>
      <c r="AJ99" s="3"/>
      <c r="AK99" s="3" t="s">
        <v>13</v>
      </c>
      <c r="AL99" s="22"/>
      <c r="AM99" s="14" t="s">
        <v>1558</v>
      </c>
      <c r="AN99" s="15">
        <f>+SUMIF(AL69:AL104,"CD",D69:D104)/1.19</f>
        <v>198851.26050420169</v>
      </c>
      <c r="AO99" s="15" t="e">
        <f>+AN99*AO$97/AN$97</f>
        <v>#REF!</v>
      </c>
    </row>
    <row r="100" spans="1:41" x14ac:dyDescent="0.35">
      <c r="A100" s="4"/>
      <c r="C100" s="67"/>
      <c r="D100" s="3"/>
      <c r="E100" s="15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AI100" s="3"/>
      <c r="AJ100" s="3"/>
      <c r="AK100" s="3" t="s">
        <v>13</v>
      </c>
      <c r="AL100" s="22"/>
      <c r="AM100" s="14" t="s">
        <v>1559</v>
      </c>
      <c r="AN100" s="15">
        <f>+AN98-AN99</f>
        <v>1203169.7478991596</v>
      </c>
      <c r="AO100" s="15" t="e">
        <f>+AO98-AO99</f>
        <v>#REF!</v>
      </c>
    </row>
    <row r="101" spans="1:41" x14ac:dyDescent="0.35">
      <c r="A101" s="4"/>
      <c r="B101" s="67" t="s">
        <v>933</v>
      </c>
      <c r="C101" s="236">
        <v>34742.410000000003</v>
      </c>
      <c r="E101" s="15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Y101" s="3"/>
      <c r="AI101" s="3"/>
      <c r="AJ101" s="3"/>
      <c r="AK101" s="3" t="s">
        <v>13</v>
      </c>
      <c r="AL101" s="22"/>
      <c r="AM101" s="14" t="s">
        <v>1560</v>
      </c>
      <c r="AN101" s="327">
        <f>+AN100/AN98</f>
        <v>0.85816813063974273</v>
      </c>
      <c r="AO101" s="327" t="e">
        <f>+AO100/AO98</f>
        <v>#REF!</v>
      </c>
    </row>
    <row r="102" spans="1:41" x14ac:dyDescent="0.35">
      <c r="A102" s="4"/>
      <c r="B102" s="24"/>
      <c r="C102" s="67" t="s">
        <v>13</v>
      </c>
      <c r="D102" s="236" t="s">
        <v>13</v>
      </c>
      <c r="E102" s="15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Y102" s="3"/>
      <c r="AI102" s="3"/>
      <c r="AJ102" s="3"/>
      <c r="AK102" s="3" t="s">
        <v>13</v>
      </c>
      <c r="AL102" s="22"/>
      <c r="AM102" s="14" t="s">
        <v>81</v>
      </c>
      <c r="AN102" s="15">
        <f>+SUMIF(AL44:AL104,"GAV",D44:D104)/1.19+SUMIF(AL44:AL104,"REM",D44:D104)</f>
        <v>535404.48232941178</v>
      </c>
      <c r="AO102" s="375" t="e">
        <f>+AN102*AO$97/AN$97+(600000+300000)*5/10</f>
        <v>#REF!</v>
      </c>
    </row>
    <row r="103" spans="1:41" x14ac:dyDescent="0.35">
      <c r="A103" s="4" t="s">
        <v>1389</v>
      </c>
      <c r="B103" s="24">
        <f>95.69/8</f>
        <v>11.96125</v>
      </c>
      <c r="C103" s="67">
        <v>44883</v>
      </c>
      <c r="D103" s="3">
        <f>+B103*C101</f>
        <v>415562.65161250002</v>
      </c>
      <c r="E103" s="153"/>
      <c r="F103" s="3" t="s">
        <v>13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Y103" s="3"/>
      <c r="Z103" s="3">
        <f>+D103</f>
        <v>415562.65161250002</v>
      </c>
      <c r="AI103" s="3"/>
      <c r="AJ103" s="3"/>
      <c r="AK103" s="3">
        <f>SUM($F103:AJ103)</f>
        <v>415562.65161250002</v>
      </c>
      <c r="AL103" s="22" t="s">
        <v>13</v>
      </c>
      <c r="AM103" s="14" t="s">
        <v>1561</v>
      </c>
      <c r="AN103" s="15">
        <f>+AN100-AN102</f>
        <v>667765.26556974777</v>
      </c>
      <c r="AO103" s="15" t="e">
        <f>+AO100-AO102</f>
        <v>#REF!</v>
      </c>
    </row>
    <row r="104" spans="1:41" x14ac:dyDescent="0.35">
      <c r="A104" s="4" t="s">
        <v>1390</v>
      </c>
      <c r="B104" s="24">
        <f>92.58/8</f>
        <v>11.5725</v>
      </c>
      <c r="C104" s="67">
        <v>44894</v>
      </c>
      <c r="D104" s="3">
        <f>+B104*C105</f>
        <v>402792.55072500004</v>
      </c>
      <c r="E104" s="15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Y104" s="3"/>
      <c r="AI104" s="3">
        <f>+D104</f>
        <v>402792.55072500004</v>
      </c>
      <c r="AJ104" s="3"/>
      <c r="AK104" s="3">
        <f>SUM($F104:AJ104)</f>
        <v>402792.55072500004</v>
      </c>
      <c r="AL104" s="22" t="s">
        <v>13</v>
      </c>
      <c r="AM104" s="14" t="s">
        <v>1563</v>
      </c>
      <c r="AN104" s="15">
        <f>+SUMIF(AL69:AL107,"GF",D69:D112)</f>
        <v>416697.55072500004</v>
      </c>
      <c r="AO104" s="15">
        <v>0</v>
      </c>
    </row>
    <row r="105" spans="1:41" x14ac:dyDescent="0.35">
      <c r="A105" s="4"/>
      <c r="B105" s="67" t="s">
        <v>933</v>
      </c>
      <c r="C105" s="236">
        <v>34806.01</v>
      </c>
      <c r="E105" s="15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Y105" s="3"/>
      <c r="AI105" s="3"/>
      <c r="AJ105" s="3"/>
      <c r="AK105" s="3"/>
      <c r="AL105" s="22"/>
      <c r="AM105" s="14" t="s">
        <v>82</v>
      </c>
      <c r="AN105" s="15">
        <f>+SUMIF(AL69:AL106,"AF",D69:D106)/1.19</f>
        <v>68584.033613445383</v>
      </c>
      <c r="AO105" s="15" t="e">
        <f>+AN105*AO$97/AN$97</f>
        <v>#REF!</v>
      </c>
    </row>
    <row r="106" spans="1:41" ht="15" thickBot="1" x14ac:dyDescent="0.4">
      <c r="A106" s="4" t="s">
        <v>1467</v>
      </c>
      <c r="B106" s="24">
        <f>92.58/8</f>
        <v>11.5725</v>
      </c>
      <c r="C106" s="67">
        <v>44894</v>
      </c>
      <c r="D106" s="3">
        <f>+B106*C105</f>
        <v>402792.55072500004</v>
      </c>
      <c r="E106" s="15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Y106" s="3"/>
      <c r="AI106" s="3"/>
      <c r="AJ106" s="3"/>
      <c r="AK106" s="3"/>
      <c r="AL106" s="22" t="s">
        <v>1557</v>
      </c>
      <c r="AM106" s="16"/>
      <c r="AN106" s="19">
        <f>+AN103-AN104-AN105</f>
        <v>182483.68123130235</v>
      </c>
      <c r="AO106" s="19" t="e">
        <f>+AO103-AO104</f>
        <v>#REF!</v>
      </c>
    </row>
    <row r="107" spans="1:41" x14ac:dyDescent="0.35">
      <c r="A107" s="4"/>
      <c r="B107" s="67"/>
      <c r="C107" s="236"/>
      <c r="D107" s="3" t="s">
        <v>13</v>
      </c>
      <c r="E107" s="15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Y107" s="3"/>
      <c r="AJ107" s="3"/>
      <c r="AK107" s="3" t="s">
        <v>13</v>
      </c>
      <c r="AL107" s="22"/>
    </row>
    <row r="108" spans="1:41" x14ac:dyDescent="0.35">
      <c r="A108" s="4"/>
      <c r="B108" s="67"/>
      <c r="C108" s="236"/>
      <c r="D108" s="3"/>
      <c r="E108" s="15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Y108" s="3"/>
      <c r="AJ108" s="3"/>
      <c r="AK108" s="3"/>
      <c r="AL108" s="22"/>
      <c r="AN108" s="3"/>
      <c r="AO108" s="3"/>
    </row>
    <row r="109" spans="1:41" x14ac:dyDescent="0.35">
      <c r="A109" s="4"/>
      <c r="B109" s="67"/>
      <c r="C109" s="236"/>
      <c r="D109" s="3"/>
      <c r="E109" s="15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Y109" s="3"/>
      <c r="AJ109" s="3"/>
      <c r="AK109" s="3"/>
      <c r="AL109" s="22"/>
      <c r="AM109" t="s">
        <v>1960</v>
      </c>
      <c r="AN109" s="3">
        <f>+AN106+'Oct-22'!AN110</f>
        <v>270324.25395228772</v>
      </c>
      <c r="AO109" s="3" t="e">
        <f>+AO106+'Oct-22'!AO110</f>
        <v>#REF!</v>
      </c>
    </row>
    <row r="110" spans="1:41" x14ac:dyDescent="0.35">
      <c r="A110" s="4"/>
      <c r="B110" s="67"/>
      <c r="C110" s="236"/>
      <c r="D110" s="3"/>
      <c r="E110" s="15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Y110" s="3"/>
      <c r="AJ110" s="3"/>
      <c r="AK110" s="3"/>
      <c r="AL110" s="22"/>
      <c r="AN110" s="3"/>
      <c r="AO110" s="3"/>
    </row>
    <row r="111" spans="1:41" x14ac:dyDescent="0.35">
      <c r="A111" s="4"/>
      <c r="B111" s="67"/>
      <c r="C111" s="236"/>
      <c r="D111" s="3"/>
      <c r="E111" s="15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Y111" s="3"/>
      <c r="AJ111" s="3"/>
      <c r="AK111" s="3"/>
      <c r="AL111" s="22"/>
      <c r="AN111" s="3"/>
      <c r="AO111" s="3"/>
    </row>
    <row r="112" spans="1:41" x14ac:dyDescent="0.35">
      <c r="A112" s="4"/>
      <c r="B112" s="67"/>
      <c r="C112" s="236"/>
      <c r="E112" s="15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Y112" s="3"/>
      <c r="AJ112" s="3"/>
      <c r="AK112" s="3"/>
      <c r="AL112" s="22" t="s">
        <v>1388</v>
      </c>
      <c r="AM112" t="s">
        <v>1430</v>
      </c>
    </row>
    <row r="113" spans="1:39" x14ac:dyDescent="0.35">
      <c r="A113" s="2" t="s">
        <v>9</v>
      </c>
      <c r="D113" s="72">
        <f>SUM(D62:D107)+D55</f>
        <v>3062013.7530625002</v>
      </c>
      <c r="F113" s="3">
        <f t="shared" ref="F113:AI113" si="2">SUM(F44:F107)</f>
        <v>0</v>
      </c>
      <c r="G113" s="3">
        <f t="shared" si="2"/>
        <v>0</v>
      </c>
      <c r="H113" s="3">
        <f t="shared" si="2"/>
        <v>0</v>
      </c>
      <c r="I113" s="3">
        <f t="shared" si="2"/>
        <v>64192</v>
      </c>
      <c r="J113" s="3">
        <f t="shared" si="2"/>
        <v>0</v>
      </c>
      <c r="K113" s="3">
        <f t="shared" si="2"/>
        <v>0</v>
      </c>
      <c r="L113" s="3">
        <f t="shared" si="2"/>
        <v>25905</v>
      </c>
      <c r="M113" s="3">
        <f t="shared" si="2"/>
        <v>0</v>
      </c>
      <c r="N113" s="3">
        <f t="shared" si="2"/>
        <v>0</v>
      </c>
      <c r="O113" s="3">
        <f t="shared" si="2"/>
        <v>0</v>
      </c>
      <c r="P113" s="3">
        <f t="shared" si="2"/>
        <v>463228</v>
      </c>
      <c r="Q113" s="3">
        <f t="shared" si="2"/>
        <v>0</v>
      </c>
      <c r="R113" s="3">
        <f t="shared" si="2"/>
        <v>0</v>
      </c>
      <c r="S113" s="3">
        <f t="shared" si="2"/>
        <v>0</v>
      </c>
      <c r="T113" s="3">
        <f t="shared" si="2"/>
        <v>0</v>
      </c>
      <c r="U113" s="3">
        <f t="shared" si="2"/>
        <v>0</v>
      </c>
      <c r="V113" s="3">
        <f t="shared" si="2"/>
        <v>0</v>
      </c>
      <c r="W113" s="3">
        <f t="shared" si="2"/>
        <v>42939</v>
      </c>
      <c r="X113" s="3">
        <f t="shared" si="2"/>
        <v>0</v>
      </c>
      <c r="Y113" s="3">
        <f t="shared" si="2"/>
        <v>0</v>
      </c>
      <c r="Z113" s="3">
        <f t="shared" si="2"/>
        <v>455522.65161250002</v>
      </c>
      <c r="AA113" s="3">
        <f t="shared" si="2"/>
        <v>0</v>
      </c>
      <c r="AB113" s="3">
        <f t="shared" si="2"/>
        <v>0</v>
      </c>
      <c r="AC113" s="3">
        <f t="shared" si="2"/>
        <v>295450</v>
      </c>
      <c r="AD113" s="3">
        <f t="shared" si="2"/>
        <v>0</v>
      </c>
      <c r="AE113" s="3">
        <f t="shared" si="2"/>
        <v>0</v>
      </c>
      <c r="AF113" s="3">
        <f t="shared" si="2"/>
        <v>0</v>
      </c>
      <c r="AG113" s="3">
        <f t="shared" si="2"/>
        <v>0</v>
      </c>
      <c r="AH113" s="3">
        <f t="shared" si="2"/>
        <v>91295</v>
      </c>
      <c r="AI113" s="3">
        <f t="shared" si="2"/>
        <v>1144995.550725</v>
      </c>
      <c r="AJ113" s="3" t="s">
        <v>13</v>
      </c>
      <c r="AK113" s="72">
        <f>SUM(AK44:AK107)</f>
        <v>2583527.2023375002</v>
      </c>
      <c r="AL113" s="324">
        <f>+D113-AK113</f>
        <v>478486.55072499998</v>
      </c>
      <c r="AM113" s="72">
        <f>+AI114+AL40-AL113</f>
        <v>504788.04144863482</v>
      </c>
    </row>
    <row r="114" spans="1:39" x14ac:dyDescent="0.35">
      <c r="A114" t="s">
        <v>8</v>
      </c>
      <c r="F114" s="3">
        <f t="shared" ref="F114:AI114" si="3">+F40+F3-F113</f>
        <v>611911.15451113461</v>
      </c>
      <c r="G114" s="3">
        <f t="shared" si="3"/>
        <v>611911.15451113461</v>
      </c>
      <c r="H114" s="3">
        <f t="shared" si="3"/>
        <v>611911.15451113461</v>
      </c>
      <c r="I114" s="3">
        <f t="shared" si="3"/>
        <v>547719.15451113461</v>
      </c>
      <c r="J114" s="3">
        <f t="shared" si="3"/>
        <v>547719.15451113461</v>
      </c>
      <c r="K114" s="3">
        <f t="shared" si="3"/>
        <v>547719.15451113461</v>
      </c>
      <c r="L114" s="3">
        <f t="shared" si="3"/>
        <v>521814.15451113461</v>
      </c>
      <c r="M114" s="3">
        <f t="shared" si="3"/>
        <v>929888.79451113462</v>
      </c>
      <c r="N114" s="3">
        <f t="shared" si="3"/>
        <v>1242689.7945111347</v>
      </c>
      <c r="O114" s="3">
        <f t="shared" si="3"/>
        <v>1242689.7945111347</v>
      </c>
      <c r="P114" s="3">
        <f t="shared" si="3"/>
        <v>824520.79451113474</v>
      </c>
      <c r="Q114" s="3">
        <f t="shared" si="3"/>
        <v>824520.79451113474</v>
      </c>
      <c r="R114" s="3">
        <f t="shared" si="3"/>
        <v>824520.79451113474</v>
      </c>
      <c r="S114" s="3">
        <f t="shared" si="3"/>
        <v>1262882.7945111347</v>
      </c>
      <c r="T114" s="3">
        <f t="shared" si="3"/>
        <v>1262882.7945111347</v>
      </c>
      <c r="U114" s="3">
        <f t="shared" si="3"/>
        <v>1262882.7945111347</v>
      </c>
      <c r="V114" s="3">
        <f t="shared" si="3"/>
        <v>1262882.7945111347</v>
      </c>
      <c r="W114" s="3">
        <f t="shared" si="3"/>
        <v>1609793.7945111347</v>
      </c>
      <c r="X114" s="3">
        <f t="shared" si="3"/>
        <v>1609793.7945111347</v>
      </c>
      <c r="Y114" s="3">
        <f t="shared" si="3"/>
        <v>1609793.7945111347</v>
      </c>
      <c r="Z114" s="3">
        <f t="shared" si="3"/>
        <v>1154271.1428986348</v>
      </c>
      <c r="AA114" s="3">
        <f t="shared" si="3"/>
        <v>1154271.1428986348</v>
      </c>
      <c r="AB114" s="3">
        <f t="shared" si="3"/>
        <v>1154271.1428986348</v>
      </c>
      <c r="AC114" s="3">
        <f t="shared" si="3"/>
        <v>858821.14289863477</v>
      </c>
      <c r="AD114" s="3">
        <f t="shared" si="3"/>
        <v>858821.14289863477</v>
      </c>
      <c r="AE114" s="3">
        <f t="shared" si="3"/>
        <v>858821.14289863477</v>
      </c>
      <c r="AF114" s="3">
        <f t="shared" si="3"/>
        <v>858821.14289863477</v>
      </c>
      <c r="AG114" s="3">
        <f t="shared" si="3"/>
        <v>1083525.1428986348</v>
      </c>
      <c r="AH114" s="3">
        <f t="shared" si="3"/>
        <v>1385054.1428986348</v>
      </c>
      <c r="AI114" s="3">
        <f t="shared" si="3"/>
        <v>240058.5921736348</v>
      </c>
      <c r="AJ114" s="3" t="s">
        <v>13</v>
      </c>
      <c r="AK114" s="3" t="s">
        <v>13</v>
      </c>
    </row>
    <row r="115" spans="1:39" x14ac:dyDescent="0.35">
      <c r="F115" s="3"/>
      <c r="G115" s="3"/>
      <c r="H115" s="3"/>
      <c r="I115" s="3" t="s">
        <v>13</v>
      </c>
      <c r="J115" s="3"/>
      <c r="K115" s="3"/>
      <c r="L115" s="3"/>
      <c r="M115" s="3"/>
      <c r="N115" s="3"/>
      <c r="O115" s="3"/>
      <c r="P115" s="3" t="s">
        <v>13</v>
      </c>
      <c r="Q115" s="3"/>
      <c r="R115" s="3"/>
      <c r="S115" s="3"/>
      <c r="T115" s="3" t="s">
        <v>13</v>
      </c>
      <c r="U115" s="3"/>
      <c r="V115" s="3"/>
      <c r="W115" s="3"/>
      <c r="Y115" s="3" t="s">
        <v>13</v>
      </c>
      <c r="AA115" s="3" t="s">
        <v>13</v>
      </c>
      <c r="AB115" s="3" t="s">
        <v>13</v>
      </c>
    </row>
    <row r="116" spans="1:39" x14ac:dyDescent="0.35">
      <c r="B116" t="s">
        <v>13</v>
      </c>
      <c r="F116" s="3">
        <v>878766</v>
      </c>
      <c r="G116" s="3"/>
      <c r="H116" s="3" t="s">
        <v>13</v>
      </c>
      <c r="I116" s="3"/>
      <c r="J116" s="3"/>
      <c r="K116" s="3"/>
      <c r="L116" s="3"/>
      <c r="M116" s="3"/>
      <c r="N116" s="3"/>
      <c r="O116" s="3"/>
      <c r="P116" s="3" t="s">
        <v>13</v>
      </c>
      <c r="Q116" s="3" t="s">
        <v>13</v>
      </c>
      <c r="R116" s="3" t="s">
        <v>13</v>
      </c>
      <c r="S116" s="3"/>
      <c r="T116" s="3"/>
      <c r="U116" s="3" t="s">
        <v>13</v>
      </c>
      <c r="V116" s="3"/>
      <c r="W116" s="3"/>
      <c r="AB116" s="3" t="s">
        <v>13</v>
      </c>
      <c r="AG116" s="3" t="s">
        <v>13</v>
      </c>
      <c r="AJ116" s="3" t="s">
        <v>13</v>
      </c>
    </row>
    <row r="117" spans="1:39" x14ac:dyDescent="0.35">
      <c r="B117" s="5" t="s">
        <v>13</v>
      </c>
      <c r="D117" s="236" t="s">
        <v>13</v>
      </c>
      <c r="F117" s="3"/>
      <c r="G117" s="3" t="s">
        <v>13</v>
      </c>
      <c r="H117" s="3" t="s">
        <v>13</v>
      </c>
      <c r="I117" s="3"/>
      <c r="J117" s="3"/>
      <c r="K117" s="3"/>
      <c r="L117" s="3"/>
      <c r="M117" s="3"/>
      <c r="N117" s="3"/>
      <c r="O117" s="3"/>
      <c r="P117" s="3" t="s">
        <v>13</v>
      </c>
      <c r="Q117" s="3" t="s">
        <v>13</v>
      </c>
      <c r="R117" s="3" t="s">
        <v>13</v>
      </c>
      <c r="S117" s="3"/>
      <c r="T117" s="3"/>
      <c r="U117" s="3"/>
      <c r="V117" s="3"/>
      <c r="W117" s="3"/>
      <c r="AB117" s="3" t="s">
        <v>13</v>
      </c>
    </row>
    <row r="118" spans="1:39" x14ac:dyDescent="0.35">
      <c r="A118" s="5" t="s">
        <v>13</v>
      </c>
      <c r="B118" s="236" t="s">
        <v>13</v>
      </c>
      <c r="C118" s="236" t="s">
        <v>13</v>
      </c>
      <c r="F118" s="3"/>
      <c r="G118" s="3" t="s">
        <v>13</v>
      </c>
      <c r="H118" s="3"/>
      <c r="I118" s="3"/>
      <c r="J118" s="3"/>
      <c r="K118" s="3"/>
      <c r="L118" s="3"/>
      <c r="M118" s="3"/>
      <c r="N118" s="3"/>
      <c r="O118" s="3"/>
      <c r="P118" s="3" t="s">
        <v>13</v>
      </c>
      <c r="Q118" s="3" t="s">
        <v>13</v>
      </c>
      <c r="R118" s="3" t="s">
        <v>13</v>
      </c>
      <c r="S118" s="3"/>
      <c r="T118" s="3"/>
      <c r="U118" s="3"/>
      <c r="V118" s="3"/>
      <c r="W118" s="3" t="s">
        <v>13</v>
      </c>
      <c r="AB118" s="3" t="s">
        <v>13</v>
      </c>
    </row>
    <row r="119" spans="1:39" x14ac:dyDescent="0.35">
      <c r="B119" t="s">
        <v>13</v>
      </c>
      <c r="C119" t="s">
        <v>13</v>
      </c>
      <c r="D119" s="236" t="s">
        <v>13</v>
      </c>
      <c r="F119" s="3"/>
      <c r="G119" s="3" t="s">
        <v>13</v>
      </c>
      <c r="H119" s="3"/>
      <c r="I119" s="3"/>
      <c r="J119" s="3"/>
      <c r="K119" s="3"/>
      <c r="L119" s="3"/>
      <c r="M119" s="3"/>
      <c r="N119" s="3"/>
      <c r="O119" s="3"/>
      <c r="P119" s="3" t="s">
        <v>13</v>
      </c>
      <c r="Q119" s="3" t="s">
        <v>13</v>
      </c>
      <c r="R119" s="3" t="s">
        <v>13</v>
      </c>
      <c r="S119" s="3"/>
      <c r="T119" s="3"/>
      <c r="U119" s="3"/>
      <c r="V119" s="3" t="s">
        <v>13</v>
      </c>
      <c r="W119" s="3"/>
      <c r="AB119" s="3" t="s">
        <v>13</v>
      </c>
      <c r="AC119" s="59" t="s">
        <v>13</v>
      </c>
      <c r="AD119" t="s">
        <v>13</v>
      </c>
      <c r="AE119" t="s">
        <v>13</v>
      </c>
    </row>
    <row r="120" spans="1:39" x14ac:dyDescent="0.35">
      <c r="B120" t="s">
        <v>13</v>
      </c>
      <c r="C120" s="236" t="s">
        <v>13</v>
      </c>
      <c r="D120" s="286" t="s">
        <v>13</v>
      </c>
      <c r="F120" s="3">
        <v>34630.36</v>
      </c>
      <c r="G120" s="3">
        <f>+F120*2</f>
        <v>69260.72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AB120" s="3" t="s">
        <v>13</v>
      </c>
      <c r="AC120" t="s">
        <v>13</v>
      </c>
    </row>
    <row r="121" spans="1:39" x14ac:dyDescent="0.35">
      <c r="B121" t="s">
        <v>13</v>
      </c>
      <c r="C121" t="s">
        <v>13</v>
      </c>
      <c r="D121" t="s">
        <v>13</v>
      </c>
      <c r="F121" s="3"/>
      <c r="G121" s="3" t="s">
        <v>13</v>
      </c>
      <c r="H121" s="3"/>
      <c r="I121" s="3"/>
      <c r="J121" s="3"/>
      <c r="K121" s="3"/>
      <c r="L121" s="3"/>
      <c r="M121" s="3"/>
      <c r="AC121" s="59" t="s">
        <v>13</v>
      </c>
    </row>
    <row r="122" spans="1:39" x14ac:dyDescent="0.35">
      <c r="B122" t="s">
        <v>13</v>
      </c>
      <c r="D122" t="s">
        <v>13</v>
      </c>
      <c r="F122" s="3"/>
      <c r="G122" s="3" t="s">
        <v>13</v>
      </c>
      <c r="H122" s="3"/>
      <c r="I122" s="3"/>
      <c r="J122" s="3"/>
      <c r="K122" s="3"/>
      <c r="L122" s="3"/>
      <c r="AB122" t="s">
        <v>13</v>
      </c>
      <c r="AC122" t="s">
        <v>13</v>
      </c>
    </row>
    <row r="123" spans="1:39" x14ac:dyDescent="0.35">
      <c r="B123" t="s">
        <v>13</v>
      </c>
      <c r="F123" s="3"/>
      <c r="G123" s="3" t="s">
        <v>13</v>
      </c>
      <c r="H123" s="3"/>
      <c r="I123" s="3"/>
      <c r="J123" s="3"/>
      <c r="K123" s="3"/>
      <c r="L123" s="3"/>
      <c r="AF123" t="s">
        <v>13</v>
      </c>
    </row>
    <row r="124" spans="1:39" x14ac:dyDescent="0.35">
      <c r="B124" t="s">
        <v>13</v>
      </c>
      <c r="F124" s="3"/>
      <c r="G124" s="3" t="s">
        <v>13</v>
      </c>
      <c r="H124" s="3"/>
      <c r="I124" s="3"/>
      <c r="J124" s="3"/>
      <c r="K124" s="3"/>
      <c r="L124" s="3"/>
    </row>
    <row r="125" spans="1:39" x14ac:dyDescent="0.35">
      <c r="B125" t="s">
        <v>13</v>
      </c>
      <c r="F125" s="3"/>
      <c r="G125" s="3" t="s">
        <v>13</v>
      </c>
      <c r="H125" s="3"/>
      <c r="I125" s="3"/>
      <c r="J125" s="3"/>
      <c r="K125" s="3"/>
      <c r="L125" s="3"/>
    </row>
    <row r="126" spans="1:39" x14ac:dyDescent="0.35">
      <c r="B126" t="s">
        <v>13</v>
      </c>
      <c r="F126" s="3"/>
      <c r="G126" s="3" t="s">
        <v>13</v>
      </c>
      <c r="H126" s="3"/>
      <c r="I126" s="3"/>
      <c r="J126" s="3"/>
      <c r="K126" s="3"/>
      <c r="L126" s="3"/>
    </row>
    <row r="127" spans="1:39" x14ac:dyDescent="0.35">
      <c r="F127" s="3"/>
      <c r="G127" s="3" t="s">
        <v>13</v>
      </c>
      <c r="H127" s="3"/>
      <c r="I127" s="3"/>
      <c r="J127" s="3"/>
      <c r="K127" s="3"/>
      <c r="L127" s="3"/>
    </row>
    <row r="128" spans="1:39" x14ac:dyDescent="0.35">
      <c r="F128" s="3"/>
      <c r="G128" s="3" t="s">
        <v>13</v>
      </c>
      <c r="H128" s="3"/>
      <c r="I128" s="3"/>
      <c r="J128" s="3"/>
      <c r="K128" s="3"/>
      <c r="L128" s="3"/>
    </row>
    <row r="129" spans="6:12" x14ac:dyDescent="0.35">
      <c r="F129" s="3"/>
      <c r="G129" s="3" t="s">
        <v>13</v>
      </c>
      <c r="H129" s="3"/>
      <c r="I129" s="3"/>
      <c r="J129" s="3"/>
      <c r="K129" s="3"/>
      <c r="L129" s="3"/>
    </row>
    <row r="130" spans="6:12" x14ac:dyDescent="0.35">
      <c r="F130" s="3"/>
      <c r="G130" s="3" t="s">
        <v>13</v>
      </c>
      <c r="H130" s="3"/>
      <c r="I130" s="3"/>
      <c r="J130" s="3"/>
      <c r="K130" s="3"/>
      <c r="L130" s="3"/>
    </row>
    <row r="131" spans="6:12" x14ac:dyDescent="0.35">
      <c r="F131" s="3"/>
      <c r="G131" s="3" t="s">
        <v>13</v>
      </c>
      <c r="H131" s="3"/>
      <c r="I131" s="3"/>
      <c r="J131" s="3"/>
      <c r="K131" s="3"/>
      <c r="L131" s="3"/>
    </row>
    <row r="132" spans="6:12" x14ac:dyDescent="0.35">
      <c r="F132" s="3"/>
      <c r="G132" s="3" t="s">
        <v>13</v>
      </c>
      <c r="H132" s="3"/>
      <c r="I132" s="3"/>
      <c r="J132" s="3"/>
      <c r="K132" s="3"/>
      <c r="L132" s="3"/>
    </row>
    <row r="133" spans="6:12" x14ac:dyDescent="0.35">
      <c r="F133" s="3"/>
      <c r="G133" s="3" t="s">
        <v>13</v>
      </c>
      <c r="H133" s="3"/>
      <c r="I133" s="3"/>
      <c r="J133" s="3"/>
      <c r="K133" s="3"/>
      <c r="L133" s="3"/>
    </row>
    <row r="134" spans="6:12" x14ac:dyDescent="0.35">
      <c r="F134" s="3"/>
      <c r="G134" s="3" t="s">
        <v>13</v>
      </c>
      <c r="H134" s="3"/>
      <c r="I134" s="3"/>
      <c r="J134" s="3"/>
      <c r="K134" s="3"/>
      <c r="L134" s="3"/>
    </row>
    <row r="135" spans="6:12" x14ac:dyDescent="0.35">
      <c r="F135" s="3"/>
      <c r="G135" s="3" t="s">
        <v>13</v>
      </c>
      <c r="H135" s="3"/>
      <c r="I135" s="3"/>
      <c r="J135" s="3"/>
      <c r="K135" s="3"/>
      <c r="L135" s="3"/>
    </row>
  </sheetData>
  <sortState xmlns:xlrd2="http://schemas.microsoft.com/office/spreadsheetml/2017/richdata2" ref="A68:AM78">
    <sortCondition ref="C68:C78"/>
  </sortState>
  <pageMargins left="0.7" right="0.7" top="0.75" bottom="0.75" header="0.3" footer="0.3"/>
  <pageSetup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U161"/>
  <sheetViews>
    <sheetView topLeftCell="A83" workbookViewId="0">
      <selection activeCell="A101" sqref="A101"/>
    </sheetView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</cols>
  <sheetData>
    <row r="1" spans="1:38" x14ac:dyDescent="0.35">
      <c r="Z1" t="s">
        <v>13</v>
      </c>
      <c r="AA1" s="3" t="s">
        <v>13</v>
      </c>
    </row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44896</v>
      </c>
      <c r="G2" s="1">
        <v>44897</v>
      </c>
      <c r="H2" s="1">
        <v>44898</v>
      </c>
      <c r="I2" s="1">
        <v>44899</v>
      </c>
      <c r="J2" s="1">
        <v>44900</v>
      </c>
      <c r="K2" s="1">
        <v>44901</v>
      </c>
      <c r="L2" s="1">
        <v>44902</v>
      </c>
      <c r="M2" s="1">
        <v>44903</v>
      </c>
      <c r="N2" s="1">
        <v>44904</v>
      </c>
      <c r="O2" s="1">
        <v>44905</v>
      </c>
      <c r="P2" s="1">
        <v>44906</v>
      </c>
      <c r="Q2" s="1">
        <v>44907</v>
      </c>
      <c r="R2" s="1">
        <v>44908</v>
      </c>
      <c r="S2" s="1">
        <v>44909</v>
      </c>
      <c r="T2" s="1">
        <v>44910</v>
      </c>
      <c r="U2" s="1">
        <v>44911</v>
      </c>
      <c r="V2" s="1">
        <v>44912</v>
      </c>
      <c r="W2" s="1">
        <v>44913</v>
      </c>
      <c r="X2" s="1">
        <v>44914</v>
      </c>
      <c r="Y2" s="1">
        <v>44915</v>
      </c>
      <c r="Z2" s="1">
        <v>44916</v>
      </c>
      <c r="AA2" s="1">
        <v>44917</v>
      </c>
      <c r="AB2" s="1">
        <v>44918</v>
      </c>
      <c r="AC2" s="1">
        <v>44919</v>
      </c>
      <c r="AD2" s="1">
        <v>44920</v>
      </c>
      <c r="AE2" s="1">
        <v>44921</v>
      </c>
      <c r="AF2" s="1">
        <v>44922</v>
      </c>
      <c r="AG2" s="1">
        <v>44923</v>
      </c>
      <c r="AH2" s="1">
        <v>44924</v>
      </c>
      <c r="AI2" s="1">
        <v>44925</v>
      </c>
      <c r="AJ2" s="1">
        <v>44926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+'Nov-22'!AI114</f>
        <v>240058.5921736348</v>
      </c>
      <c r="G3" s="3">
        <f t="shared" ref="G3:AJ3" si="0">+F140</f>
        <v>240058.5921736348</v>
      </c>
      <c r="H3" s="3">
        <f t="shared" si="0"/>
        <v>458624.5921736348</v>
      </c>
      <c r="I3" s="3">
        <f t="shared" si="0"/>
        <v>458624.5921736348</v>
      </c>
      <c r="J3" s="3">
        <f t="shared" si="0"/>
        <v>458624.5921736348</v>
      </c>
      <c r="K3" s="3">
        <f t="shared" si="0"/>
        <v>575694.5921736348</v>
      </c>
      <c r="L3" s="3">
        <f t="shared" si="0"/>
        <v>442065.5921736348</v>
      </c>
      <c r="M3" s="3">
        <f t="shared" si="0"/>
        <v>618373.5921736348</v>
      </c>
      <c r="N3" s="3">
        <f t="shared" si="0"/>
        <v>618373.5921736348</v>
      </c>
      <c r="O3" s="3">
        <f t="shared" si="0"/>
        <v>618373.5921736348</v>
      </c>
      <c r="P3" s="3">
        <f t="shared" si="0"/>
        <v>618373.5921736348</v>
      </c>
      <c r="Q3" s="3">
        <f t="shared" si="0"/>
        <v>618373.5921736348</v>
      </c>
      <c r="R3" s="3">
        <f t="shared" si="0"/>
        <v>781650.5921736348</v>
      </c>
      <c r="S3" s="3">
        <f t="shared" si="0"/>
        <v>781650.5921736348</v>
      </c>
      <c r="T3" s="3">
        <f t="shared" si="0"/>
        <v>781650.5921736348</v>
      </c>
      <c r="U3" s="3">
        <f t="shared" si="0"/>
        <v>781650.5921736348</v>
      </c>
      <c r="V3" s="3">
        <f t="shared" si="0"/>
        <v>634090.5921736348</v>
      </c>
      <c r="W3" s="3">
        <f t="shared" si="0"/>
        <v>634090.5921736348</v>
      </c>
      <c r="X3" s="3">
        <f t="shared" si="0"/>
        <v>634090.5921736348</v>
      </c>
      <c r="Y3" s="3">
        <f t="shared" si="0"/>
        <v>1745953.5921736348</v>
      </c>
      <c r="Z3" s="3">
        <f t="shared" si="0"/>
        <v>1510984.5921736348</v>
      </c>
      <c r="AA3" s="3">
        <f t="shared" si="0"/>
        <v>1510984.5921736348</v>
      </c>
      <c r="AB3" s="3">
        <f t="shared" si="0"/>
        <v>1510984.5921736348</v>
      </c>
      <c r="AC3" s="3">
        <f t="shared" si="0"/>
        <v>1510984.5921736348</v>
      </c>
      <c r="AD3" s="3">
        <f t="shared" si="0"/>
        <v>1510984.5921736348</v>
      </c>
      <c r="AE3" s="3">
        <f t="shared" si="0"/>
        <v>1510984.5921736348</v>
      </c>
      <c r="AF3" s="3">
        <f t="shared" si="0"/>
        <v>1509846.5921736348</v>
      </c>
      <c r="AG3" s="3">
        <f t="shared" si="0"/>
        <v>1927850.5921736348</v>
      </c>
      <c r="AH3" s="3">
        <f t="shared" si="0"/>
        <v>1878530.5921736348</v>
      </c>
      <c r="AI3" s="3">
        <f t="shared" si="0"/>
        <v>1472469.5045486349</v>
      </c>
      <c r="AJ3" s="3">
        <f t="shared" si="0"/>
        <v>1472469.5045486349</v>
      </c>
      <c r="AK3" s="3" t="s">
        <v>13</v>
      </c>
      <c r="AL3" s="6" t="s">
        <v>13</v>
      </c>
    </row>
    <row r="4" spans="1:38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x14ac:dyDescent="0.35">
      <c r="A5" s="36" t="s">
        <v>895</v>
      </c>
      <c r="B5" s="66" t="s">
        <v>886</v>
      </c>
      <c r="C5" s="38">
        <v>44618</v>
      </c>
      <c r="D5" s="39">
        <v>56708</v>
      </c>
      <c r="E5" s="40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8" x14ac:dyDescent="0.35">
      <c r="A6" s="41" t="s">
        <v>1424</v>
      </c>
      <c r="B6" t="s">
        <v>1423</v>
      </c>
      <c r="C6" s="5">
        <v>44876</v>
      </c>
      <c r="D6" s="3">
        <v>130975</v>
      </c>
      <c r="E6" s="42" t="s">
        <v>1345</v>
      </c>
      <c r="F6" s="3"/>
      <c r="G6" s="3"/>
      <c r="H6" s="3"/>
      <c r="I6" s="3"/>
      <c r="J6" s="3">
        <v>130975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130975</v>
      </c>
      <c r="AL6" s="22"/>
    </row>
    <row r="7" spans="1:38" x14ac:dyDescent="0.35">
      <c r="A7" s="41" t="s">
        <v>1439</v>
      </c>
      <c r="B7" t="s">
        <v>1440</v>
      </c>
      <c r="C7" s="5">
        <v>44882</v>
      </c>
      <c r="D7" s="3">
        <v>176308</v>
      </c>
      <c r="E7" s="42" t="s">
        <v>1441</v>
      </c>
      <c r="F7" s="3"/>
      <c r="G7" s="3"/>
      <c r="H7" s="3"/>
      <c r="I7" s="3"/>
      <c r="J7" s="3"/>
      <c r="K7" s="3"/>
      <c r="L7" s="3">
        <v>176308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176308</v>
      </c>
      <c r="AL7" s="22"/>
    </row>
    <row r="8" spans="1:38" x14ac:dyDescent="0.35">
      <c r="A8" s="41" t="s">
        <v>1454</v>
      </c>
      <c r="B8" t="s">
        <v>1456</v>
      </c>
      <c r="C8" s="5">
        <v>44888</v>
      </c>
      <c r="D8" s="3">
        <v>85642</v>
      </c>
      <c r="E8" s="42" t="s">
        <v>782</v>
      </c>
      <c r="F8" s="3"/>
      <c r="G8" s="3">
        <v>85642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85642</v>
      </c>
      <c r="AL8" s="22"/>
    </row>
    <row r="9" spans="1:38" x14ac:dyDescent="0.35">
      <c r="A9" s="41" t="s">
        <v>1455</v>
      </c>
      <c r="B9" t="s">
        <v>1457</v>
      </c>
      <c r="C9" s="5">
        <v>44888</v>
      </c>
      <c r="D9" s="3">
        <v>44308</v>
      </c>
      <c r="E9" s="42" t="s">
        <v>782</v>
      </c>
      <c r="F9" s="3"/>
      <c r="G9" s="3">
        <v>44308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44308</v>
      </c>
      <c r="AL9" s="22"/>
    </row>
    <row r="10" spans="1:38" x14ac:dyDescent="0.35">
      <c r="A10" s="41" t="s">
        <v>1461</v>
      </c>
      <c r="B10" t="s">
        <v>1462</v>
      </c>
      <c r="C10" s="5">
        <v>44890</v>
      </c>
      <c r="D10" s="3">
        <v>44308</v>
      </c>
      <c r="E10" s="42" t="s">
        <v>782</v>
      </c>
      <c r="F10" s="3"/>
      <c r="G10" s="3">
        <v>44308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44308</v>
      </c>
      <c r="AL10" s="22"/>
    </row>
    <row r="11" spans="1:38" x14ac:dyDescent="0.35">
      <c r="A11" s="41" t="s">
        <v>1463</v>
      </c>
      <c r="B11" t="s">
        <v>1464</v>
      </c>
      <c r="C11" s="5">
        <v>44890</v>
      </c>
      <c r="D11" s="3">
        <v>44308</v>
      </c>
      <c r="E11" s="42" t="s">
        <v>782</v>
      </c>
      <c r="F11" s="3"/>
      <c r="G11" s="3">
        <v>44308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44308</v>
      </c>
      <c r="AL11" s="22"/>
    </row>
    <row r="12" spans="1:38" ht="15" thickBot="1" x14ac:dyDescent="0.4">
      <c r="A12" s="43" t="s">
        <v>1465</v>
      </c>
      <c r="B12" s="76" t="s">
        <v>1466</v>
      </c>
      <c r="C12" s="45">
        <v>44896</v>
      </c>
      <c r="D12" s="46">
        <v>172308</v>
      </c>
      <c r="E12" s="47" t="s">
        <v>1345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172308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172308</v>
      </c>
      <c r="AL12" s="22"/>
    </row>
    <row r="13" spans="1:38" x14ac:dyDescent="0.35">
      <c r="A13" t="s">
        <v>1471</v>
      </c>
      <c r="B13" t="s">
        <v>1472</v>
      </c>
      <c r="C13" s="5">
        <v>44896</v>
      </c>
      <c r="D13" s="3">
        <v>85642</v>
      </c>
      <c r="E13" s="6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>
        <v>85642</v>
      </c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85642</v>
      </c>
      <c r="AL13" s="22"/>
    </row>
    <row r="14" spans="1:38" x14ac:dyDescent="0.35">
      <c r="A14" t="s">
        <v>1474</v>
      </c>
      <c r="B14" t="s">
        <v>1473</v>
      </c>
      <c r="C14" s="5">
        <v>44896</v>
      </c>
      <c r="D14" s="3">
        <v>85642</v>
      </c>
      <c r="E14" s="6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>
        <v>85642</v>
      </c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85642</v>
      </c>
      <c r="AL14" s="22"/>
    </row>
    <row r="15" spans="1:38" x14ac:dyDescent="0.35">
      <c r="A15" t="s">
        <v>1475</v>
      </c>
      <c r="B15" t="s">
        <v>1477</v>
      </c>
      <c r="C15" s="5">
        <v>44896</v>
      </c>
      <c r="D15" s="3">
        <v>44308</v>
      </c>
      <c r="E15" s="6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v>44308</v>
      </c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44308</v>
      </c>
      <c r="AL15" s="22"/>
    </row>
    <row r="16" spans="1:38" x14ac:dyDescent="0.35">
      <c r="A16" t="s">
        <v>1476</v>
      </c>
      <c r="B16" t="s">
        <v>1478</v>
      </c>
      <c r="C16" s="5">
        <v>44896</v>
      </c>
      <c r="D16" s="3">
        <v>85642</v>
      </c>
      <c r="E16" s="6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85642</v>
      </c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85642</v>
      </c>
      <c r="AL16" s="22"/>
    </row>
    <row r="17" spans="1:46" x14ac:dyDescent="0.35">
      <c r="A17" t="s">
        <v>1480</v>
      </c>
      <c r="B17" t="s">
        <v>1479</v>
      </c>
      <c r="C17" s="5">
        <v>44897</v>
      </c>
      <c r="D17" s="3">
        <v>138038</v>
      </c>
      <c r="E17" s="6" t="s">
        <v>1345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>
        <v>138038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138038</v>
      </c>
      <c r="AL17" s="22"/>
    </row>
    <row r="18" spans="1:46" x14ac:dyDescent="0.35">
      <c r="A18" s="41" t="s">
        <v>1486</v>
      </c>
      <c r="B18" t="s">
        <v>1488</v>
      </c>
      <c r="C18" s="5">
        <v>44901</v>
      </c>
      <c r="D18" s="3">
        <v>248804</v>
      </c>
      <c r="E18" s="6" t="s">
        <v>1345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248804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248804</v>
      </c>
      <c r="AL18" s="22"/>
      <c r="AT18">
        <v>0</v>
      </c>
    </row>
    <row r="19" spans="1:46" x14ac:dyDescent="0.35">
      <c r="A19" s="41" t="s">
        <v>1487</v>
      </c>
      <c r="B19" t="s">
        <v>1489</v>
      </c>
      <c r="C19" s="5">
        <v>44901</v>
      </c>
      <c r="D19" s="3">
        <v>71876</v>
      </c>
      <c r="E19" s="6" t="s">
        <v>1441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13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6" x14ac:dyDescent="0.35">
      <c r="A20" s="41" t="s">
        <v>1499</v>
      </c>
      <c r="B20" t="s">
        <v>1500</v>
      </c>
      <c r="C20" s="5">
        <v>44903</v>
      </c>
      <c r="D20" s="3">
        <v>173855</v>
      </c>
      <c r="E20" s="6" t="s">
        <v>1345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173855</v>
      </c>
      <c r="Z20" s="3"/>
      <c r="AA20" s="3"/>
      <c r="AB20" s="3"/>
      <c r="AC20" s="3"/>
      <c r="AD20" s="3"/>
      <c r="AE20" s="3" t="s">
        <v>13</v>
      </c>
      <c r="AF20" s="3"/>
      <c r="AG20" s="3"/>
      <c r="AH20" s="3"/>
      <c r="AI20" s="3"/>
      <c r="AK20" s="3">
        <f>SUM($F20:AJ20)</f>
        <v>173855</v>
      </c>
      <c r="AL20" s="22"/>
    </row>
    <row r="21" spans="1:46" x14ac:dyDescent="0.35">
      <c r="A21" s="41" t="s">
        <v>1501</v>
      </c>
      <c r="B21" t="s">
        <v>1502</v>
      </c>
      <c r="C21" s="5">
        <v>44903</v>
      </c>
      <c r="D21" s="3">
        <v>177855</v>
      </c>
      <c r="E21" s="6" t="s">
        <v>1441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 t="s">
        <v>13</v>
      </c>
      <c r="Z21" s="3"/>
      <c r="AA21" s="3"/>
      <c r="AB21" s="3"/>
      <c r="AC21" s="3"/>
      <c r="AD21" s="3"/>
      <c r="AE21" s="3" t="s">
        <v>13</v>
      </c>
      <c r="AF21" s="3"/>
      <c r="AG21" s="3"/>
      <c r="AH21" s="3"/>
      <c r="AI21" s="3"/>
      <c r="AK21" s="3">
        <f>SUM($F21:AJ21)</f>
        <v>0</v>
      </c>
      <c r="AL21" s="22"/>
    </row>
    <row r="22" spans="1:46" x14ac:dyDescent="0.35">
      <c r="A22" s="41" t="s">
        <v>1503</v>
      </c>
      <c r="B22" t="s">
        <v>1504</v>
      </c>
      <c r="C22" s="5">
        <v>44903</v>
      </c>
      <c r="D22" s="3">
        <v>198522</v>
      </c>
      <c r="E22" s="6" t="s">
        <v>1505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13</v>
      </c>
      <c r="Z22" s="3"/>
      <c r="AA22" s="3"/>
      <c r="AB22" s="3"/>
      <c r="AC22" s="3"/>
      <c r="AD22" s="3"/>
      <c r="AE22" s="3">
        <v>198522</v>
      </c>
      <c r="AF22" s="3"/>
      <c r="AG22" s="3"/>
      <c r="AH22" s="3"/>
      <c r="AI22" s="3"/>
      <c r="AK22" s="3">
        <f>SUM($F22:AJ22)</f>
        <v>198522</v>
      </c>
      <c r="AL22" s="22"/>
    </row>
    <row r="23" spans="1:46" x14ac:dyDescent="0.35">
      <c r="A23" t="s">
        <v>1511</v>
      </c>
      <c r="B23" t="s">
        <v>1513</v>
      </c>
      <c r="C23" s="5">
        <v>44905</v>
      </c>
      <c r="D23" s="3">
        <v>85642</v>
      </c>
      <c r="E23" s="6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>
        <v>85642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85642</v>
      </c>
      <c r="AL23" s="22"/>
    </row>
    <row r="24" spans="1:46" x14ac:dyDescent="0.35">
      <c r="A24" t="s">
        <v>1512</v>
      </c>
      <c r="B24" t="s">
        <v>1514</v>
      </c>
      <c r="C24" s="5">
        <v>44905</v>
      </c>
      <c r="D24" s="3">
        <v>85642</v>
      </c>
      <c r="E24" s="6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>
        <v>85642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85642</v>
      </c>
      <c r="AL24" s="22"/>
    </row>
    <row r="25" spans="1:46" x14ac:dyDescent="0.35">
      <c r="A25" s="41" t="s">
        <v>1515</v>
      </c>
      <c r="B25" t="s">
        <v>1516</v>
      </c>
      <c r="C25" s="5">
        <v>44905</v>
      </c>
      <c r="D25" s="3">
        <v>180918</v>
      </c>
      <c r="E25" s="6" t="s">
        <v>1345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>
        <v>180918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180918</v>
      </c>
      <c r="AL25" s="22"/>
    </row>
    <row r="26" spans="1:46" x14ac:dyDescent="0.35">
      <c r="A26" t="s">
        <v>1518</v>
      </c>
      <c r="B26" t="s">
        <v>1520</v>
      </c>
      <c r="C26" s="5">
        <v>44905</v>
      </c>
      <c r="D26" s="3">
        <v>13328</v>
      </c>
      <c r="E26" s="6" t="s">
        <v>782</v>
      </c>
      <c r="F26" s="3" t="s">
        <v>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>
        <v>13328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13328</v>
      </c>
      <c r="AL26" s="22"/>
    </row>
    <row r="27" spans="1:46" x14ac:dyDescent="0.35">
      <c r="A27" t="s">
        <v>1519</v>
      </c>
      <c r="B27" t="s">
        <v>1521</v>
      </c>
      <c r="C27" s="5">
        <v>44905</v>
      </c>
      <c r="D27" s="3">
        <v>13328</v>
      </c>
      <c r="E27" s="6" t="s">
        <v>782</v>
      </c>
      <c r="F27" s="3" t="s">
        <v>13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>
        <v>13328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13328</v>
      </c>
      <c r="AL27" s="22"/>
    </row>
    <row r="28" spans="1:46" x14ac:dyDescent="0.35">
      <c r="A28" t="s">
        <v>1532</v>
      </c>
      <c r="B28" t="s">
        <v>1531</v>
      </c>
      <c r="C28" s="5">
        <v>44910</v>
      </c>
      <c r="D28" s="3">
        <v>45855</v>
      </c>
      <c r="E28" s="6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>
        <v>45855</v>
      </c>
      <c r="AG28" s="3"/>
      <c r="AH28" s="3"/>
      <c r="AI28" s="3"/>
      <c r="AK28" s="3">
        <f>SUM($F28:AJ28)</f>
        <v>45855</v>
      </c>
      <c r="AL28" s="22"/>
    </row>
    <row r="29" spans="1:46" x14ac:dyDescent="0.35">
      <c r="A29" t="s">
        <v>1533</v>
      </c>
      <c r="B29" t="s">
        <v>1534</v>
      </c>
      <c r="C29" s="5">
        <v>44910</v>
      </c>
      <c r="D29" s="3">
        <v>45855</v>
      </c>
      <c r="E29" s="6" t="s">
        <v>782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>
        <v>45855</v>
      </c>
      <c r="AG29" s="3"/>
      <c r="AH29" s="3"/>
      <c r="AI29" s="3"/>
      <c r="AK29" s="3">
        <f>SUM($F29:AJ29)</f>
        <v>45855</v>
      </c>
      <c r="AL29" s="22"/>
    </row>
    <row r="30" spans="1:46" x14ac:dyDescent="0.35">
      <c r="A30" t="s">
        <v>1535</v>
      </c>
      <c r="B30" t="s">
        <v>1577</v>
      </c>
      <c r="C30" s="5">
        <v>44910</v>
      </c>
      <c r="D30" s="3">
        <v>87189</v>
      </c>
      <c r="E30" s="6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>
        <v>87189</v>
      </c>
      <c r="AG30" s="3"/>
      <c r="AH30" s="3"/>
      <c r="AI30" s="3"/>
      <c r="AK30" s="3">
        <f>SUM($F30:AJ30)</f>
        <v>87189</v>
      </c>
      <c r="AL30" s="22"/>
    </row>
    <row r="31" spans="1:46" x14ac:dyDescent="0.35">
      <c r="A31" t="s">
        <v>1536</v>
      </c>
      <c r="B31" t="s">
        <v>1578</v>
      </c>
      <c r="C31" s="5">
        <v>44910</v>
      </c>
      <c r="D31" s="3">
        <v>87189</v>
      </c>
      <c r="E31" s="6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>
        <v>87189</v>
      </c>
      <c r="AG31" s="3"/>
      <c r="AH31" s="3"/>
      <c r="AI31" s="3"/>
      <c r="AK31" s="3">
        <f>SUM($F31:AJ31)</f>
        <v>87189</v>
      </c>
      <c r="AL31" s="22"/>
    </row>
    <row r="32" spans="1:46" x14ac:dyDescent="0.35">
      <c r="A32" s="41" t="s">
        <v>1537</v>
      </c>
      <c r="B32" t="s">
        <v>1539</v>
      </c>
      <c r="C32" s="5">
        <v>44911</v>
      </c>
      <c r="D32" s="3">
        <v>173855</v>
      </c>
      <c r="E32" s="6" t="s">
        <v>1345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>
        <v>173855</v>
      </c>
      <c r="AF32" s="3"/>
      <c r="AG32" s="3"/>
      <c r="AH32" s="3"/>
      <c r="AI32" s="3"/>
      <c r="AK32" s="3">
        <f>SUM($F32:AJ32)</f>
        <v>173855</v>
      </c>
      <c r="AL32" s="22"/>
    </row>
    <row r="33" spans="1:38" x14ac:dyDescent="0.35">
      <c r="A33" s="41" t="s">
        <v>1538</v>
      </c>
      <c r="B33" t="s">
        <v>1540</v>
      </c>
      <c r="C33" s="5">
        <v>44911</v>
      </c>
      <c r="D33" s="3">
        <v>91189</v>
      </c>
      <c r="E33" s="6" t="s">
        <v>1441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>
        <f>SUM($F33:AJ33)</f>
        <v>0</v>
      </c>
      <c r="AL33" s="22"/>
    </row>
    <row r="34" spans="1:38" x14ac:dyDescent="0.35">
      <c r="A34" t="s">
        <v>1547</v>
      </c>
      <c r="B34" t="s">
        <v>1546</v>
      </c>
      <c r="C34" s="5">
        <v>44912</v>
      </c>
      <c r="D34" s="3">
        <v>169856</v>
      </c>
      <c r="E34" s="6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>
        <v>169856</v>
      </c>
      <c r="AG34" s="3"/>
      <c r="AH34" s="3"/>
      <c r="AI34" s="3"/>
      <c r="AK34" s="3">
        <f>SUM($F34:AJ34)</f>
        <v>169856</v>
      </c>
      <c r="AL34" s="22"/>
    </row>
    <row r="35" spans="1:38" x14ac:dyDescent="0.35">
      <c r="A35" s="41" t="s">
        <v>1565</v>
      </c>
      <c r="B35" t="s">
        <v>1564</v>
      </c>
      <c r="C35" s="5">
        <v>44917</v>
      </c>
      <c r="D35" s="3">
        <v>49855</v>
      </c>
      <c r="E35" s="6" t="s">
        <v>1505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">
        <f>SUM($F35:AJ35)</f>
        <v>0</v>
      </c>
      <c r="AL35" s="22"/>
    </row>
    <row r="36" spans="1:38" x14ac:dyDescent="0.35">
      <c r="A36" t="s">
        <v>1567</v>
      </c>
      <c r="B36" t="s">
        <v>1566</v>
      </c>
      <c r="C36" s="5">
        <v>44917</v>
      </c>
      <c r="D36" s="3">
        <v>45855</v>
      </c>
      <c r="E36" s="6" t="s">
        <v>782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0</v>
      </c>
      <c r="AL36" s="22"/>
    </row>
    <row r="37" spans="1:38" x14ac:dyDescent="0.35">
      <c r="A37" t="s">
        <v>1569</v>
      </c>
      <c r="B37" t="s">
        <v>1568</v>
      </c>
      <c r="C37" s="5">
        <v>44917</v>
      </c>
      <c r="D37" s="3">
        <v>45855</v>
      </c>
      <c r="E37" s="6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</row>
    <row r="38" spans="1:38" x14ac:dyDescent="0.35">
      <c r="A38" s="41" t="s">
        <v>1571</v>
      </c>
      <c r="B38" t="s">
        <v>1570</v>
      </c>
      <c r="C38" s="5">
        <v>44917</v>
      </c>
      <c r="D38" s="3">
        <v>132522</v>
      </c>
      <c r="E38" s="6" t="s">
        <v>1345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0</v>
      </c>
      <c r="AL38" s="22"/>
    </row>
    <row r="39" spans="1:38" x14ac:dyDescent="0.35">
      <c r="A39" s="41" t="s">
        <v>1576</v>
      </c>
      <c r="B39" t="s">
        <v>1572</v>
      </c>
      <c r="C39" s="5">
        <v>44919</v>
      </c>
      <c r="D39" s="3">
        <v>132522</v>
      </c>
      <c r="E39" s="6" t="s">
        <v>1345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  <c r="AL39" s="22"/>
    </row>
    <row r="40" spans="1:38" x14ac:dyDescent="0.35">
      <c r="A40" s="41" t="s">
        <v>1594</v>
      </c>
      <c r="B40" t="s">
        <v>1593</v>
      </c>
      <c r="C40" s="5">
        <v>44923</v>
      </c>
      <c r="D40" s="3">
        <v>107181</v>
      </c>
      <c r="E40" s="6" t="s">
        <v>1441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0</v>
      </c>
      <c r="AL40" s="22"/>
    </row>
    <row r="41" spans="1:38" x14ac:dyDescent="0.35">
      <c r="A41" t="s">
        <v>1596</v>
      </c>
      <c r="B41" t="s">
        <v>1595</v>
      </c>
      <c r="C41" s="5">
        <v>44923</v>
      </c>
      <c r="D41" s="3">
        <v>54066</v>
      </c>
      <c r="E41" s="6" t="s">
        <v>782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K41" s="3">
        <f>SUM($F41:AJ41)</f>
        <v>0</v>
      </c>
      <c r="AL41" s="22"/>
    </row>
    <row r="42" spans="1:38" x14ac:dyDescent="0.35">
      <c r="A42" t="s">
        <v>1598</v>
      </c>
      <c r="B42" t="s">
        <v>1597</v>
      </c>
      <c r="C42" s="5">
        <v>44923</v>
      </c>
      <c r="D42" s="3">
        <v>87189</v>
      </c>
      <c r="E42" s="6" t="s">
        <v>782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K42" s="3">
        <f>SUM($F42:AJ42)</f>
        <v>0</v>
      </c>
      <c r="AL42" s="22"/>
    </row>
    <row r="43" spans="1:38" x14ac:dyDescent="0.35">
      <c r="A43" s="41" t="s">
        <v>1600</v>
      </c>
      <c r="B43" t="s">
        <v>1599</v>
      </c>
      <c r="C43" s="5">
        <v>44924</v>
      </c>
      <c r="D43" s="3">
        <v>87189</v>
      </c>
      <c r="E43" s="6" t="s">
        <v>1505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K43" s="3">
        <f>SUM($F43:AJ43)</f>
        <v>0</v>
      </c>
      <c r="AL43" s="22"/>
    </row>
    <row r="44" spans="1:38" x14ac:dyDescent="0.35">
      <c r="A44" t="s">
        <v>1601</v>
      </c>
      <c r="B44" t="s">
        <v>1602</v>
      </c>
      <c r="C44" s="5">
        <v>44924</v>
      </c>
      <c r="D44" s="3">
        <v>87189</v>
      </c>
      <c r="E44" s="6" t="s">
        <v>782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K44" s="3">
        <f>SUM($F44:AJ44)</f>
        <v>0</v>
      </c>
      <c r="AL44" s="22"/>
    </row>
    <row r="45" spans="1:38" x14ac:dyDescent="0.35">
      <c r="A45" t="s">
        <v>1603</v>
      </c>
      <c r="B45" t="s">
        <v>1604</v>
      </c>
      <c r="C45" s="5">
        <v>44924</v>
      </c>
      <c r="D45" s="3">
        <v>87189</v>
      </c>
      <c r="E45" s="6" t="s">
        <v>782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K45" s="3">
        <f>SUM($F45:AJ45)</f>
        <v>0</v>
      </c>
      <c r="AL45" s="22"/>
    </row>
    <row r="46" spans="1:38" x14ac:dyDescent="0.35">
      <c r="A46" t="s">
        <v>1613</v>
      </c>
      <c r="B46" t="s">
        <v>1614</v>
      </c>
      <c r="C46" s="5">
        <v>44928</v>
      </c>
      <c r="D46" s="3">
        <v>406647</v>
      </c>
      <c r="E46" s="6" t="s">
        <v>1345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0</v>
      </c>
      <c r="AL46" s="22"/>
    </row>
    <row r="47" spans="1:38" x14ac:dyDescent="0.35">
      <c r="A47" t="s">
        <v>1609</v>
      </c>
      <c r="B47" t="s">
        <v>1610</v>
      </c>
      <c r="C47" s="5">
        <v>44928</v>
      </c>
      <c r="D47" s="3">
        <v>45855</v>
      </c>
      <c r="E47" s="6" t="s">
        <v>782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K47" s="3">
        <f>SUM($F47:AJ47)</f>
        <v>0</v>
      </c>
      <c r="AL47" s="22"/>
    </row>
    <row r="48" spans="1:38" x14ac:dyDescent="0.35">
      <c r="A48" t="s">
        <v>1611</v>
      </c>
      <c r="B48" t="s">
        <v>1612</v>
      </c>
      <c r="C48" s="5">
        <v>44928</v>
      </c>
      <c r="D48" s="3">
        <v>45855</v>
      </c>
      <c r="E48" s="6" t="s">
        <v>782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K48" s="3">
        <f>SUM($F48:AJ48)</f>
        <v>0</v>
      </c>
      <c r="AL48" s="22"/>
    </row>
    <row r="49" spans="1:38" x14ac:dyDescent="0.35">
      <c r="C49" s="5"/>
      <c r="D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K49" s="3"/>
      <c r="AL49" s="22"/>
    </row>
    <row r="50" spans="1:38" x14ac:dyDescent="0.35">
      <c r="C50" s="5"/>
      <c r="D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K50" s="3"/>
      <c r="AL50" s="22"/>
    </row>
    <row r="51" spans="1:38" x14ac:dyDescent="0.35">
      <c r="C51" s="5"/>
      <c r="D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K51" s="3"/>
      <c r="AL51" s="22"/>
    </row>
    <row r="52" spans="1:38" x14ac:dyDescent="0.35">
      <c r="C52" s="5"/>
      <c r="D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K52" s="3"/>
      <c r="AL52" s="22"/>
    </row>
    <row r="53" spans="1:38" x14ac:dyDescent="0.35">
      <c r="C53" s="5"/>
      <c r="D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K53" s="3"/>
      <c r="AL53" s="22"/>
    </row>
    <row r="54" spans="1:38" x14ac:dyDescent="0.35">
      <c r="C54" s="5"/>
      <c r="D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K54" s="3"/>
      <c r="AL54" s="22"/>
    </row>
    <row r="55" spans="1:38" x14ac:dyDescent="0.35">
      <c r="C55" s="5"/>
      <c r="D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K55" s="3">
        <f>SUM($F55:AJ55)</f>
        <v>0</v>
      </c>
      <c r="AL55" s="22" t="s">
        <v>1352</v>
      </c>
    </row>
    <row r="56" spans="1:38" x14ac:dyDescent="0.35">
      <c r="A56" s="2" t="s">
        <v>1676</v>
      </c>
      <c r="D56" s="3">
        <f>SUM(D13:D48)</f>
        <v>3804999</v>
      </c>
      <c r="F56" s="3">
        <f t="shared" ref="F56:AJ56" si="1">SUM(F5:F55)</f>
        <v>0</v>
      </c>
      <c r="G56" s="3">
        <f t="shared" si="1"/>
        <v>218566</v>
      </c>
      <c r="H56" s="3">
        <f t="shared" si="1"/>
        <v>0</v>
      </c>
      <c r="I56" s="3">
        <f t="shared" si="1"/>
        <v>0</v>
      </c>
      <c r="J56" s="3">
        <f t="shared" si="1"/>
        <v>130975</v>
      </c>
      <c r="K56" s="3">
        <f t="shared" si="1"/>
        <v>0</v>
      </c>
      <c r="L56" s="3">
        <f t="shared" si="1"/>
        <v>176308</v>
      </c>
      <c r="M56" s="3">
        <f t="shared" si="1"/>
        <v>0</v>
      </c>
      <c r="N56" s="3">
        <f t="shared" si="1"/>
        <v>0</v>
      </c>
      <c r="O56" s="3">
        <f t="shared" si="1"/>
        <v>0</v>
      </c>
      <c r="P56" s="3">
        <f t="shared" si="1"/>
        <v>0</v>
      </c>
      <c r="Q56" s="3">
        <f t="shared" si="1"/>
        <v>301234</v>
      </c>
      <c r="R56" s="3">
        <f t="shared" si="1"/>
        <v>0</v>
      </c>
      <c r="S56" s="3">
        <f t="shared" si="1"/>
        <v>0</v>
      </c>
      <c r="T56" s="3">
        <f t="shared" si="1"/>
        <v>0</v>
      </c>
      <c r="U56" s="3">
        <f t="shared" si="1"/>
        <v>0</v>
      </c>
      <c r="V56" s="3">
        <f t="shared" si="1"/>
        <v>0</v>
      </c>
      <c r="W56" s="3">
        <f t="shared" si="1"/>
        <v>0</v>
      </c>
      <c r="X56" s="3">
        <f t="shared" si="1"/>
        <v>1111863</v>
      </c>
      <c r="Y56" s="3">
        <f t="shared" si="1"/>
        <v>0</v>
      </c>
      <c r="Z56" s="3">
        <f t="shared" si="1"/>
        <v>0</v>
      </c>
      <c r="AA56" s="3">
        <f t="shared" si="1"/>
        <v>0</v>
      </c>
      <c r="AB56" s="3">
        <f t="shared" si="1"/>
        <v>0</v>
      </c>
      <c r="AC56" s="3">
        <f t="shared" si="1"/>
        <v>0</v>
      </c>
      <c r="AD56" s="3">
        <f t="shared" si="1"/>
        <v>0</v>
      </c>
      <c r="AE56" s="3">
        <f t="shared" si="1"/>
        <v>372377</v>
      </c>
      <c r="AF56" s="3">
        <f t="shared" si="1"/>
        <v>435944</v>
      </c>
      <c r="AG56" s="3">
        <f t="shared" si="1"/>
        <v>0</v>
      </c>
      <c r="AH56" s="3">
        <f t="shared" si="1"/>
        <v>0</v>
      </c>
      <c r="AI56" s="3">
        <f t="shared" si="1"/>
        <v>0</v>
      </c>
      <c r="AJ56" s="3">
        <f t="shared" si="1"/>
        <v>0</v>
      </c>
      <c r="AK56" s="72">
        <f>SUM(AK6:AK55)</f>
        <v>2747267</v>
      </c>
      <c r="AL56" s="22">
        <f>+D57-AK56</f>
        <v>1755889</v>
      </c>
    </row>
    <row r="57" spans="1:38" x14ac:dyDescent="0.35">
      <c r="A57" s="2" t="s">
        <v>1780</v>
      </c>
      <c r="D57" s="3">
        <f>SUM(D6:D48)</f>
        <v>4503156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8" x14ac:dyDescent="0.35">
      <c r="A58" s="2" t="s">
        <v>2</v>
      </c>
      <c r="F58" s="3"/>
      <c r="G58" s="3"/>
      <c r="H58" s="3"/>
      <c r="I58" s="3"/>
      <c r="J58" s="3"/>
      <c r="K58" s="3"/>
      <c r="L58" s="3" t="s">
        <v>13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8" x14ac:dyDescent="0.35">
      <c r="A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8" x14ac:dyDescent="0.35">
      <c r="A60" t="s">
        <v>1140</v>
      </c>
      <c r="B60" t="s">
        <v>337</v>
      </c>
      <c r="C60" s="5" t="s">
        <v>13</v>
      </c>
      <c r="D60" s="3">
        <f>+'Jun-22'!D35</f>
        <v>242556.17000000004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K60" s="3">
        <f>SUM($F60:AJ60)</f>
        <v>0</v>
      </c>
    </row>
    <row r="61" spans="1:38" x14ac:dyDescent="0.35">
      <c r="A61" t="s">
        <v>1141</v>
      </c>
      <c r="B61" t="s">
        <v>337</v>
      </c>
      <c r="C61" s="5" t="s">
        <v>13</v>
      </c>
      <c r="D61" s="3">
        <f>+'Nov-22'!D45</f>
        <v>534883.75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K61" s="3">
        <f>SUM($F61:AJ61)</f>
        <v>0</v>
      </c>
    </row>
    <row r="62" spans="1:38" x14ac:dyDescent="0.35">
      <c r="A62" t="s">
        <v>1844</v>
      </c>
      <c r="B62" t="s">
        <v>337</v>
      </c>
      <c r="C62" s="5" t="s">
        <v>13</v>
      </c>
      <c r="D62" s="3">
        <f>+'Ago-22'!D32</f>
        <v>191740.62000000002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K62" s="3">
        <f>SUM($F62:AJ62)</f>
        <v>0</v>
      </c>
    </row>
    <row r="63" spans="1:38" x14ac:dyDescent="0.35">
      <c r="A63" t="s">
        <v>1616</v>
      </c>
      <c r="B63" t="s">
        <v>337</v>
      </c>
      <c r="C63" s="5"/>
      <c r="D63" s="3">
        <f>+'Sep-22'!D36</f>
        <v>120331.61000000002</v>
      </c>
      <c r="E63" s="22" t="s">
        <v>13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K63" s="3">
        <f>SUM($F63:AJ63)</f>
        <v>0</v>
      </c>
      <c r="AL63" s="6" t="s">
        <v>13</v>
      </c>
    </row>
    <row r="64" spans="1:38" x14ac:dyDescent="0.35">
      <c r="A64" s="41" t="s">
        <v>1617</v>
      </c>
      <c r="B64" t="s">
        <v>337</v>
      </c>
      <c r="C64" s="5"/>
      <c r="D64" s="3">
        <f>+'Oct-22'!D52</f>
        <v>425755.82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K64" s="3">
        <f>SUM($F64:AJ64)</f>
        <v>0</v>
      </c>
      <c r="AL64" s="6" t="s">
        <v>13</v>
      </c>
    </row>
    <row r="65" spans="1:38" x14ac:dyDescent="0.35">
      <c r="A65" s="41" t="s">
        <v>1841</v>
      </c>
      <c r="C65" s="5"/>
      <c r="D65" s="3">
        <f>+'Nov-22'!D49</f>
        <v>368324.65880000003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K65" s="3">
        <f>SUM($F65:AJ65)</f>
        <v>0</v>
      </c>
    </row>
    <row r="66" spans="1:38" x14ac:dyDescent="0.35">
      <c r="A66" s="41" t="s">
        <v>1842</v>
      </c>
      <c r="C66" s="5"/>
      <c r="D66" s="3">
        <f>+AK56*0.17</f>
        <v>467035.39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K66" s="3">
        <f>SUM($F66:AJ66)</f>
        <v>0</v>
      </c>
      <c r="AL66" s="6" t="s">
        <v>1846</v>
      </c>
    </row>
    <row r="67" spans="1:38" x14ac:dyDescent="0.35">
      <c r="A67" s="4" t="s">
        <v>629</v>
      </c>
      <c r="B67" s="24" t="s">
        <v>337</v>
      </c>
      <c r="C67" s="67"/>
      <c r="D67" s="3">
        <v>500000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K67" s="3">
        <f>SUM($F67:AJ67)</f>
        <v>0</v>
      </c>
    </row>
    <row r="68" spans="1:38" x14ac:dyDescent="0.35">
      <c r="A68" s="4" t="s">
        <v>952</v>
      </c>
      <c r="B68" s="24" t="s">
        <v>337</v>
      </c>
      <c r="C68" s="5"/>
      <c r="D68" s="3">
        <v>2400000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K68" s="3">
        <f>SUM($F68:AJ68)</f>
        <v>0</v>
      </c>
    </row>
    <row r="69" spans="1:38" x14ac:dyDescent="0.35">
      <c r="A69" s="4" t="s">
        <v>1008</v>
      </c>
      <c r="B69" s="24" t="s">
        <v>337</v>
      </c>
      <c r="C69" s="5"/>
      <c r="D69" s="3">
        <v>2400000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K69" s="3">
        <f>SUM($F69:AJ69)</f>
        <v>0</v>
      </c>
    </row>
    <row r="70" spans="1:38" x14ac:dyDescent="0.35">
      <c r="A70" s="4" t="s">
        <v>1197</v>
      </c>
      <c r="B70" s="24" t="s">
        <v>1198</v>
      </c>
      <c r="C70" s="5">
        <v>44781</v>
      </c>
      <c r="D70" s="71">
        <v>290360</v>
      </c>
      <c r="E70" s="6" t="s">
        <v>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K70" s="3">
        <f>SUM($F70:AJ70)</f>
        <v>0</v>
      </c>
    </row>
    <row r="71" spans="1:38" x14ac:dyDescent="0.35">
      <c r="A71" s="4" t="s">
        <v>1309</v>
      </c>
      <c r="B71" t="s">
        <v>1310</v>
      </c>
      <c r="C71" s="67">
        <v>44782</v>
      </c>
      <c r="D71" s="289">
        <v>928200</v>
      </c>
      <c r="E71" s="15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K71" s="3">
        <f>SUM($F71:AJ71)</f>
        <v>0</v>
      </c>
      <c r="AL71" s="22"/>
    </row>
    <row r="72" spans="1:38" x14ac:dyDescent="0.35">
      <c r="A72" s="4" t="s">
        <v>1161</v>
      </c>
      <c r="B72" s="24" t="s">
        <v>1194</v>
      </c>
      <c r="C72" s="5">
        <v>44784</v>
      </c>
      <c r="D72" s="71">
        <v>24280</v>
      </c>
      <c r="E72" s="153" t="s">
        <v>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K72" s="3">
        <f>SUM($F72:AJ72)</f>
        <v>0</v>
      </c>
      <c r="AL72" s="22"/>
    </row>
    <row r="73" spans="1:38" x14ac:dyDescent="0.35">
      <c r="A73" s="4" t="s">
        <v>1195</v>
      </c>
      <c r="B73" s="24" t="s">
        <v>1196</v>
      </c>
      <c r="C73" s="67">
        <v>44784</v>
      </c>
      <c r="D73" s="71">
        <v>35990</v>
      </c>
      <c r="E73" s="153" t="s">
        <v>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K73" s="3">
        <f>SUM($F73:AJ73)</f>
        <v>0</v>
      </c>
      <c r="AL73" s="22"/>
    </row>
    <row r="74" spans="1:38" x14ac:dyDescent="0.35">
      <c r="A74" s="4" t="s">
        <v>1201</v>
      </c>
      <c r="B74" s="24" t="s">
        <v>1202</v>
      </c>
      <c r="C74" s="67">
        <v>44785</v>
      </c>
      <c r="D74" s="71">
        <v>12670</v>
      </c>
      <c r="E74" s="153" t="s">
        <v>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K74" s="3">
        <f>SUM($F74:AJ74)</f>
        <v>0</v>
      </c>
      <c r="AL74" s="22"/>
    </row>
    <row r="75" spans="1:38" x14ac:dyDescent="0.35">
      <c r="A75" s="4" t="s">
        <v>1203</v>
      </c>
      <c r="B75" s="24" t="s">
        <v>1204</v>
      </c>
      <c r="C75" s="67">
        <v>44785</v>
      </c>
      <c r="D75" s="71">
        <v>1790</v>
      </c>
      <c r="E75" s="153" t="s">
        <v>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K75" s="3">
        <f>SUM($F75:AJ75)</f>
        <v>0</v>
      </c>
      <c r="AL75" s="22"/>
    </row>
    <row r="76" spans="1:38" x14ac:dyDescent="0.35">
      <c r="A76" s="4" t="s">
        <v>1218</v>
      </c>
      <c r="B76" s="24" t="s">
        <v>1219</v>
      </c>
      <c r="C76" s="67">
        <v>44791</v>
      </c>
      <c r="D76" s="71">
        <v>10990</v>
      </c>
      <c r="E76" s="153" t="s">
        <v>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K76" s="3">
        <f>SUM($F76:AJ76)</f>
        <v>0</v>
      </c>
      <c r="AL76" s="22"/>
    </row>
    <row r="77" spans="1:38" x14ac:dyDescent="0.35">
      <c r="A77" s="4" t="s">
        <v>1221</v>
      </c>
      <c r="B77" s="24" t="s">
        <v>1220</v>
      </c>
      <c r="C77" s="67">
        <v>44791</v>
      </c>
      <c r="D77" s="71">
        <v>2990</v>
      </c>
      <c r="E77" s="153" t="s">
        <v>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>
        <f>SUM($F77:AJ77)</f>
        <v>0</v>
      </c>
      <c r="AL77" s="22"/>
    </row>
    <row r="78" spans="1:38" x14ac:dyDescent="0.35">
      <c r="A78" s="4" t="s">
        <v>1437</v>
      </c>
      <c r="B78" t="s">
        <v>1438</v>
      </c>
      <c r="C78" s="67">
        <v>44882</v>
      </c>
      <c r="D78" s="3">
        <v>29765</v>
      </c>
      <c r="E78" s="153"/>
      <c r="F78" s="3"/>
      <c r="G78" s="3"/>
      <c r="H78" s="3"/>
      <c r="I78" s="3"/>
      <c r="J78" s="3"/>
      <c r="K78" s="3"/>
      <c r="L78" s="3"/>
      <c r="M78" s="3"/>
      <c r="N78" s="3" t="s">
        <v>13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>
        <f>SUM($F78:AJ78)</f>
        <v>0</v>
      </c>
      <c r="AL78" s="22"/>
    </row>
    <row r="79" spans="1:38" x14ac:dyDescent="0.35">
      <c r="A79" s="4" t="s">
        <v>1161</v>
      </c>
      <c r="B79" t="s">
        <v>1481</v>
      </c>
      <c r="C79" s="67">
        <v>44883</v>
      </c>
      <c r="D79" s="3">
        <v>8500</v>
      </c>
      <c r="E79" s="153" t="s">
        <v>1291</v>
      </c>
      <c r="F79" s="3"/>
      <c r="G79" s="3"/>
      <c r="H79" s="3"/>
      <c r="I79" s="3"/>
      <c r="J79" s="3"/>
      <c r="K79" s="3"/>
      <c r="L79" s="3"/>
      <c r="M79" s="3"/>
      <c r="N79" s="3"/>
      <c r="P79" s="3"/>
      <c r="Q79" s="3">
        <v>8500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>
        <f>SUM($F79:AJ79)</f>
        <v>8500</v>
      </c>
      <c r="AL79" s="22" t="s">
        <v>13</v>
      </c>
    </row>
    <row r="80" spans="1:38" x14ac:dyDescent="0.35">
      <c r="A80" s="4" t="s">
        <v>1161</v>
      </c>
      <c r="B80" t="s">
        <v>1482</v>
      </c>
      <c r="C80" s="67">
        <v>44893</v>
      </c>
      <c r="D80" s="3">
        <v>22310</v>
      </c>
      <c r="E80" s="153" t="s">
        <v>1291</v>
      </c>
      <c r="F80" s="3"/>
      <c r="G80" s="3"/>
      <c r="H80" s="3"/>
      <c r="I80" s="3"/>
      <c r="J80" s="3"/>
      <c r="K80" s="3"/>
      <c r="L80" s="3"/>
      <c r="M80" s="3"/>
      <c r="N80" s="3"/>
      <c r="P80" s="3"/>
      <c r="Q80" s="3">
        <v>22310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f>SUM($F80:AJ80)</f>
        <v>22310</v>
      </c>
      <c r="AL80" s="22" t="s">
        <v>13</v>
      </c>
    </row>
    <row r="81" spans="1:38" x14ac:dyDescent="0.35">
      <c r="A81" s="4" t="s">
        <v>1434</v>
      </c>
      <c r="C81" s="67">
        <v>44894</v>
      </c>
      <c r="D81" s="3">
        <f>+(6.1+6.1+2.3)*1350/9</f>
        <v>2175</v>
      </c>
      <c r="E81" s="153"/>
      <c r="F81" s="3"/>
      <c r="G81" s="3"/>
      <c r="H81" s="3"/>
      <c r="I81" s="3"/>
      <c r="J81" s="3"/>
      <c r="K81" s="3"/>
      <c r="L81" s="3"/>
      <c r="M81" s="3"/>
      <c r="N81" s="3"/>
      <c r="P81" s="3"/>
      <c r="Q81" s="3">
        <f>+(6.1+6.1+2.3)*1350/9</f>
        <v>2175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>
        <f>SUM($F81:AJ81)</f>
        <v>2175</v>
      </c>
      <c r="AL81" s="22" t="s">
        <v>13</v>
      </c>
    </row>
    <row r="82" spans="1:38" x14ac:dyDescent="0.35">
      <c r="A82" s="4" t="s">
        <v>1470</v>
      </c>
      <c r="C82" s="67">
        <v>44894</v>
      </c>
      <c r="D82" s="3">
        <f>600+800+700</f>
        <v>2100</v>
      </c>
      <c r="E82" s="153"/>
      <c r="F82" s="3"/>
      <c r="G82" s="3"/>
      <c r="H82" s="3"/>
      <c r="I82" s="3"/>
      <c r="J82" s="3"/>
      <c r="K82" s="3"/>
      <c r="L82" s="3"/>
      <c r="M82" s="3"/>
      <c r="N82" s="3"/>
      <c r="P82" s="3"/>
      <c r="Q82" s="3">
        <f>600+800+700</f>
        <v>2100</v>
      </c>
      <c r="R82" s="3"/>
      <c r="S82" s="3"/>
      <c r="T82" s="3"/>
      <c r="U82" s="3"/>
      <c r="V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>
        <f>SUM($F82:AJ82)</f>
        <v>2100</v>
      </c>
      <c r="AL82" s="22" t="s">
        <v>13</v>
      </c>
    </row>
    <row r="83" spans="1:38" x14ac:dyDescent="0.35">
      <c r="A83" s="4" t="s">
        <v>1468</v>
      </c>
      <c r="B83" t="s">
        <v>1469</v>
      </c>
      <c r="C83" s="67">
        <v>44895</v>
      </c>
      <c r="D83" s="3">
        <v>26990</v>
      </c>
      <c r="E83" s="153" t="s">
        <v>4</v>
      </c>
      <c r="F83" s="3"/>
      <c r="G83" s="3"/>
      <c r="H83" s="3"/>
      <c r="I83" s="3"/>
      <c r="J83" s="3"/>
      <c r="K83" s="3"/>
      <c r="L83" s="3"/>
      <c r="M83" s="3"/>
      <c r="N83" s="3"/>
      <c r="P83" s="3"/>
      <c r="Q83" s="3">
        <v>26990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>
        <f>SUM($F83:AJ83)</f>
        <v>26990</v>
      </c>
      <c r="AL83" s="22" t="s">
        <v>13</v>
      </c>
    </row>
    <row r="84" spans="1:38" x14ac:dyDescent="0.35">
      <c r="A84" s="4" t="s">
        <v>1522</v>
      </c>
      <c r="B84" t="s">
        <v>1525</v>
      </c>
      <c r="C84" s="67">
        <v>44895</v>
      </c>
      <c r="D84" s="107">
        <v>16730</v>
      </c>
      <c r="E84" s="153" t="s">
        <v>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>
        <f>SUM($F84:AJ84)</f>
        <v>0</v>
      </c>
      <c r="AL84" s="22" t="s">
        <v>13</v>
      </c>
    </row>
    <row r="85" spans="1:38" x14ac:dyDescent="0.35">
      <c r="A85" s="4" t="s">
        <v>1161</v>
      </c>
      <c r="B85" s="24" t="s">
        <v>1483</v>
      </c>
      <c r="C85" s="5">
        <v>44896</v>
      </c>
      <c r="D85" s="7">
        <v>17200</v>
      </c>
      <c r="E85" s="153" t="s">
        <v>1293</v>
      </c>
      <c r="F85" s="3"/>
      <c r="G85" s="3"/>
      <c r="H85" s="3"/>
      <c r="I85" s="3"/>
      <c r="J85" s="3"/>
      <c r="K85" s="3">
        <v>17200</v>
      </c>
      <c r="L85" s="3"/>
      <c r="M85" s="3"/>
      <c r="N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>
        <f>SUM($F85:AJ85)</f>
        <v>17200</v>
      </c>
      <c r="AL85" s="22" t="s">
        <v>83</v>
      </c>
    </row>
    <row r="86" spans="1:38" x14ac:dyDescent="0.35">
      <c r="A86" s="4" t="s">
        <v>1510</v>
      </c>
      <c r="C86" s="67">
        <v>44896</v>
      </c>
      <c r="D86" s="3">
        <v>27870</v>
      </c>
      <c r="E86" s="153" t="s">
        <v>4</v>
      </c>
      <c r="F86" s="3"/>
      <c r="G86" s="3"/>
      <c r="H86" s="3"/>
      <c r="I86" s="3"/>
      <c r="J86" s="3"/>
      <c r="K86" s="3"/>
      <c r="L86" s="3"/>
      <c r="M86" s="3"/>
      <c r="N86" s="3"/>
      <c r="P86" s="3"/>
      <c r="Q86" s="3">
        <v>27870</v>
      </c>
      <c r="R86" s="3"/>
      <c r="S86" s="3"/>
      <c r="T86" s="3"/>
      <c r="U86" s="3"/>
      <c r="V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>
        <f>SUM($F86:AJ86)</f>
        <v>27870</v>
      </c>
      <c r="AL86" s="22" t="s">
        <v>81</v>
      </c>
    </row>
    <row r="87" spans="1:38" x14ac:dyDescent="0.35">
      <c r="A87" s="4" t="s">
        <v>1510</v>
      </c>
      <c r="B87" s="61" t="s">
        <v>1660</v>
      </c>
      <c r="C87" s="67">
        <v>44896</v>
      </c>
      <c r="D87" s="71">
        <v>27870</v>
      </c>
      <c r="E87" s="153" t="s">
        <v>4</v>
      </c>
      <c r="F87" s="3"/>
      <c r="G87" s="3"/>
      <c r="H87" s="3"/>
      <c r="I87" s="3"/>
      <c r="J87" s="3"/>
      <c r="K87" s="3"/>
      <c r="L87" s="3"/>
      <c r="M87" s="3"/>
      <c r="N87" s="3"/>
      <c r="P87" s="3"/>
      <c r="Q87" s="71">
        <v>27870</v>
      </c>
      <c r="R87" s="3"/>
      <c r="S87" s="3"/>
      <c r="T87" s="3"/>
      <c r="U87" s="3"/>
      <c r="V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71">
        <f>SUM($F87:AJ87)</f>
        <v>27870</v>
      </c>
      <c r="AL87" s="22" t="s">
        <v>13</v>
      </c>
    </row>
    <row r="88" spans="1:38" x14ac:dyDescent="0.35">
      <c r="A88" s="4" t="s">
        <v>1517</v>
      </c>
      <c r="B88" t="s">
        <v>1524</v>
      </c>
      <c r="C88" s="67">
        <v>44896</v>
      </c>
      <c r="D88" s="3">
        <v>17940</v>
      </c>
      <c r="E88" s="153" t="s">
        <v>4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Y88" s="3"/>
      <c r="Z88" s="3"/>
      <c r="AA88" s="3"/>
      <c r="AB88" s="3"/>
      <c r="AC88" s="3"/>
      <c r="AD88" s="3"/>
      <c r="AE88" s="3"/>
      <c r="AF88" s="3">
        <f>+D88</f>
        <v>17940</v>
      </c>
      <c r="AG88" s="3"/>
      <c r="AH88" s="3"/>
      <c r="AI88" s="3"/>
      <c r="AJ88" s="3"/>
      <c r="AK88" s="3">
        <f>SUM($F88:AJ88)</f>
        <v>17940</v>
      </c>
      <c r="AL88" s="22" t="s">
        <v>81</v>
      </c>
    </row>
    <row r="89" spans="1:38" x14ac:dyDescent="0.35">
      <c r="A89" s="4" t="s">
        <v>1444</v>
      </c>
      <c r="B89" t="s">
        <v>1484</v>
      </c>
      <c r="C89" s="67">
        <v>44897</v>
      </c>
      <c r="D89" s="3">
        <v>16800</v>
      </c>
      <c r="E89" s="153" t="s">
        <v>1293</v>
      </c>
      <c r="F89" s="3"/>
      <c r="G89" s="3"/>
      <c r="H89" s="3"/>
      <c r="I89" s="3"/>
      <c r="J89" s="3"/>
      <c r="K89" s="3">
        <v>16800</v>
      </c>
      <c r="L89" s="3"/>
      <c r="M89" s="3"/>
      <c r="N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>
        <f>SUM($F89:AJ89)</f>
        <v>16800</v>
      </c>
      <c r="AL89" s="22" t="s">
        <v>83</v>
      </c>
    </row>
    <row r="90" spans="1:38" x14ac:dyDescent="0.35">
      <c r="A90" s="4" t="s">
        <v>1316</v>
      </c>
      <c r="C90" s="67">
        <v>44898</v>
      </c>
      <c r="D90" s="3">
        <f>106640-D85-D89</f>
        <v>72640</v>
      </c>
      <c r="E90" s="153"/>
      <c r="F90" s="3"/>
      <c r="G90" s="3"/>
      <c r="H90" s="3"/>
      <c r="I90" s="3"/>
      <c r="J90" s="3"/>
      <c r="K90" s="3">
        <f>+D90</f>
        <v>72640</v>
      </c>
      <c r="L90" s="3"/>
      <c r="M90" s="3"/>
      <c r="N90" s="3"/>
      <c r="P90" s="3"/>
      <c r="Q90" s="3"/>
      <c r="R90" s="3"/>
      <c r="S90" s="3"/>
      <c r="T90" s="3"/>
      <c r="U90" s="3"/>
      <c r="V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>
        <f>SUM($F90:AJ90)</f>
        <v>72640</v>
      </c>
      <c r="AL90" s="22" t="s">
        <v>1846</v>
      </c>
    </row>
    <row r="91" spans="1:38" x14ac:dyDescent="0.35">
      <c r="A91" s="4" t="s">
        <v>1620</v>
      </c>
      <c r="C91" s="67">
        <v>44900</v>
      </c>
      <c r="D91" s="3">
        <v>13905</v>
      </c>
      <c r="E91" s="153"/>
      <c r="F91" s="3"/>
      <c r="G91" s="3"/>
      <c r="H91" s="3"/>
      <c r="I91" s="3"/>
      <c r="J91" s="3">
        <v>13905</v>
      </c>
      <c r="K91" s="3"/>
      <c r="L91" s="3"/>
      <c r="M91" s="3"/>
      <c r="N91" s="3"/>
      <c r="P91" s="3"/>
      <c r="Q91" s="3"/>
      <c r="R91" s="3"/>
      <c r="S91" s="3"/>
      <c r="T91" s="3"/>
      <c r="U91" s="3"/>
      <c r="V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>
        <f>SUM($F91:AJ91)</f>
        <v>13905</v>
      </c>
      <c r="AL91" s="22" t="s">
        <v>1557</v>
      </c>
    </row>
    <row r="92" spans="1:38" x14ac:dyDescent="0.35">
      <c r="A92" s="4" t="s">
        <v>1491</v>
      </c>
      <c r="B92" t="s">
        <v>1492</v>
      </c>
      <c r="C92" s="67">
        <v>44901</v>
      </c>
      <c r="D92" s="3">
        <v>26989</v>
      </c>
      <c r="E92" s="153"/>
      <c r="F92" s="3"/>
      <c r="G92" s="3"/>
      <c r="H92" s="3"/>
      <c r="I92" s="3"/>
      <c r="J92" s="3"/>
      <c r="K92" s="3">
        <v>26989</v>
      </c>
      <c r="L92" s="3"/>
      <c r="M92" s="3"/>
      <c r="N92" s="3"/>
      <c r="P92" s="3"/>
      <c r="Q92" s="3"/>
      <c r="R92" s="3"/>
      <c r="S92" s="3"/>
      <c r="T92" s="3"/>
      <c r="U92" s="3"/>
      <c r="V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>
        <f>SUM($F92:AJ92)</f>
        <v>26989</v>
      </c>
      <c r="AL92" s="22" t="s">
        <v>81</v>
      </c>
    </row>
    <row r="93" spans="1:38" x14ac:dyDescent="0.35">
      <c r="A93" s="4" t="s">
        <v>1493</v>
      </c>
      <c r="C93" s="67">
        <v>44901</v>
      </c>
      <c r="D93" s="3">
        <f>+(12.8+15.6)*1350/9+431+873+1150</f>
        <v>6714</v>
      </c>
      <c r="E93" s="153"/>
      <c r="F93" s="3"/>
      <c r="G93" s="3"/>
      <c r="H93" s="3"/>
      <c r="I93" s="3"/>
      <c r="J93" s="3"/>
      <c r="K93" s="3"/>
      <c r="L93" s="3"/>
      <c r="M93" s="3"/>
      <c r="N93" s="3"/>
      <c r="P93" s="3"/>
      <c r="Q93" s="3">
        <f>+(12.8+15.6)*1350/9+431+873+1150</f>
        <v>6714</v>
      </c>
      <c r="R93" s="3"/>
      <c r="S93" s="3"/>
      <c r="T93" s="3"/>
      <c r="U93" s="3"/>
      <c r="V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>
        <f>SUM($F93:AJ93)</f>
        <v>6714</v>
      </c>
      <c r="AL93" s="22" t="s">
        <v>1846</v>
      </c>
    </row>
    <row r="94" spans="1:38" x14ac:dyDescent="0.35">
      <c r="A94" s="4" t="s">
        <v>1647</v>
      </c>
      <c r="B94" s="24" t="s">
        <v>1648</v>
      </c>
      <c r="C94" s="67">
        <v>44901</v>
      </c>
      <c r="D94" s="3">
        <v>1100</v>
      </c>
      <c r="E94" s="153"/>
      <c r="F94" s="3"/>
      <c r="G94" s="3"/>
      <c r="H94" s="3"/>
      <c r="I94" s="3"/>
      <c r="J94" s="3"/>
      <c r="K94" s="3"/>
      <c r="L94" s="3"/>
      <c r="M94" s="3"/>
      <c r="N94" s="3"/>
      <c r="P94" s="3"/>
      <c r="Q94" s="3"/>
      <c r="R94" s="3"/>
      <c r="S94" s="3"/>
      <c r="T94" s="3"/>
      <c r="U94" s="3"/>
      <c r="V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>
        <f>SUM($F94:AJ94)</f>
        <v>0</v>
      </c>
      <c r="AL94" s="22" t="s">
        <v>1846</v>
      </c>
    </row>
    <row r="95" spans="1:38" x14ac:dyDescent="0.35">
      <c r="A95" s="4" t="s">
        <v>1751</v>
      </c>
      <c r="B95" s="24"/>
      <c r="C95" s="5">
        <v>45267</v>
      </c>
      <c r="D95" s="3">
        <v>51388</v>
      </c>
      <c r="E95" s="153" t="s">
        <v>4</v>
      </c>
      <c r="F95" s="3"/>
      <c r="G95" s="3"/>
      <c r="H95" s="3"/>
      <c r="I95" s="3"/>
      <c r="J95" s="3"/>
      <c r="K95" s="3"/>
      <c r="L95" s="3"/>
      <c r="M95" s="3"/>
      <c r="N95" s="3"/>
      <c r="P95" s="3"/>
      <c r="Q95" s="3"/>
      <c r="R95" s="3"/>
      <c r="S95" s="3"/>
      <c r="T95" s="3"/>
      <c r="U95" s="3"/>
      <c r="V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>
        <f>SUM($F95:AJ95)</f>
        <v>0</v>
      </c>
      <c r="AL95" s="22" t="s">
        <v>81</v>
      </c>
    </row>
    <row r="96" spans="1:38" x14ac:dyDescent="0.35">
      <c r="A96" s="4" t="s">
        <v>1494</v>
      </c>
      <c r="C96" s="67">
        <v>44902</v>
      </c>
      <c r="D96" s="3">
        <f>+(12.8+15.6)*1350/9+431+873+1150</f>
        <v>6714</v>
      </c>
      <c r="E96" s="153"/>
      <c r="F96" s="3"/>
      <c r="G96" s="3"/>
      <c r="H96" s="3"/>
      <c r="I96" s="3"/>
      <c r="J96" s="3"/>
      <c r="K96" s="3"/>
      <c r="L96" s="3"/>
      <c r="M96" s="3"/>
      <c r="N96" s="3"/>
      <c r="P96" s="3"/>
      <c r="Q96" s="3">
        <f>+(12.8+15.6)*1350/9+431+873+1150</f>
        <v>6714</v>
      </c>
      <c r="R96" s="3"/>
      <c r="S96" s="3"/>
      <c r="T96" s="3"/>
      <c r="U96" s="3"/>
      <c r="V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>
        <f>SUM($F96:AJ96)</f>
        <v>6714</v>
      </c>
      <c r="AL96" s="22" t="s">
        <v>1846</v>
      </c>
    </row>
    <row r="97" spans="1:38" x14ac:dyDescent="0.35">
      <c r="A97" s="4" t="s">
        <v>1495</v>
      </c>
      <c r="B97" t="s">
        <v>1497</v>
      </c>
      <c r="C97" s="67">
        <v>44902</v>
      </c>
      <c r="D97" s="3">
        <v>16660</v>
      </c>
      <c r="E97" s="153" t="s">
        <v>503</v>
      </c>
      <c r="F97" s="3"/>
      <c r="G97" s="3"/>
      <c r="H97" s="3"/>
      <c r="I97" s="3"/>
      <c r="J97" s="3"/>
      <c r="K97" s="3"/>
      <c r="L97" s="3"/>
      <c r="M97" s="3"/>
      <c r="N97" s="3"/>
      <c r="P97" s="3"/>
      <c r="Q97" s="3"/>
      <c r="R97" s="3"/>
      <c r="S97" s="3"/>
      <c r="T97" s="3"/>
      <c r="U97" s="3">
        <v>16660</v>
      </c>
      <c r="V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>
        <f>SUM($F97:AJ97)</f>
        <v>16660</v>
      </c>
      <c r="AL97" s="22" t="s">
        <v>83</v>
      </c>
    </row>
    <row r="98" spans="1:38" x14ac:dyDescent="0.35">
      <c r="A98" s="4" t="s">
        <v>1496</v>
      </c>
      <c r="B98" t="s">
        <v>1498</v>
      </c>
      <c r="C98" s="67">
        <v>44902</v>
      </c>
      <c r="D98" s="3">
        <v>4760</v>
      </c>
      <c r="E98" s="153" t="s">
        <v>503</v>
      </c>
      <c r="F98" s="3"/>
      <c r="G98" s="3"/>
      <c r="H98" s="3"/>
      <c r="I98" s="3"/>
      <c r="J98" s="3"/>
      <c r="K98" s="3"/>
      <c r="L98" s="3"/>
      <c r="M98" s="3"/>
      <c r="N98" s="3"/>
      <c r="P98" s="3"/>
      <c r="Q98" s="3"/>
      <c r="R98" s="3"/>
      <c r="S98" s="3"/>
      <c r="T98" s="3"/>
      <c r="U98" s="3">
        <v>4760</v>
      </c>
      <c r="V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>
        <f>SUM($F98:AJ98)</f>
        <v>4760</v>
      </c>
      <c r="AL98" s="22" t="s">
        <v>82</v>
      </c>
    </row>
    <row r="99" spans="1:38" x14ac:dyDescent="0.35">
      <c r="A99" s="4" t="s">
        <v>1442</v>
      </c>
      <c r="B99" t="s">
        <v>1553</v>
      </c>
      <c r="C99" s="67">
        <v>44903</v>
      </c>
      <c r="D99" s="3">
        <v>68190</v>
      </c>
      <c r="E99" s="153" t="s">
        <v>1293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Y99" s="3">
        <f>+D99</f>
        <v>68190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>
        <f>SUM($F99:AJ99)</f>
        <v>68190</v>
      </c>
      <c r="AL99" s="22" t="s">
        <v>83</v>
      </c>
    </row>
    <row r="100" spans="1:38" x14ac:dyDescent="0.35">
      <c r="A100" s="4" t="s">
        <v>1508</v>
      </c>
      <c r="B100" t="s">
        <v>1509</v>
      </c>
      <c r="C100" s="67">
        <v>44904</v>
      </c>
      <c r="D100" s="7">
        <v>119000</v>
      </c>
      <c r="E100" s="153" t="s">
        <v>503</v>
      </c>
      <c r="F100" s="3"/>
      <c r="G100" s="3"/>
      <c r="H100" s="3"/>
      <c r="I100" s="3"/>
      <c r="J100" s="3"/>
      <c r="K100" s="3"/>
      <c r="L100" s="3"/>
      <c r="M100" s="3"/>
      <c r="N100" s="3"/>
      <c r="P100" s="3"/>
      <c r="Q100" s="3"/>
      <c r="R100" s="3"/>
      <c r="S100" s="3"/>
      <c r="T100" s="3"/>
      <c r="U100" s="3">
        <v>119000</v>
      </c>
      <c r="V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7">
        <f>SUM($F100:AJ100)</f>
        <v>119000</v>
      </c>
      <c r="AL100" s="22" t="s">
        <v>82</v>
      </c>
    </row>
    <row r="101" spans="1:38" x14ac:dyDescent="0.35">
      <c r="A101" s="4" t="s">
        <v>1494</v>
      </c>
      <c r="C101" s="67">
        <v>44904</v>
      </c>
      <c r="D101" s="3">
        <f>+(12.8+15.6)*1350/9+431+873+1150</f>
        <v>6714</v>
      </c>
      <c r="E101" s="153"/>
      <c r="F101" s="3"/>
      <c r="G101" s="3"/>
      <c r="H101" s="3"/>
      <c r="I101" s="3"/>
      <c r="J101" s="3"/>
      <c r="K101" s="3"/>
      <c r="L101" s="3"/>
      <c r="M101" s="3"/>
      <c r="N101" s="3"/>
      <c r="P101" s="3"/>
      <c r="Q101" s="3">
        <f>+(12.8+15.6)*1350/9+431+873+1150</f>
        <v>6714</v>
      </c>
      <c r="R101" s="3"/>
      <c r="S101" s="3"/>
      <c r="T101" s="3"/>
      <c r="U101" s="3"/>
      <c r="V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>
        <f>SUM($F101:AJ101)</f>
        <v>6714</v>
      </c>
      <c r="AL101" s="22" t="s">
        <v>1846</v>
      </c>
    </row>
    <row r="102" spans="1:38" x14ac:dyDescent="0.35">
      <c r="A102" s="4" t="s">
        <v>1526</v>
      </c>
      <c r="B102" t="s">
        <v>1527</v>
      </c>
      <c r="C102" s="67">
        <v>44904</v>
      </c>
      <c r="D102" s="107">
        <v>11490</v>
      </c>
      <c r="E102" s="153" t="s">
        <v>4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>
        <f>SUM($F102:AJ102)</f>
        <v>0</v>
      </c>
      <c r="AL102" s="22"/>
    </row>
    <row r="103" spans="1:38" x14ac:dyDescent="0.35">
      <c r="A103" s="4" t="s">
        <v>1442</v>
      </c>
      <c r="B103" t="s">
        <v>1555</v>
      </c>
      <c r="C103" s="67">
        <v>44905</v>
      </c>
      <c r="D103" s="3">
        <v>65050</v>
      </c>
      <c r="E103" s="153" t="s">
        <v>1293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Y103" s="3">
        <f>+D103</f>
        <v>65050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>
        <f>SUM($F103:AJ103)</f>
        <v>65050</v>
      </c>
      <c r="AL103" s="22" t="s">
        <v>83</v>
      </c>
    </row>
    <row r="104" spans="1:38" x14ac:dyDescent="0.35">
      <c r="A104" s="4" t="s">
        <v>1528</v>
      </c>
      <c r="B104" t="s">
        <v>1529</v>
      </c>
      <c r="C104" s="67">
        <v>44908</v>
      </c>
      <c r="D104" s="3">
        <v>142800</v>
      </c>
      <c r="E104" s="15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>
        <f>SUM($F104:AJ104)</f>
        <v>0</v>
      </c>
      <c r="AL104" s="22" t="s">
        <v>83</v>
      </c>
    </row>
    <row r="105" spans="1:38" x14ac:dyDescent="0.35">
      <c r="A105" s="4" t="s">
        <v>1556</v>
      </c>
      <c r="C105" s="67">
        <v>44908</v>
      </c>
      <c r="D105" s="3">
        <f>82*2*1350/9+6000</f>
        <v>30600</v>
      </c>
      <c r="E105" s="15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Y105" s="3"/>
      <c r="Z105" s="3"/>
      <c r="AA105" s="3"/>
      <c r="AB105" s="3"/>
      <c r="AC105" s="3"/>
      <c r="AD105" s="3"/>
      <c r="AE105" s="3">
        <f>+D105</f>
        <v>30600</v>
      </c>
      <c r="AG105" s="3"/>
      <c r="AH105" s="3"/>
      <c r="AI105" s="3"/>
      <c r="AJ105" s="3"/>
      <c r="AK105" s="3">
        <f>SUM($F105:AJ105)</f>
        <v>30600</v>
      </c>
      <c r="AL105" s="22" t="s">
        <v>1846</v>
      </c>
    </row>
    <row r="106" spans="1:38" x14ac:dyDescent="0.35">
      <c r="A106" s="4" t="s">
        <v>1549</v>
      </c>
      <c r="B106" t="s">
        <v>1550</v>
      </c>
      <c r="C106" s="67">
        <v>44910</v>
      </c>
      <c r="D106" s="3">
        <v>6850</v>
      </c>
      <c r="E106" s="153" t="s">
        <v>1291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Y106" s="3"/>
      <c r="Z106" s="3"/>
      <c r="AA106" s="3"/>
      <c r="AB106" s="3"/>
      <c r="AC106" s="3"/>
      <c r="AD106" s="3"/>
      <c r="AE106" s="3">
        <f>+D106</f>
        <v>6850</v>
      </c>
      <c r="AG106" s="3"/>
      <c r="AH106" s="3"/>
      <c r="AI106" s="3"/>
      <c r="AJ106" s="3"/>
      <c r="AK106" s="3">
        <f>SUM($F106:AJ106)</f>
        <v>6850</v>
      </c>
      <c r="AL106" s="22" t="s">
        <v>83</v>
      </c>
    </row>
    <row r="107" spans="1:38" x14ac:dyDescent="0.35">
      <c r="A107" s="4" t="s">
        <v>1161</v>
      </c>
      <c r="B107" t="s">
        <v>1554</v>
      </c>
      <c r="C107" s="67">
        <v>44910</v>
      </c>
      <c r="D107" s="3">
        <v>8500</v>
      </c>
      <c r="E107" s="153" t="s">
        <v>1291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Y107" s="3"/>
      <c r="Z107" s="3"/>
      <c r="AA107" s="3"/>
      <c r="AB107" s="3"/>
      <c r="AC107" s="3"/>
      <c r="AD107" s="3"/>
      <c r="AE107" s="3">
        <f>+D107</f>
        <v>8500</v>
      </c>
      <c r="AG107" s="3"/>
      <c r="AH107" s="3"/>
      <c r="AI107" s="3"/>
      <c r="AJ107" s="3"/>
      <c r="AK107" s="3">
        <f>SUM($F107:AJ107)</f>
        <v>8500</v>
      </c>
      <c r="AL107" s="22" t="s">
        <v>83</v>
      </c>
    </row>
    <row r="108" spans="1:38" x14ac:dyDescent="0.35">
      <c r="A108" s="4" t="s">
        <v>1541</v>
      </c>
      <c r="B108" t="s">
        <v>1542</v>
      </c>
      <c r="C108" s="67">
        <v>44911</v>
      </c>
      <c r="D108" s="3">
        <v>33320</v>
      </c>
      <c r="E108" s="153" t="s">
        <v>503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Y108" s="3"/>
      <c r="Z108" s="3"/>
      <c r="AA108" s="3"/>
      <c r="AB108" s="3"/>
      <c r="AC108" s="3"/>
      <c r="AD108" s="3"/>
      <c r="AE108" s="3"/>
      <c r="AG108" s="22">
        <v>33320</v>
      </c>
      <c r="AH108" s="3"/>
      <c r="AI108" s="3"/>
      <c r="AJ108" s="3"/>
      <c r="AK108" s="3">
        <f>SUM($F108:AJ108)</f>
        <v>33320</v>
      </c>
      <c r="AL108" s="22" t="s">
        <v>83</v>
      </c>
    </row>
    <row r="109" spans="1:38" x14ac:dyDescent="0.35">
      <c r="A109" s="4" t="s">
        <v>1544</v>
      </c>
      <c r="B109" t="s">
        <v>1543</v>
      </c>
      <c r="C109" s="67">
        <v>44911</v>
      </c>
      <c r="D109" s="3">
        <v>93354</v>
      </c>
      <c r="E109" s="153" t="s">
        <v>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Y109" s="3"/>
      <c r="Z109" s="3"/>
      <c r="AA109" s="3"/>
      <c r="AB109" s="3"/>
      <c r="AC109" s="3"/>
      <c r="AD109" s="3"/>
      <c r="AE109" s="3">
        <f>+D109</f>
        <v>93354</v>
      </c>
      <c r="AG109" s="3"/>
      <c r="AH109" s="3"/>
      <c r="AI109" s="3"/>
      <c r="AJ109" s="3"/>
      <c r="AK109" s="3">
        <f>SUM($F109:AJ109)</f>
        <v>93354</v>
      </c>
      <c r="AL109" s="22" t="s">
        <v>83</v>
      </c>
    </row>
    <row r="110" spans="1:38" x14ac:dyDescent="0.35">
      <c r="A110" s="4" t="s">
        <v>2237</v>
      </c>
      <c r="B110" t="s">
        <v>1545</v>
      </c>
      <c r="C110" s="67">
        <v>44911</v>
      </c>
      <c r="D110" s="3">
        <v>7140</v>
      </c>
      <c r="E110" s="153" t="s">
        <v>503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>
        <v>7140</v>
      </c>
      <c r="V110" s="3"/>
      <c r="Y110" s="3"/>
      <c r="Z110" s="3"/>
      <c r="AA110" s="3"/>
      <c r="AB110" s="3"/>
      <c r="AC110" s="3"/>
      <c r="AD110" s="3"/>
      <c r="AE110" s="3"/>
      <c r="AG110" s="3"/>
      <c r="AH110" s="3"/>
      <c r="AI110" s="3"/>
      <c r="AJ110" s="3"/>
      <c r="AK110" s="3">
        <f>SUM($F110:AJ110)</f>
        <v>7140</v>
      </c>
      <c r="AL110" s="22" t="s">
        <v>81</v>
      </c>
    </row>
    <row r="111" spans="1:38" x14ac:dyDescent="0.35">
      <c r="A111" s="4" t="s">
        <v>1161</v>
      </c>
      <c r="B111" s="24" t="s">
        <v>1548</v>
      </c>
      <c r="C111" s="5">
        <v>44912</v>
      </c>
      <c r="D111" s="7">
        <v>9390</v>
      </c>
      <c r="E111" s="153" t="s">
        <v>4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Y111" s="3"/>
      <c r="Z111" s="3"/>
      <c r="AA111" s="3"/>
      <c r="AB111" s="3"/>
      <c r="AC111" s="3"/>
      <c r="AD111" s="3"/>
      <c r="AE111" s="3">
        <f>+D111</f>
        <v>9390</v>
      </c>
      <c r="AG111" s="3"/>
      <c r="AH111" s="3"/>
      <c r="AI111" s="3"/>
      <c r="AJ111" s="3"/>
      <c r="AK111" s="3">
        <f>SUM($F111:AJ111)</f>
        <v>9390</v>
      </c>
      <c r="AL111" s="22" t="s">
        <v>83</v>
      </c>
    </row>
    <row r="112" spans="1:38" x14ac:dyDescent="0.35">
      <c r="A112" s="4" t="s">
        <v>1161</v>
      </c>
      <c r="B112" s="24" t="s">
        <v>1551</v>
      </c>
      <c r="C112" s="5">
        <v>44915</v>
      </c>
      <c r="D112" s="7">
        <v>18770</v>
      </c>
      <c r="E112" s="153" t="s">
        <v>4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Y112" s="3"/>
      <c r="Z112" s="3"/>
      <c r="AA112" s="3"/>
      <c r="AB112" s="3"/>
      <c r="AC112" s="3"/>
      <c r="AD112" s="3"/>
      <c r="AE112" s="3">
        <f>+D112</f>
        <v>18770</v>
      </c>
      <c r="AG112" s="3"/>
      <c r="AH112" s="3"/>
      <c r="AI112" s="3"/>
      <c r="AJ112" s="3"/>
      <c r="AK112" s="3">
        <f>SUM($F112:AJ112)</f>
        <v>18770</v>
      </c>
      <c r="AL112" s="22" t="s">
        <v>83</v>
      </c>
    </row>
    <row r="113" spans="1:47" x14ac:dyDescent="0.35">
      <c r="A113" s="4" t="s">
        <v>1552</v>
      </c>
      <c r="C113" s="67">
        <v>44915</v>
      </c>
      <c r="D113" s="3">
        <f>234969-D99-D103</f>
        <v>101729</v>
      </c>
      <c r="E113" s="153" t="s">
        <v>503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Y113" s="3">
        <f>+D113</f>
        <v>101729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>
        <f>SUM($F113:AJ113)</f>
        <v>101729</v>
      </c>
      <c r="AL113" s="22" t="s">
        <v>1846</v>
      </c>
    </row>
    <row r="114" spans="1:47" x14ac:dyDescent="0.35">
      <c r="A114" s="4" t="s">
        <v>1573</v>
      </c>
      <c r="C114" s="67">
        <v>44919</v>
      </c>
      <c r="D114" s="3">
        <v>198911</v>
      </c>
      <c r="E114" s="153" t="s">
        <v>503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Y114" s="3"/>
      <c r="Z114" s="3"/>
      <c r="AA114" s="3"/>
      <c r="AB114" s="3"/>
      <c r="AC114" s="3"/>
      <c r="AD114" s="3"/>
      <c r="AE114" s="3">
        <v>198911</v>
      </c>
      <c r="AF114" s="3"/>
      <c r="AG114" s="3"/>
      <c r="AH114" s="3"/>
      <c r="AI114" s="3"/>
      <c r="AJ114" s="3"/>
      <c r="AK114" s="3">
        <f>SUM($F114:AJ114)</f>
        <v>198911</v>
      </c>
      <c r="AL114" s="22" t="s">
        <v>13</v>
      </c>
    </row>
    <row r="115" spans="1:47" x14ac:dyDescent="0.35">
      <c r="A115" s="4" t="s">
        <v>1574</v>
      </c>
      <c r="B115" t="s">
        <v>1575</v>
      </c>
      <c r="C115" s="67">
        <v>44921</v>
      </c>
      <c r="D115" s="3">
        <v>7140</v>
      </c>
      <c r="E115" s="153" t="s">
        <v>503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Y115" s="3"/>
      <c r="Z115" s="3"/>
      <c r="AA115" s="3"/>
      <c r="AB115" s="3"/>
      <c r="AC115" s="3"/>
      <c r="AD115" s="3"/>
      <c r="AE115" s="3">
        <v>7140</v>
      </c>
      <c r="AF115" s="3"/>
      <c r="AG115" s="3"/>
      <c r="AH115" s="3"/>
      <c r="AI115" s="3"/>
      <c r="AJ115" s="3"/>
      <c r="AK115" s="3">
        <f>SUM($F115:AJ115)</f>
        <v>7140</v>
      </c>
      <c r="AL115" s="22" t="s">
        <v>81</v>
      </c>
    </row>
    <row r="116" spans="1:47" x14ac:dyDescent="0.35">
      <c r="A116" s="4" t="s">
        <v>1579</v>
      </c>
      <c r="C116" s="67">
        <v>27</v>
      </c>
      <c r="D116" s="3">
        <v>16000</v>
      </c>
      <c r="E116" s="153" t="s">
        <v>503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Y116" s="3"/>
      <c r="Z116" s="3"/>
      <c r="AA116" s="3"/>
      <c r="AB116" s="3"/>
      <c r="AC116" s="3"/>
      <c r="AD116" s="3"/>
      <c r="AE116" s="3"/>
      <c r="AF116" s="3"/>
      <c r="AG116" s="3">
        <v>16000</v>
      </c>
      <c r="AH116" s="3"/>
      <c r="AI116" s="3"/>
      <c r="AJ116" s="3"/>
      <c r="AK116" s="3">
        <f>SUM($F116:AJ116)</f>
        <v>16000</v>
      </c>
      <c r="AL116" s="22" t="s">
        <v>1846</v>
      </c>
    </row>
    <row r="117" spans="1:47" x14ac:dyDescent="0.35">
      <c r="A117" s="4" t="s">
        <v>1161</v>
      </c>
      <c r="B117" s="24" t="s">
        <v>1580</v>
      </c>
      <c r="C117" s="5">
        <v>44922</v>
      </c>
      <c r="D117" s="7">
        <v>47010</v>
      </c>
      <c r="E117" s="153" t="s">
        <v>1291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>
        <f>SUM($F117:AJ117)</f>
        <v>0</v>
      </c>
      <c r="AL117" s="22" t="s">
        <v>83</v>
      </c>
    </row>
    <row r="118" spans="1:47" ht="15" thickBot="1" x14ac:dyDescent="0.4">
      <c r="A118" s="4" t="s">
        <v>1541</v>
      </c>
      <c r="B118" t="s">
        <v>1590</v>
      </c>
      <c r="C118" s="67">
        <v>44923</v>
      </c>
      <c r="D118" s="3">
        <v>33320</v>
      </c>
      <c r="E118" s="153" t="s">
        <v>503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>
        <f>SUM($F118:AJ118)</f>
        <v>0</v>
      </c>
      <c r="AL118" s="22" t="s">
        <v>83</v>
      </c>
      <c r="AQ118" t="s">
        <v>13</v>
      </c>
    </row>
    <row r="119" spans="1:47" ht="15" thickBot="1" x14ac:dyDescent="0.4">
      <c r="A119" s="4" t="s">
        <v>1493</v>
      </c>
      <c r="C119" s="67">
        <v>44923</v>
      </c>
      <c r="D119" s="3">
        <f>+(12.8+15.6)*1350/9+431+873+1150</f>
        <v>6714</v>
      </c>
      <c r="E119" s="15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>
        <f>SUM($F119:AJ119)</f>
        <v>0</v>
      </c>
      <c r="AL119" s="22" t="s">
        <v>1846</v>
      </c>
      <c r="AR119" s="219" t="s">
        <v>1674</v>
      </c>
      <c r="AU119" s="6" t="s">
        <v>1849</v>
      </c>
    </row>
    <row r="120" spans="1:47" x14ac:dyDescent="0.35">
      <c r="A120" s="4" t="s">
        <v>1605</v>
      </c>
      <c r="C120" s="67">
        <v>44924</v>
      </c>
      <c r="D120" s="3">
        <f>+(6.1+6.1+2.3)*1350/9</f>
        <v>2175</v>
      </c>
      <c r="E120" s="15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>
        <f>SUM($F120:AJ120)</f>
        <v>0</v>
      </c>
      <c r="AL120" s="22" t="s">
        <v>1846</v>
      </c>
      <c r="AO120" s="110" t="s">
        <v>1674</v>
      </c>
      <c r="AP120" s="36"/>
      <c r="AQ120" s="66"/>
      <c r="AR120" s="220" t="s">
        <v>1663</v>
      </c>
    </row>
    <row r="121" spans="1:47" ht="15" thickBot="1" x14ac:dyDescent="0.4">
      <c r="A121" s="4" t="s">
        <v>1607</v>
      </c>
      <c r="B121" t="s">
        <v>1608</v>
      </c>
      <c r="C121" s="67">
        <v>44924</v>
      </c>
      <c r="D121" s="3">
        <v>33499</v>
      </c>
      <c r="E121" s="153" t="s">
        <v>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>
        <f>SUM($F121:AJ121)</f>
        <v>0</v>
      </c>
      <c r="AL121" s="22" t="s">
        <v>83</v>
      </c>
      <c r="AM121" t="s">
        <v>317</v>
      </c>
      <c r="AN121" s="64" t="e">
        <f>+[2]Hoja1!$L$159+[3]Hoja1!#REF!</f>
        <v>#REF!</v>
      </c>
      <c r="AO121" s="357" t="e">
        <f>+[3]Hoja1!#REF!</f>
        <v>#REF!</v>
      </c>
      <c r="AP121" s="41" t="s">
        <v>1663</v>
      </c>
      <c r="AR121" s="379" t="e">
        <f>+'Ago-22'!AO71+'Sep-22'!AO71+'Oct-22'!AO98+'Nov-22'!AO97+'Dic-22'!AO121</f>
        <v>#REF!</v>
      </c>
    </row>
    <row r="122" spans="1:47" x14ac:dyDescent="0.35">
      <c r="A122" s="4"/>
      <c r="C122" s="67"/>
      <c r="D122" s="3"/>
      <c r="E122" s="15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22"/>
      <c r="AM122" s="11" t="s">
        <v>91</v>
      </c>
      <c r="AN122" s="348">
        <f>+D56/1.19</f>
        <v>3197478.1512605045</v>
      </c>
      <c r="AO122" s="257">
        <f>+(SUMIF(E13:E48,"MD",D13:D48)+SUMIF(E13:E48,"MK",D13:D48))/1.19</f>
        <v>1710304.2016806724</v>
      </c>
      <c r="AP122" s="11" t="s">
        <v>91</v>
      </c>
      <c r="AQ122" s="348">
        <f>+'Ago-22'!AN72+'Sep-22'!AN72+'Oct-22'!AN99+'Nov-22'!AN98+'Dic-22'!AN122</f>
        <v>8756703.0588235296</v>
      </c>
      <c r="AR122" s="185">
        <f>+'Ago-22'!AO72+'Sep-22'!AO72+'Oct-22'!AO99+'Nov-22'!AO98+'Dic-22'!AO122</f>
        <v>4182571.9663865548</v>
      </c>
      <c r="AU122" s="288" t="s">
        <v>13</v>
      </c>
    </row>
    <row r="123" spans="1:47" x14ac:dyDescent="0.35">
      <c r="A123" s="4" t="s">
        <v>1467</v>
      </c>
      <c r="B123" s="24">
        <f>92.58/8</f>
        <v>11.5725</v>
      </c>
      <c r="C123" s="67">
        <v>44924</v>
      </c>
      <c r="D123" s="3">
        <f>+B123*C124</f>
        <v>406061.08762499999</v>
      </c>
      <c r="E123" s="15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Y123" s="3"/>
      <c r="Z123" s="3"/>
      <c r="AA123" s="3"/>
      <c r="AB123" s="3"/>
      <c r="AC123" s="3"/>
      <c r="AD123" s="3"/>
      <c r="AE123" s="3"/>
      <c r="AF123" s="3"/>
      <c r="AG123" s="3"/>
      <c r="AH123" s="3">
        <f>+D123</f>
        <v>406061.08762499999</v>
      </c>
      <c r="AI123" s="3"/>
      <c r="AK123" s="3">
        <f>SUM($F123:AI123)</f>
        <v>406061.08762499999</v>
      </c>
      <c r="AL123" s="22" t="s">
        <v>13</v>
      </c>
      <c r="AM123" s="14" t="s">
        <v>1558</v>
      </c>
      <c r="AN123" s="342">
        <f>+SUMIF(AL85:AL125,"CD",D85:D125)/1.19</f>
        <v>513204.2016806723</v>
      </c>
      <c r="AO123" s="185" t="e">
        <f>+AN123*AO$121/AN$121</f>
        <v>#REF!</v>
      </c>
      <c r="AP123" s="14" t="s">
        <v>1558</v>
      </c>
      <c r="AQ123" s="342">
        <f>+'Ago-22'!AN73+'Sep-22'!AN73+'Oct-22'!AN100+'Nov-22'!AN99+'Dic-22'!AN123</f>
        <v>1638364.7058823532</v>
      </c>
      <c r="AR123" s="185" t="e">
        <f>+'Ago-22'!AO73+'Sep-22'!AO73+'Oct-22'!AO100+'Nov-22'!AO99+'Dic-22'!AO123</f>
        <v>#REF!</v>
      </c>
      <c r="AU123" s="359" t="s">
        <v>13</v>
      </c>
    </row>
    <row r="124" spans="1:47" x14ac:dyDescent="0.35">
      <c r="A124" s="4"/>
      <c r="B124" s="67" t="s">
        <v>933</v>
      </c>
      <c r="C124" s="236">
        <v>35088.449999999997</v>
      </c>
      <c r="E124" s="153"/>
      <c r="F124" s="3" t="s">
        <v>13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Y124" s="3"/>
      <c r="AJ124" s="3"/>
      <c r="AK124" s="3"/>
      <c r="AL124" s="22"/>
      <c r="AM124" s="14" t="s">
        <v>1559</v>
      </c>
      <c r="AN124" s="342">
        <f>+AN122-AN123</f>
        <v>2684273.9495798321</v>
      </c>
      <c r="AO124" s="185" t="e">
        <f>+AO122-AO123</f>
        <v>#REF!</v>
      </c>
      <c r="AP124" s="14" t="s">
        <v>1559</v>
      </c>
      <c r="AQ124" s="342">
        <f>+AQ122-AQ123</f>
        <v>7118338.3529411759</v>
      </c>
      <c r="AR124" s="185" t="e">
        <f>+AR122-AR123</f>
        <v>#REF!</v>
      </c>
    </row>
    <row r="125" spans="1:47" x14ac:dyDescent="0.35">
      <c r="A125" s="4" t="s">
        <v>1615</v>
      </c>
      <c r="B125" s="24">
        <f>92.58/8</f>
        <v>11.5725</v>
      </c>
      <c r="C125" s="67">
        <v>44924</v>
      </c>
      <c r="D125" s="3">
        <f>+B125*C124</f>
        <v>406061.08762499999</v>
      </c>
      <c r="E125" s="15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Y125" s="3"/>
      <c r="AJ125" s="3"/>
      <c r="AK125" s="3"/>
      <c r="AL125" s="22" t="s">
        <v>1557</v>
      </c>
      <c r="AM125" s="14" t="s">
        <v>1560</v>
      </c>
      <c r="AN125" s="349">
        <f>+AN124/AN122</f>
        <v>0.83949719829098512</v>
      </c>
      <c r="AO125" s="356" t="e">
        <f>+AO124/AO122</f>
        <v>#REF!</v>
      </c>
      <c r="AP125" s="14" t="s">
        <v>1560</v>
      </c>
      <c r="AQ125" s="349">
        <f>+AQ124/AQ122</f>
        <v>0.81290164861403102</v>
      </c>
      <c r="AR125" s="356" t="e">
        <f>+AR124/AR122</f>
        <v>#REF!</v>
      </c>
    </row>
    <row r="126" spans="1:47" x14ac:dyDescent="0.35">
      <c r="A126" s="4"/>
      <c r="B126" s="67"/>
      <c r="C126" s="236"/>
      <c r="E126" s="15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Y126" s="3"/>
      <c r="AJ126" s="3"/>
      <c r="AK126" s="3"/>
      <c r="AL126" s="22"/>
      <c r="AM126" s="14" t="s">
        <v>81</v>
      </c>
      <c r="AN126" s="342">
        <f>+SUMIF(AL60:AL123,"GAV",D60:D123)/1.19+SUMIF(AL60:AL123,"REM",D60:D123)</f>
        <v>834494.21352941182</v>
      </c>
      <c r="AO126" s="384" t="e">
        <f>+AN126*AO$121/AN$121+(600000+300000)*5/10</f>
        <v>#REF!</v>
      </c>
      <c r="AP126" s="14" t="s">
        <v>81</v>
      </c>
      <c r="AQ126" s="342">
        <f>+'Ago-22'!AN76+'Sep-22'!AN76+'Oct-22'!AN103+'Nov-22'!AN102+'Dic-22'!AN126</f>
        <v>2462228.8280250235</v>
      </c>
      <c r="AR126" s="185" t="e">
        <f>+'Ago-22'!AO76+'Sep-22'!AO76+'Oct-22'!AO103+'Nov-22'!AO102+'Dic-22'!AO126</f>
        <v>#REF!</v>
      </c>
      <c r="AT126" t="s">
        <v>13</v>
      </c>
    </row>
    <row r="127" spans="1:47" x14ac:dyDescent="0.35">
      <c r="A127" s="4"/>
      <c r="B127" s="67"/>
      <c r="C127" s="236"/>
      <c r="E127" s="15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Y127" s="3"/>
      <c r="AJ127" s="3"/>
      <c r="AK127" s="3"/>
      <c r="AL127" s="22"/>
      <c r="AM127" s="14" t="s">
        <v>1561</v>
      </c>
      <c r="AN127" s="342">
        <f>+AN124-AN126</f>
        <v>1849779.7360504204</v>
      </c>
      <c r="AO127" s="374" t="e">
        <f>+AO124-AO126</f>
        <v>#REF!</v>
      </c>
      <c r="AP127" s="14" t="s">
        <v>1561</v>
      </c>
      <c r="AQ127" s="342">
        <f>+AQ124-AQ126</f>
        <v>4656109.5249161525</v>
      </c>
      <c r="AR127" s="185" t="e">
        <f>+AR124-AR126</f>
        <v>#REF!</v>
      </c>
      <c r="AS127" s="385" t="e">
        <f>+AO127/AO122</f>
        <v>#REF!</v>
      </c>
      <c r="AT127" t="s">
        <v>13</v>
      </c>
      <c r="AU127" s="3" t="e">
        <f>+AR127*0.65</f>
        <v>#REF!</v>
      </c>
    </row>
    <row r="128" spans="1:47" x14ac:dyDescent="0.35">
      <c r="A128" s="4"/>
      <c r="B128" s="67"/>
      <c r="C128" s="236"/>
      <c r="E128" s="15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Y128" s="3"/>
      <c r="AJ128" s="3"/>
      <c r="AK128" s="3"/>
      <c r="AL128" s="22"/>
      <c r="AM128" s="14" t="s">
        <v>1563</v>
      </c>
      <c r="AN128" s="342">
        <f>+SUMIF(AL85:AL125,"GF",D85:D125)</f>
        <v>419966.08762499999</v>
      </c>
      <c r="AO128" s="185">
        <v>0</v>
      </c>
      <c r="AP128" s="14" t="s">
        <v>1563</v>
      </c>
      <c r="AQ128" s="342">
        <f>+'Ago-22'!AN78+'Sep-22'!AN78+'Oct-22'!AN105+'Nov-22'!AN104+'Dic-22'!AN128</f>
        <v>2887387.5889250003</v>
      </c>
      <c r="AR128" s="185">
        <f>+'Ago-22'!AO78+'Sep-22'!AO78+'Oct-22'!AO105+'Nov-22'!AO104+'Dic-22'!AO128</f>
        <v>0</v>
      </c>
    </row>
    <row r="129" spans="1:44" x14ac:dyDescent="0.35">
      <c r="A129" s="4"/>
      <c r="B129" s="67"/>
      <c r="C129" s="236"/>
      <c r="E129" s="15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Y129" s="3"/>
      <c r="AJ129" s="3"/>
      <c r="AK129" s="3"/>
      <c r="AL129" s="22"/>
      <c r="AM129" s="14" t="s">
        <v>82</v>
      </c>
      <c r="AN129" s="342">
        <f>+SUMIF(AL85:AL123,"AF",D85:D123)/1.19</f>
        <v>104000</v>
      </c>
      <c r="AO129" s="185">
        <v>0</v>
      </c>
      <c r="AP129" s="14" t="s">
        <v>82</v>
      </c>
      <c r="AQ129" s="342">
        <f>+'Ago-22'!AN79+'Sep-22'!AN79+'Oct-22'!AN106+'Nov-22'!AN105+'Dic-22'!AN129</f>
        <v>172584.03361344538</v>
      </c>
      <c r="AR129" s="185" t="e">
        <f>+'Ago-22'!AO79+'Sep-22'!AO79+'Oct-22'!AO106+'Nov-22'!AO105+'Dic-22'!AO129</f>
        <v>#REF!</v>
      </c>
    </row>
    <row r="130" spans="1:44" ht="15" thickBot="1" x14ac:dyDescent="0.4">
      <c r="A130" s="4"/>
      <c r="B130" s="67"/>
      <c r="C130" s="236"/>
      <c r="E130" s="15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Y130" s="3"/>
      <c r="AJ130" s="3"/>
      <c r="AK130" s="3"/>
      <c r="AL130" s="22"/>
      <c r="AM130" s="16"/>
      <c r="AN130" s="350">
        <f>+AN127-AN128-AN129</f>
        <v>1325813.6484254205</v>
      </c>
      <c r="AO130" s="258" t="e">
        <f>+AO127-AO128-AO129</f>
        <v>#REF!</v>
      </c>
      <c r="AP130" s="16"/>
      <c r="AQ130" s="350">
        <f>+AQ127-AQ128-AQ129</f>
        <v>1596137.9023777067</v>
      </c>
      <c r="AR130" s="258" t="e">
        <f>+AR127-AR128</f>
        <v>#REF!</v>
      </c>
    </row>
    <row r="131" spans="1:44" x14ac:dyDescent="0.35">
      <c r="A131" s="4"/>
      <c r="B131" s="67"/>
      <c r="C131" s="236"/>
      <c r="E131" s="15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Y131" s="3"/>
      <c r="AJ131" s="3"/>
      <c r="AK131" s="3"/>
      <c r="AL131" s="22"/>
    </row>
    <row r="132" spans="1:44" x14ac:dyDescent="0.35">
      <c r="A132" s="4"/>
      <c r="B132" s="67"/>
      <c r="C132" s="236"/>
      <c r="E132" s="15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Y132" s="3"/>
      <c r="AJ132" s="3"/>
      <c r="AK132" s="3"/>
      <c r="AL132" s="22"/>
      <c r="AN132" s="3"/>
      <c r="AO132" s="3"/>
    </row>
    <row r="133" spans="1:44" x14ac:dyDescent="0.35">
      <c r="A133" s="4"/>
      <c r="B133" s="67"/>
      <c r="C133" s="236"/>
      <c r="E133" s="15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Y133" s="3"/>
      <c r="AJ133" s="3"/>
      <c r="AK133" s="3"/>
      <c r="AL133" s="22"/>
      <c r="AM133" t="s">
        <v>1960</v>
      </c>
      <c r="AN133" s="3">
        <f>+AN130+'Nov-22'!AN109</f>
        <v>1596137.9023777083</v>
      </c>
      <c r="AO133" s="3" t="e">
        <f>+AO130+'Nov-22'!AO109</f>
        <v>#REF!</v>
      </c>
    </row>
    <row r="134" spans="1:44" x14ac:dyDescent="0.35">
      <c r="A134" s="4"/>
      <c r="B134" s="67"/>
      <c r="C134" s="236"/>
      <c r="E134" s="15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Y134" s="3"/>
      <c r="AJ134" s="3"/>
      <c r="AK134" s="3"/>
      <c r="AL134" s="22"/>
    </row>
    <row r="135" spans="1:44" x14ac:dyDescent="0.35">
      <c r="A135" s="4"/>
      <c r="B135" s="67"/>
      <c r="C135" s="236"/>
      <c r="E135" s="15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Y135" s="3"/>
      <c r="AJ135" s="3"/>
      <c r="AK135" s="3"/>
      <c r="AL135" s="22"/>
      <c r="AN135" s="3"/>
      <c r="AO135" s="3"/>
    </row>
    <row r="136" spans="1:44" x14ac:dyDescent="0.35">
      <c r="A136" s="4"/>
      <c r="B136" s="67"/>
      <c r="C136" s="236"/>
      <c r="E136" s="15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Y136" s="3"/>
      <c r="AJ136" s="3"/>
      <c r="AK136" s="3"/>
      <c r="AL136" s="22"/>
      <c r="AN136" s="3"/>
      <c r="AO136" s="3"/>
    </row>
    <row r="137" spans="1:44" x14ac:dyDescent="0.35">
      <c r="A137" s="4"/>
      <c r="B137" s="67"/>
      <c r="C137" s="236"/>
      <c r="D137" s="3" t="s">
        <v>13</v>
      </c>
      <c r="E137" s="15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Y137" s="3"/>
      <c r="AJ137" s="3"/>
      <c r="AK137" s="3" t="s">
        <v>13</v>
      </c>
      <c r="AL137" s="22"/>
    </row>
    <row r="138" spans="1:44" x14ac:dyDescent="0.35">
      <c r="A138" s="4"/>
      <c r="B138" s="67"/>
      <c r="C138" s="236"/>
      <c r="E138" s="15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Y138" s="3"/>
      <c r="AJ138" s="3"/>
      <c r="AK138" s="3"/>
      <c r="AL138" s="22" t="s">
        <v>1388</v>
      </c>
      <c r="AM138" t="s">
        <v>1430</v>
      </c>
    </row>
    <row r="139" spans="1:44" x14ac:dyDescent="0.35">
      <c r="A139" s="2" t="s">
        <v>9</v>
      </c>
      <c r="D139" s="72">
        <f>SUM(D78:D137)+D71-D84-D102</f>
        <v>3196888.1752499999</v>
      </c>
      <c r="F139" s="3">
        <f>SUM(F60:F138)</f>
        <v>0</v>
      </c>
      <c r="G139" s="3">
        <f t="shared" ref="G139:AJ139" si="2">SUM(G60:G138)</f>
        <v>0</v>
      </c>
      <c r="H139" s="3">
        <f t="shared" si="2"/>
        <v>0</v>
      </c>
      <c r="I139" s="3">
        <f t="shared" si="2"/>
        <v>0</v>
      </c>
      <c r="J139" s="3">
        <f t="shared" si="2"/>
        <v>13905</v>
      </c>
      <c r="K139" s="3">
        <f t="shared" si="2"/>
        <v>133629</v>
      </c>
      <c r="L139" s="3">
        <f t="shared" si="2"/>
        <v>0</v>
      </c>
      <c r="M139" s="3">
        <f t="shared" si="2"/>
        <v>0</v>
      </c>
      <c r="N139" s="3">
        <f t="shared" si="2"/>
        <v>0</v>
      </c>
      <c r="O139" s="3">
        <f t="shared" si="2"/>
        <v>0</v>
      </c>
      <c r="P139" s="3">
        <f t="shared" si="2"/>
        <v>0</v>
      </c>
      <c r="Q139" s="3">
        <f t="shared" si="2"/>
        <v>137957</v>
      </c>
      <c r="R139" s="3">
        <f t="shared" si="2"/>
        <v>0</v>
      </c>
      <c r="S139" s="3">
        <f t="shared" si="2"/>
        <v>0</v>
      </c>
      <c r="T139" s="3">
        <f t="shared" si="2"/>
        <v>0</v>
      </c>
      <c r="U139" s="3">
        <f t="shared" si="2"/>
        <v>147560</v>
      </c>
      <c r="V139" s="3">
        <f t="shared" si="2"/>
        <v>0</v>
      </c>
      <c r="W139" s="3">
        <f t="shared" si="2"/>
        <v>0</v>
      </c>
      <c r="X139" s="3">
        <f t="shared" si="2"/>
        <v>0</v>
      </c>
      <c r="Y139" s="3">
        <f t="shared" si="2"/>
        <v>234969</v>
      </c>
      <c r="Z139" s="3">
        <f t="shared" si="2"/>
        <v>0</v>
      </c>
      <c r="AA139" s="3">
        <f t="shared" si="2"/>
        <v>0</v>
      </c>
      <c r="AB139" s="3">
        <f t="shared" si="2"/>
        <v>0</v>
      </c>
      <c r="AC139" s="3">
        <f t="shared" si="2"/>
        <v>0</v>
      </c>
      <c r="AD139" s="3">
        <f t="shared" si="2"/>
        <v>0</v>
      </c>
      <c r="AE139" s="3">
        <f t="shared" si="2"/>
        <v>373515</v>
      </c>
      <c r="AF139" s="3">
        <f t="shared" si="2"/>
        <v>17940</v>
      </c>
      <c r="AG139" s="3">
        <f t="shared" si="2"/>
        <v>49320</v>
      </c>
      <c r="AH139" s="3">
        <f t="shared" si="2"/>
        <v>406061.08762499999</v>
      </c>
      <c r="AI139" s="3">
        <f t="shared" si="2"/>
        <v>0</v>
      </c>
      <c r="AJ139" s="3">
        <f t="shared" si="2"/>
        <v>0</v>
      </c>
      <c r="AK139" s="72">
        <f>SUM(AK60:AK123)</f>
        <v>1514856.0876249999</v>
      </c>
      <c r="AL139" s="324">
        <f>+D139-AK139</f>
        <v>1682032.0876249999</v>
      </c>
      <c r="AM139" s="72">
        <f>+AI140+AL56-AL139</f>
        <v>1546326.4169236349</v>
      </c>
    </row>
    <row r="140" spans="1:44" x14ac:dyDescent="0.35">
      <c r="A140" t="s">
        <v>8</v>
      </c>
      <c r="F140" s="3">
        <f t="shared" ref="F140:AJ140" si="3">+F56+F3-F139</f>
        <v>240058.5921736348</v>
      </c>
      <c r="G140" s="3">
        <f t="shared" si="3"/>
        <v>458624.5921736348</v>
      </c>
      <c r="H140" s="3">
        <f t="shared" si="3"/>
        <v>458624.5921736348</v>
      </c>
      <c r="I140" s="3">
        <f t="shared" si="3"/>
        <v>458624.5921736348</v>
      </c>
      <c r="J140" s="3">
        <f t="shared" si="3"/>
        <v>575694.5921736348</v>
      </c>
      <c r="K140" s="3">
        <f t="shared" si="3"/>
        <v>442065.5921736348</v>
      </c>
      <c r="L140" s="3">
        <f t="shared" si="3"/>
        <v>618373.5921736348</v>
      </c>
      <c r="M140" s="3">
        <f t="shared" si="3"/>
        <v>618373.5921736348</v>
      </c>
      <c r="N140" s="3">
        <f t="shared" si="3"/>
        <v>618373.5921736348</v>
      </c>
      <c r="O140" s="3">
        <f t="shared" si="3"/>
        <v>618373.5921736348</v>
      </c>
      <c r="P140" s="3">
        <f t="shared" si="3"/>
        <v>618373.5921736348</v>
      </c>
      <c r="Q140" s="3">
        <f t="shared" si="3"/>
        <v>781650.5921736348</v>
      </c>
      <c r="R140" s="3">
        <f t="shared" si="3"/>
        <v>781650.5921736348</v>
      </c>
      <c r="S140" s="3">
        <f t="shared" si="3"/>
        <v>781650.5921736348</v>
      </c>
      <c r="T140" s="3">
        <f t="shared" si="3"/>
        <v>781650.5921736348</v>
      </c>
      <c r="U140" s="3">
        <f t="shared" si="3"/>
        <v>634090.5921736348</v>
      </c>
      <c r="V140" s="3">
        <f t="shared" si="3"/>
        <v>634090.5921736348</v>
      </c>
      <c r="W140" s="3">
        <f t="shared" si="3"/>
        <v>634090.5921736348</v>
      </c>
      <c r="X140" s="3">
        <f t="shared" si="3"/>
        <v>1745953.5921736348</v>
      </c>
      <c r="Y140" s="3">
        <f t="shared" si="3"/>
        <v>1510984.5921736348</v>
      </c>
      <c r="Z140" s="3">
        <f t="shared" si="3"/>
        <v>1510984.5921736348</v>
      </c>
      <c r="AA140" s="3">
        <f t="shared" si="3"/>
        <v>1510984.5921736348</v>
      </c>
      <c r="AB140" s="3">
        <f t="shared" si="3"/>
        <v>1510984.5921736348</v>
      </c>
      <c r="AC140" s="3">
        <f t="shared" si="3"/>
        <v>1510984.5921736348</v>
      </c>
      <c r="AD140" s="3">
        <f t="shared" si="3"/>
        <v>1510984.5921736348</v>
      </c>
      <c r="AE140" s="3">
        <f t="shared" si="3"/>
        <v>1509846.5921736348</v>
      </c>
      <c r="AF140" s="3">
        <f t="shared" si="3"/>
        <v>1927850.5921736348</v>
      </c>
      <c r="AG140" s="3">
        <f t="shared" si="3"/>
        <v>1878530.5921736348</v>
      </c>
      <c r="AH140" s="3">
        <f t="shared" si="3"/>
        <v>1472469.5045486349</v>
      </c>
      <c r="AI140" s="3">
        <f t="shared" si="3"/>
        <v>1472469.5045486349</v>
      </c>
      <c r="AJ140" s="3">
        <f t="shared" si="3"/>
        <v>1472469.5045486349</v>
      </c>
      <c r="AK140" s="3" t="s">
        <v>13</v>
      </c>
    </row>
    <row r="141" spans="1:44" x14ac:dyDescent="0.35">
      <c r="F141" s="3"/>
      <c r="G141" s="3"/>
      <c r="H141" s="3"/>
      <c r="I141" s="3" t="s">
        <v>13</v>
      </c>
      <c r="J141" s="3"/>
      <c r="K141" s="3" t="s">
        <v>13</v>
      </c>
      <c r="L141" s="3"/>
      <c r="M141" s="3"/>
      <c r="N141" s="3"/>
      <c r="O141" s="3"/>
      <c r="P141" s="3" t="s">
        <v>13</v>
      </c>
      <c r="Q141" s="3"/>
      <c r="R141" s="3"/>
      <c r="S141" s="3"/>
      <c r="T141" s="3" t="s">
        <v>13</v>
      </c>
      <c r="U141" s="3"/>
      <c r="V141" s="3"/>
      <c r="W141" s="3"/>
      <c r="Y141" s="3" t="s">
        <v>13</v>
      </c>
      <c r="Z141" s="3">
        <f>+Z140-1510985</f>
        <v>-0.40782636520452797</v>
      </c>
      <c r="AA141" s="3" t="s">
        <v>13</v>
      </c>
      <c r="AB141" s="3" t="s">
        <v>13</v>
      </c>
    </row>
    <row r="142" spans="1:44" x14ac:dyDescent="0.35">
      <c r="B142" t="s">
        <v>13</v>
      </c>
      <c r="F142" s="3">
        <v>878766</v>
      </c>
      <c r="G142" s="3"/>
      <c r="H142" s="3" t="s">
        <v>13</v>
      </c>
      <c r="I142" s="3"/>
      <c r="J142" s="3"/>
      <c r="K142" s="3"/>
      <c r="L142" s="3"/>
      <c r="M142" s="3"/>
      <c r="N142" s="3"/>
      <c r="O142" s="3"/>
      <c r="P142" s="3" t="s">
        <v>13</v>
      </c>
      <c r="Q142" s="3" t="s">
        <v>13</v>
      </c>
      <c r="R142" s="3" t="s">
        <v>13</v>
      </c>
      <c r="S142" s="3"/>
      <c r="T142" s="3"/>
      <c r="U142" s="3" t="s">
        <v>13</v>
      </c>
      <c r="V142" s="3"/>
      <c r="W142" s="3"/>
      <c r="AB142" s="3" t="s">
        <v>13</v>
      </c>
      <c r="AG142" s="3" t="s">
        <v>13</v>
      </c>
      <c r="AJ142" s="3" t="s">
        <v>13</v>
      </c>
    </row>
    <row r="143" spans="1:44" x14ac:dyDescent="0.35">
      <c r="B143" s="5" t="s">
        <v>13</v>
      </c>
      <c r="D143" s="236" t="s">
        <v>13</v>
      </c>
      <c r="F143" s="3"/>
      <c r="G143" s="3" t="s">
        <v>13</v>
      </c>
      <c r="H143" s="3" t="s">
        <v>13</v>
      </c>
      <c r="I143" s="3"/>
      <c r="J143" s="3"/>
      <c r="K143" s="3"/>
      <c r="L143" s="3"/>
      <c r="M143" s="3"/>
      <c r="N143" s="3"/>
      <c r="O143" s="3"/>
      <c r="W143" s="3"/>
      <c r="AB143" s="3" t="s">
        <v>13</v>
      </c>
      <c r="AD143" s="3" t="s">
        <v>13</v>
      </c>
      <c r="AE143" s="412" t="s">
        <v>1582</v>
      </c>
      <c r="AF143" s="413"/>
      <c r="AG143" s="413"/>
      <c r="AH143" s="412" t="s">
        <v>1583</v>
      </c>
      <c r="AI143" s="413"/>
      <c r="AJ143" s="413"/>
    </row>
    <row r="144" spans="1:44" x14ac:dyDescent="0.35">
      <c r="A144" s="5" t="s">
        <v>13</v>
      </c>
      <c r="B144" s="236" t="s">
        <v>13</v>
      </c>
      <c r="C144" s="236" t="s">
        <v>13</v>
      </c>
      <c r="F144" s="3"/>
      <c r="G144" s="3" t="s">
        <v>13</v>
      </c>
      <c r="H144" s="3"/>
      <c r="I144" s="3"/>
      <c r="J144" s="3"/>
      <c r="K144" s="3"/>
      <c r="L144" s="3"/>
      <c r="M144" s="3"/>
      <c r="N144" s="3"/>
      <c r="O144" s="3"/>
      <c r="W144" s="3" t="s">
        <v>13</v>
      </c>
      <c r="AB144" s="3" t="s">
        <v>13</v>
      </c>
      <c r="AD144" s="3" t="s">
        <v>13</v>
      </c>
      <c r="AE144" s="22" t="s">
        <v>1581</v>
      </c>
      <c r="AF144" s="22" t="s">
        <v>127</v>
      </c>
      <c r="AG144" s="22" t="s">
        <v>91</v>
      </c>
      <c r="AH144" s="22" t="s">
        <v>1581</v>
      </c>
      <c r="AI144" s="22" t="s">
        <v>127</v>
      </c>
      <c r="AJ144" s="22" t="s">
        <v>91</v>
      </c>
    </row>
    <row r="145" spans="2:36" x14ac:dyDescent="0.35">
      <c r="B145" t="s">
        <v>13</v>
      </c>
      <c r="C145" t="s">
        <v>13</v>
      </c>
      <c r="D145" s="236" t="s">
        <v>13</v>
      </c>
      <c r="F145" s="3"/>
      <c r="G145" s="3" t="s">
        <v>13</v>
      </c>
      <c r="H145" s="3"/>
      <c r="I145" s="3"/>
      <c r="J145" s="3"/>
      <c r="K145" s="3"/>
      <c r="L145" s="3"/>
      <c r="M145" s="3"/>
      <c r="N145" s="3"/>
      <c r="O145" s="3"/>
      <c r="W145" s="3"/>
      <c r="AB145" s="3" t="s">
        <v>13</v>
      </c>
      <c r="AC145" s="59" t="s">
        <v>13</v>
      </c>
      <c r="AD145" s="337" t="s">
        <v>1345</v>
      </c>
      <c r="AE145" s="329" t="s">
        <v>13</v>
      </c>
      <c r="AF145" s="329" t="s">
        <v>13</v>
      </c>
      <c r="AG145" s="329" t="s">
        <v>13</v>
      </c>
      <c r="AH145" s="336">
        <v>2</v>
      </c>
      <c r="AI145" s="336">
        <v>5</v>
      </c>
      <c r="AJ145" s="336">
        <v>2</v>
      </c>
    </row>
    <row r="146" spans="2:36" x14ac:dyDescent="0.35">
      <c r="B146" t="s">
        <v>13</v>
      </c>
      <c r="C146" s="236" t="s">
        <v>13</v>
      </c>
      <c r="D146" s="286" t="s">
        <v>13</v>
      </c>
      <c r="F146" s="3">
        <v>34630.36</v>
      </c>
      <c r="G146" s="3">
        <f>+F146*2</f>
        <v>69260.72</v>
      </c>
      <c r="H146" s="3"/>
      <c r="I146" s="3"/>
      <c r="J146" s="3"/>
      <c r="K146" s="3"/>
      <c r="L146" s="3"/>
      <c r="M146" s="3"/>
      <c r="N146" s="3"/>
      <c r="O146" s="3"/>
      <c r="W146" s="3"/>
      <c r="AB146" s="3" t="s">
        <v>13</v>
      </c>
      <c r="AC146" t="s">
        <v>13</v>
      </c>
      <c r="AD146" s="22" t="s">
        <v>1441</v>
      </c>
      <c r="AE146" s="329"/>
      <c r="AF146" s="335">
        <v>2</v>
      </c>
      <c r="AG146" s="329"/>
      <c r="AH146" s="329"/>
      <c r="AI146" s="329" t="s">
        <v>13</v>
      </c>
      <c r="AJ146" s="329"/>
    </row>
    <row r="147" spans="2:36" x14ac:dyDescent="0.35">
      <c r="B147" t="s">
        <v>13</v>
      </c>
      <c r="C147" t="s">
        <v>13</v>
      </c>
      <c r="D147" t="s">
        <v>13</v>
      </c>
      <c r="F147" s="3"/>
      <c r="G147" s="3" t="s">
        <v>13</v>
      </c>
      <c r="H147" s="3"/>
      <c r="I147" s="3"/>
      <c r="J147" s="3"/>
      <c r="K147" s="3"/>
      <c r="L147" s="3"/>
      <c r="M147" s="3"/>
      <c r="AC147" s="59" t="s">
        <v>13</v>
      </c>
      <c r="AD147" s="22" t="s">
        <v>1584</v>
      </c>
      <c r="AE147" s="329" t="s">
        <v>1606</v>
      </c>
      <c r="AF147" s="335">
        <v>1</v>
      </c>
      <c r="AG147" s="329"/>
      <c r="AH147" s="329"/>
      <c r="AI147" s="336">
        <v>1</v>
      </c>
      <c r="AJ147" s="329"/>
    </row>
    <row r="148" spans="2:36" x14ac:dyDescent="0.35">
      <c r="B148" t="s">
        <v>13</v>
      </c>
      <c r="D148" t="s">
        <v>13</v>
      </c>
      <c r="F148" s="3"/>
      <c r="G148" s="3" t="s">
        <v>13</v>
      </c>
      <c r="H148" s="3"/>
      <c r="I148" s="3"/>
      <c r="J148" s="3"/>
      <c r="K148" s="3"/>
      <c r="L148" s="3"/>
      <c r="AB148" t="s">
        <v>13</v>
      </c>
      <c r="AC148" t="s">
        <v>13</v>
      </c>
      <c r="AD148" s="22" t="s">
        <v>1585</v>
      </c>
      <c r="AE148" s="329" t="s">
        <v>13</v>
      </c>
      <c r="AF148" s="329"/>
      <c r="AG148" s="329"/>
      <c r="AH148" s="329"/>
      <c r="AI148" s="336">
        <v>1</v>
      </c>
      <c r="AJ148" s="329"/>
    </row>
    <row r="149" spans="2:36" x14ac:dyDescent="0.35">
      <c r="B149" t="s">
        <v>13</v>
      </c>
      <c r="F149" s="3"/>
      <c r="G149" s="3" t="s">
        <v>13</v>
      </c>
      <c r="H149" s="3"/>
      <c r="I149" s="3"/>
      <c r="J149" s="3"/>
      <c r="K149" s="3"/>
      <c r="L149" s="3"/>
      <c r="AD149" s="22" t="s">
        <v>1586</v>
      </c>
      <c r="AE149" s="329"/>
      <c r="AF149" s="335">
        <v>2</v>
      </c>
      <c r="AG149" s="329"/>
      <c r="AH149" s="329"/>
      <c r="AI149" s="329" t="s">
        <v>13</v>
      </c>
      <c r="AJ149" s="329"/>
    </row>
    <row r="150" spans="2:36" x14ac:dyDescent="0.35">
      <c r="B150" t="s">
        <v>13</v>
      </c>
      <c r="F150" s="3"/>
      <c r="G150" s="3" t="s">
        <v>13</v>
      </c>
      <c r="H150" s="3"/>
      <c r="I150" s="3"/>
      <c r="J150" s="3"/>
      <c r="K150" s="3"/>
      <c r="L150" s="3"/>
      <c r="AD150" s="338" t="s">
        <v>1587</v>
      </c>
      <c r="AE150" s="329"/>
      <c r="AF150" s="335">
        <v>2</v>
      </c>
      <c r="AG150" s="329"/>
      <c r="AH150" s="329"/>
      <c r="AI150" s="329" t="s">
        <v>13</v>
      </c>
      <c r="AJ150" s="329"/>
    </row>
    <row r="151" spans="2:36" x14ac:dyDescent="0.35">
      <c r="B151" t="s">
        <v>13</v>
      </c>
      <c r="F151" s="3"/>
      <c r="G151" s="3" t="s">
        <v>13</v>
      </c>
      <c r="H151" s="3"/>
      <c r="I151" s="3"/>
      <c r="J151" s="3"/>
      <c r="K151" s="3"/>
      <c r="L151" s="3"/>
      <c r="AD151" s="338" t="s">
        <v>1588</v>
      </c>
      <c r="AE151" s="329" t="s">
        <v>1592</v>
      </c>
      <c r="AF151" s="335">
        <v>2</v>
      </c>
      <c r="AG151" s="329"/>
      <c r="AH151" s="329"/>
      <c r="AI151" s="329" t="s">
        <v>13</v>
      </c>
      <c r="AJ151" s="329"/>
    </row>
    <row r="152" spans="2:36" x14ac:dyDescent="0.35">
      <c r="B152" t="s">
        <v>13</v>
      </c>
      <c r="F152" s="3"/>
      <c r="G152" s="3" t="s">
        <v>13</v>
      </c>
      <c r="H152" s="3"/>
      <c r="I152" s="3"/>
      <c r="J152" s="3"/>
      <c r="K152" s="3"/>
      <c r="L152" s="3"/>
      <c r="AD152" s="338" t="s">
        <v>1505</v>
      </c>
      <c r="AE152" s="329" t="s">
        <v>13</v>
      </c>
      <c r="AF152" s="335">
        <v>2</v>
      </c>
      <c r="AG152" s="329"/>
      <c r="AH152" s="329"/>
      <c r="AI152" s="329" t="s">
        <v>13</v>
      </c>
      <c r="AJ152" s="329"/>
    </row>
    <row r="153" spans="2:36" x14ac:dyDescent="0.35">
      <c r="F153" s="3"/>
      <c r="G153" s="3" t="s">
        <v>13</v>
      </c>
      <c r="H153" s="3"/>
      <c r="I153" s="3"/>
      <c r="J153" s="3"/>
      <c r="K153" s="3"/>
      <c r="L153" s="3"/>
      <c r="AE153" s="329">
        <f t="shared" ref="AE153:AJ153" si="4">SUM(AE145:AE152)</f>
        <v>0</v>
      </c>
      <c r="AF153" s="329">
        <f t="shared" si="4"/>
        <v>11</v>
      </c>
      <c r="AG153" s="329">
        <f t="shared" si="4"/>
        <v>0</v>
      </c>
      <c r="AH153" s="329">
        <f t="shared" si="4"/>
        <v>2</v>
      </c>
      <c r="AI153" s="329">
        <f t="shared" si="4"/>
        <v>7</v>
      </c>
      <c r="AJ153" s="329">
        <f t="shared" si="4"/>
        <v>2</v>
      </c>
    </row>
    <row r="154" spans="2:36" x14ac:dyDescent="0.35">
      <c r="F154" s="3"/>
      <c r="G154" s="3" t="s">
        <v>13</v>
      </c>
      <c r="H154" s="3"/>
      <c r="I154" s="3"/>
      <c r="J154" s="3"/>
      <c r="K154" s="3"/>
      <c r="L154" s="3"/>
      <c r="AE154" s="22"/>
      <c r="AF154" s="22">
        <f>+AF153*'ES-Ventas'!P99*1.19</f>
        <v>454668.06</v>
      </c>
      <c r="AG154" s="22"/>
      <c r="AH154" s="22">
        <f>+AH153*'ES-Ventas'!P98*1.19</f>
        <v>90666.099999999991</v>
      </c>
      <c r="AI154" s="22">
        <f>+AI153*'ES-Ventas'!P99*1.19</f>
        <v>289334.21999999997</v>
      </c>
      <c r="AJ154" s="22">
        <f>+AJ153*'ES-Ventas'!P101*1.19</f>
        <v>104791.4</v>
      </c>
    </row>
    <row r="155" spans="2:36" x14ac:dyDescent="0.35">
      <c r="F155" s="3"/>
      <c r="G155" s="3" t="s">
        <v>13</v>
      </c>
      <c r="H155" s="3"/>
      <c r="I155" s="3"/>
      <c r="J155" s="3"/>
      <c r="K155" s="3"/>
      <c r="L155" s="3"/>
      <c r="AH155" s="330" t="s">
        <v>1581</v>
      </c>
      <c r="AI155" s="330" t="s">
        <v>127</v>
      </c>
      <c r="AJ155" s="330" t="s">
        <v>91</v>
      </c>
    </row>
    <row r="156" spans="2:36" x14ac:dyDescent="0.35">
      <c r="F156" s="3"/>
      <c r="G156" s="3" t="s">
        <v>13</v>
      </c>
      <c r="H156" s="3"/>
      <c r="I156" s="3"/>
      <c r="J156" s="3"/>
      <c r="K156" s="3"/>
      <c r="L156" s="3"/>
      <c r="AH156" s="331">
        <f>+AH153+AE153</f>
        <v>2</v>
      </c>
      <c r="AI156" s="331">
        <f>+AI153+AF153</f>
        <v>18</v>
      </c>
      <c r="AJ156" s="331">
        <f>+AJ153+AG153</f>
        <v>2</v>
      </c>
    </row>
    <row r="157" spans="2:36" x14ac:dyDescent="0.35">
      <c r="F157" s="3"/>
      <c r="G157" s="3" t="s">
        <v>13</v>
      </c>
      <c r="H157" s="3"/>
      <c r="I157" s="3"/>
      <c r="J157" s="3"/>
      <c r="K157" s="3"/>
      <c r="L157" s="3"/>
    </row>
    <row r="158" spans="2:36" x14ac:dyDescent="0.35">
      <c r="F158" s="3"/>
      <c r="G158" s="3" t="s">
        <v>13</v>
      </c>
      <c r="H158" s="3"/>
      <c r="I158" s="3"/>
      <c r="J158" s="3"/>
      <c r="K158" s="3"/>
      <c r="L158" s="3"/>
      <c r="AC158">
        <f>1620*1.15*5</f>
        <v>9314.9999999999982</v>
      </c>
    </row>
    <row r="159" spans="2:36" x14ac:dyDescent="0.35">
      <c r="F159" s="3"/>
      <c r="G159" s="3" t="s">
        <v>13</v>
      </c>
      <c r="H159" s="3"/>
      <c r="I159" s="3"/>
      <c r="J159" s="3"/>
      <c r="K159" s="3"/>
      <c r="L159" s="3"/>
    </row>
    <row r="160" spans="2:36" x14ac:dyDescent="0.35">
      <c r="F160" s="3"/>
      <c r="G160" s="3" t="s">
        <v>13</v>
      </c>
      <c r="H160" s="3"/>
      <c r="I160" s="3"/>
      <c r="J160" s="3"/>
      <c r="K160" s="3"/>
      <c r="L160" s="3"/>
    </row>
    <row r="161" spans="6:12" x14ac:dyDescent="0.35">
      <c r="F161" s="3"/>
      <c r="G161" s="3" t="s">
        <v>13</v>
      </c>
      <c r="H161" s="3"/>
      <c r="I161" s="3"/>
      <c r="J161" s="3"/>
      <c r="K161" s="3"/>
      <c r="L161" s="3"/>
    </row>
  </sheetData>
  <sortState xmlns:xlrd2="http://schemas.microsoft.com/office/spreadsheetml/2017/richdata2" ref="A46:AM48">
    <sortCondition ref="B46:B48"/>
  </sortState>
  <mergeCells count="2">
    <mergeCell ref="AE143:AG143"/>
    <mergeCell ref="AH143:AJ143"/>
  </mergeCells>
  <pageMargins left="0.7" right="0.7" top="0.75" bottom="0.75" header="0.3" footer="0.3"/>
  <pageSetup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T144"/>
  <sheetViews>
    <sheetView topLeftCell="A85" workbookViewId="0">
      <selection activeCell="A87" sqref="A87"/>
    </sheetView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  <col min="39" max="39" width="14.7265625" customWidth="1"/>
  </cols>
  <sheetData>
    <row r="1" spans="1:38" x14ac:dyDescent="0.35">
      <c r="Z1" t="s">
        <v>13</v>
      </c>
      <c r="AA1" s="3" t="s">
        <v>13</v>
      </c>
    </row>
    <row r="2" spans="1:38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44927</v>
      </c>
      <c r="G2" s="1">
        <v>44928</v>
      </c>
      <c r="H2" s="1">
        <v>44929</v>
      </c>
      <c r="I2" s="1">
        <v>44930</v>
      </c>
      <c r="J2" s="1">
        <v>44931</v>
      </c>
      <c r="K2" s="1">
        <v>44932</v>
      </c>
      <c r="L2" s="1">
        <v>44933</v>
      </c>
      <c r="M2" s="1">
        <v>44934</v>
      </c>
      <c r="N2" s="1">
        <v>44935</v>
      </c>
      <c r="O2" s="1">
        <v>44936</v>
      </c>
      <c r="P2" s="1">
        <v>44937</v>
      </c>
      <c r="Q2" s="1">
        <v>44938</v>
      </c>
      <c r="R2" s="1">
        <v>44939</v>
      </c>
      <c r="S2" s="1">
        <v>44940</v>
      </c>
      <c r="T2" s="1">
        <v>44941</v>
      </c>
      <c r="U2" s="1">
        <v>44942</v>
      </c>
      <c r="V2" s="1">
        <v>44943</v>
      </c>
      <c r="W2" s="1">
        <v>44944</v>
      </c>
      <c r="X2" s="1">
        <v>44945</v>
      </c>
      <c r="Y2" s="1">
        <v>44946</v>
      </c>
      <c r="Z2" s="1">
        <v>44947</v>
      </c>
      <c r="AA2" s="1">
        <v>44948</v>
      </c>
      <c r="AB2" s="1">
        <v>44949</v>
      </c>
      <c r="AC2" s="1">
        <v>44950</v>
      </c>
      <c r="AD2" s="1">
        <v>44951</v>
      </c>
      <c r="AE2" s="1">
        <v>44952</v>
      </c>
      <c r="AF2" s="1">
        <v>44953</v>
      </c>
      <c r="AG2" s="1">
        <v>44954</v>
      </c>
      <c r="AH2" s="1">
        <v>44955</v>
      </c>
      <c r="AI2" s="1">
        <v>44956</v>
      </c>
      <c r="AJ2" s="1">
        <v>44957</v>
      </c>
      <c r="AK2" s="176" t="s">
        <v>579</v>
      </c>
      <c r="AL2" s="176" t="s">
        <v>13</v>
      </c>
    </row>
    <row r="3" spans="1:38" x14ac:dyDescent="0.35">
      <c r="A3" t="s">
        <v>7</v>
      </c>
      <c r="F3" s="3">
        <f>+'Dic-22'!AJ140</f>
        <v>1472469.5045486349</v>
      </c>
      <c r="G3" s="3">
        <f t="shared" ref="G3:AJ3" si="0">+F117</f>
        <v>1472469.5045486349</v>
      </c>
      <c r="H3" s="3">
        <f t="shared" si="0"/>
        <v>1472469.5045486349</v>
      </c>
      <c r="I3" s="3">
        <f t="shared" si="0"/>
        <v>2128288.5045486349</v>
      </c>
      <c r="J3" s="3">
        <f t="shared" si="0"/>
        <v>2219998.5045486349</v>
      </c>
      <c r="K3" s="3">
        <f t="shared" si="0"/>
        <v>1056081.9645486348</v>
      </c>
      <c r="L3" s="3">
        <f t="shared" si="0"/>
        <v>1056081.9645486348</v>
      </c>
      <c r="M3" s="3">
        <f t="shared" si="0"/>
        <v>1056081.9645486348</v>
      </c>
      <c r="N3" s="3">
        <f t="shared" si="0"/>
        <v>1056081.9645486348</v>
      </c>
      <c r="O3" s="3">
        <f t="shared" si="0"/>
        <v>1143270.9645486348</v>
      </c>
      <c r="P3" s="3">
        <f t="shared" si="0"/>
        <v>1470089.9645486348</v>
      </c>
      <c r="Q3" s="3">
        <f t="shared" si="0"/>
        <v>1358229.9645486348</v>
      </c>
      <c r="R3" s="3">
        <f t="shared" si="0"/>
        <v>1358229.9645486348</v>
      </c>
      <c r="S3" s="3">
        <f t="shared" si="0"/>
        <v>1358229.9645486348</v>
      </c>
      <c r="T3" s="3">
        <f t="shared" si="0"/>
        <v>1358229.9645486348</v>
      </c>
      <c r="U3" s="3">
        <f t="shared" si="0"/>
        <v>1358229.9645486348</v>
      </c>
      <c r="V3" s="3">
        <f t="shared" si="0"/>
        <v>342264.96454863483</v>
      </c>
      <c r="W3" s="3">
        <f t="shared" si="0"/>
        <v>654207.96454863483</v>
      </c>
      <c r="X3" s="3">
        <f t="shared" si="0"/>
        <v>1060854.9645486348</v>
      </c>
      <c r="Y3" s="3">
        <f t="shared" si="0"/>
        <v>508095.96454863483</v>
      </c>
      <c r="Z3" s="3">
        <f t="shared" si="0"/>
        <v>508095.96454863483</v>
      </c>
      <c r="AA3" s="3">
        <f t="shared" si="0"/>
        <v>508095.96454863483</v>
      </c>
      <c r="AB3" s="3">
        <f t="shared" si="0"/>
        <v>508095.96454863483</v>
      </c>
      <c r="AC3" s="3">
        <f t="shared" si="0"/>
        <v>665599.96454863483</v>
      </c>
      <c r="AD3" s="3">
        <f t="shared" si="0"/>
        <v>665599.96454863483</v>
      </c>
      <c r="AE3" s="3">
        <f t="shared" si="0"/>
        <v>473847.96454863483</v>
      </c>
      <c r="AF3" s="3">
        <f t="shared" si="0"/>
        <v>425128.96454863483</v>
      </c>
      <c r="AG3" s="3">
        <f t="shared" si="0"/>
        <v>778405.96454863483</v>
      </c>
      <c r="AH3" s="3">
        <f t="shared" si="0"/>
        <v>778405.96454863483</v>
      </c>
      <c r="AI3" s="3">
        <f t="shared" si="0"/>
        <v>778405.96454863483</v>
      </c>
      <c r="AJ3" s="3">
        <f t="shared" si="0"/>
        <v>1109541.9645486348</v>
      </c>
      <c r="AK3" s="3" t="s">
        <v>13</v>
      </c>
      <c r="AL3" s="6" t="s">
        <v>13</v>
      </c>
    </row>
    <row r="4" spans="1:38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8" x14ac:dyDescent="0.35">
      <c r="A5" s="36" t="s">
        <v>895</v>
      </c>
      <c r="B5" s="66" t="s">
        <v>886</v>
      </c>
      <c r="C5" s="38">
        <v>44618</v>
      </c>
      <c r="D5" s="39">
        <v>56708</v>
      </c>
      <c r="E5" s="40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8" x14ac:dyDescent="0.35">
      <c r="A6" s="41" t="s">
        <v>1487</v>
      </c>
      <c r="B6" t="s">
        <v>1489</v>
      </c>
      <c r="C6" s="5">
        <v>44901</v>
      </c>
      <c r="D6" s="3">
        <v>71876</v>
      </c>
      <c r="E6" s="42" t="s">
        <v>1441</v>
      </c>
      <c r="F6" s="3"/>
      <c r="G6" s="3"/>
      <c r="H6" s="3">
        <v>71876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13</v>
      </c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71876</v>
      </c>
      <c r="AL6" s="22"/>
    </row>
    <row r="7" spans="1:38" x14ac:dyDescent="0.35">
      <c r="A7" s="41" t="s">
        <v>1501</v>
      </c>
      <c r="B7" t="s">
        <v>1502</v>
      </c>
      <c r="C7" s="5">
        <v>44903</v>
      </c>
      <c r="D7" s="3">
        <v>177855</v>
      </c>
      <c r="E7" s="42" t="s">
        <v>1441</v>
      </c>
      <c r="F7" s="3"/>
      <c r="G7" s="3"/>
      <c r="H7" s="3">
        <v>177855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13</v>
      </c>
      <c r="Z7" s="3"/>
      <c r="AA7" s="3"/>
      <c r="AB7" s="3"/>
      <c r="AC7" s="3"/>
      <c r="AD7" s="3"/>
      <c r="AE7" s="3" t="s">
        <v>13</v>
      </c>
      <c r="AF7" s="3"/>
      <c r="AG7" s="3"/>
      <c r="AH7" s="3"/>
      <c r="AI7" s="3"/>
      <c r="AK7" s="3">
        <f>SUM($F7:AJ7)</f>
        <v>177855</v>
      </c>
      <c r="AL7" s="22"/>
    </row>
    <row r="8" spans="1:38" x14ac:dyDescent="0.35">
      <c r="A8" s="41" t="s">
        <v>1538</v>
      </c>
      <c r="B8" t="s">
        <v>1540</v>
      </c>
      <c r="C8" s="5">
        <v>44911</v>
      </c>
      <c r="D8" s="3">
        <v>91189</v>
      </c>
      <c r="E8" s="42" t="s">
        <v>1441</v>
      </c>
      <c r="F8" s="3"/>
      <c r="G8" s="3"/>
      <c r="H8" s="3">
        <v>91189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91189</v>
      </c>
      <c r="AL8" s="22"/>
    </row>
    <row r="9" spans="1:38" x14ac:dyDescent="0.35">
      <c r="A9" s="41" t="s">
        <v>1565</v>
      </c>
      <c r="B9" t="s">
        <v>1564</v>
      </c>
      <c r="C9" s="5">
        <v>44917</v>
      </c>
      <c r="D9" s="3">
        <v>49855</v>
      </c>
      <c r="E9" s="42" t="s">
        <v>1505</v>
      </c>
      <c r="F9" s="3"/>
      <c r="G9" s="3"/>
      <c r="H9" s="3">
        <v>49855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49855</v>
      </c>
      <c r="AL9" s="22"/>
    </row>
    <row r="10" spans="1:38" x14ac:dyDescent="0.35">
      <c r="A10" s="41" t="s">
        <v>1567</v>
      </c>
      <c r="B10" t="s">
        <v>1566</v>
      </c>
      <c r="C10" s="5">
        <v>44917</v>
      </c>
      <c r="D10" s="3">
        <v>45855</v>
      </c>
      <c r="E10" s="42" t="s">
        <v>782</v>
      </c>
      <c r="F10" s="3"/>
      <c r="G10" s="3"/>
      <c r="H10" s="3"/>
      <c r="I10" s="3">
        <v>45855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45855</v>
      </c>
      <c r="AL10" s="22"/>
    </row>
    <row r="11" spans="1:38" x14ac:dyDescent="0.35">
      <c r="A11" s="41" t="s">
        <v>1569</v>
      </c>
      <c r="B11" t="s">
        <v>1568</v>
      </c>
      <c r="C11" s="5">
        <v>44917</v>
      </c>
      <c r="D11" s="3">
        <v>45855</v>
      </c>
      <c r="E11" s="42" t="s">
        <v>782</v>
      </c>
      <c r="F11" s="3"/>
      <c r="G11" s="3"/>
      <c r="H11" s="3"/>
      <c r="I11" s="3">
        <v>45855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45855</v>
      </c>
      <c r="AL11" s="22"/>
    </row>
    <row r="12" spans="1:38" x14ac:dyDescent="0.35">
      <c r="A12" s="41" t="s">
        <v>1571</v>
      </c>
      <c r="B12" t="s">
        <v>1570</v>
      </c>
      <c r="C12" s="5">
        <v>44917</v>
      </c>
      <c r="D12" s="3">
        <v>132522</v>
      </c>
      <c r="E12" s="42" t="s">
        <v>1345</v>
      </c>
      <c r="F12" s="3"/>
      <c r="G12" s="3"/>
      <c r="H12" s="3">
        <v>132522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132522</v>
      </c>
      <c r="AL12" s="22"/>
    </row>
    <row r="13" spans="1:38" x14ac:dyDescent="0.35">
      <c r="A13" s="41" t="s">
        <v>1576</v>
      </c>
      <c r="B13" t="s">
        <v>1572</v>
      </c>
      <c r="C13" s="5">
        <v>44919</v>
      </c>
      <c r="D13" s="3">
        <v>132522</v>
      </c>
      <c r="E13" s="42" t="s">
        <v>1345</v>
      </c>
      <c r="F13" s="3"/>
      <c r="G13" s="3"/>
      <c r="H13" s="3">
        <v>132522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132522</v>
      </c>
      <c r="AL13" s="22"/>
    </row>
    <row r="14" spans="1:38" x14ac:dyDescent="0.35">
      <c r="A14" s="41" t="s">
        <v>1594</v>
      </c>
      <c r="B14" t="s">
        <v>1593</v>
      </c>
      <c r="C14" s="5">
        <v>44923</v>
      </c>
      <c r="D14" s="3">
        <v>107181</v>
      </c>
      <c r="E14" s="42" t="s">
        <v>1441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>
        <v>107181</v>
      </c>
      <c r="AC14" s="3"/>
      <c r="AD14" s="3"/>
      <c r="AE14" s="3"/>
      <c r="AF14" s="3"/>
      <c r="AG14" s="3"/>
      <c r="AH14" s="3"/>
      <c r="AI14" s="3"/>
      <c r="AK14" s="3">
        <f>SUM($F14:AJ14)</f>
        <v>107181</v>
      </c>
      <c r="AL14" s="22"/>
    </row>
    <row r="15" spans="1:38" x14ac:dyDescent="0.35">
      <c r="A15" s="41" t="s">
        <v>1596</v>
      </c>
      <c r="B15" t="s">
        <v>1595</v>
      </c>
      <c r="C15" s="5">
        <v>44923</v>
      </c>
      <c r="D15" s="3">
        <v>54066</v>
      </c>
      <c r="E15" s="42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>
        <v>54066</v>
      </c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54066</v>
      </c>
      <c r="AL15" s="22"/>
    </row>
    <row r="16" spans="1:38" x14ac:dyDescent="0.35">
      <c r="A16" s="41" t="s">
        <v>1598</v>
      </c>
      <c r="B16" t="s">
        <v>1597</v>
      </c>
      <c r="C16" s="5">
        <v>44923</v>
      </c>
      <c r="D16" s="3">
        <v>87189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>
        <v>87189</v>
      </c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87189</v>
      </c>
      <c r="AL16" s="22"/>
    </row>
    <row r="17" spans="1:38" x14ac:dyDescent="0.35">
      <c r="A17" s="41" t="s">
        <v>1600</v>
      </c>
      <c r="B17" t="s">
        <v>1599</v>
      </c>
      <c r="C17" s="5">
        <v>44924</v>
      </c>
      <c r="D17" s="3">
        <v>87189</v>
      </c>
      <c r="E17" s="42" t="s">
        <v>1505</v>
      </c>
      <c r="F17" s="3"/>
      <c r="G17" s="3"/>
      <c r="H17" s="3"/>
      <c r="I17" s="3"/>
      <c r="J17" s="3"/>
      <c r="K17" s="3"/>
      <c r="L17" s="3"/>
      <c r="M17" s="3"/>
      <c r="N17" s="3">
        <v>87189</v>
      </c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87189</v>
      </c>
      <c r="AL17" s="22"/>
    </row>
    <row r="18" spans="1:38" x14ac:dyDescent="0.35">
      <c r="A18" s="41" t="s">
        <v>1601</v>
      </c>
      <c r="B18" t="s">
        <v>1602</v>
      </c>
      <c r="C18" s="5">
        <v>44924</v>
      </c>
      <c r="D18" s="3">
        <v>87189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>
        <v>87189</v>
      </c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87189</v>
      </c>
      <c r="AL18" s="22"/>
    </row>
    <row r="19" spans="1:38" x14ac:dyDescent="0.35">
      <c r="A19" s="41" t="s">
        <v>1603</v>
      </c>
      <c r="B19" t="s">
        <v>1604</v>
      </c>
      <c r="C19" s="5">
        <v>44924</v>
      </c>
      <c r="D19" s="3">
        <v>98375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>
        <v>98375</v>
      </c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98375</v>
      </c>
      <c r="AL19" s="22"/>
    </row>
    <row r="20" spans="1:38" x14ac:dyDescent="0.35">
      <c r="A20" s="41" t="s">
        <v>1613</v>
      </c>
      <c r="B20" t="s">
        <v>1614</v>
      </c>
      <c r="C20" s="5">
        <v>44928</v>
      </c>
      <c r="D20" s="3">
        <v>406647</v>
      </c>
      <c r="E20" s="42" t="s">
        <v>1345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>
        <v>406647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406647</v>
      </c>
      <c r="AL20" s="22"/>
    </row>
    <row r="21" spans="1:38" x14ac:dyDescent="0.35">
      <c r="A21" s="41" t="s">
        <v>1609</v>
      </c>
      <c r="B21" t="s">
        <v>1610</v>
      </c>
      <c r="C21" s="5">
        <v>44928</v>
      </c>
      <c r="D21" s="3">
        <v>45855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45855</v>
      </c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45855</v>
      </c>
      <c r="AL21" s="22"/>
    </row>
    <row r="22" spans="1:38" ht="15" thickBot="1" x14ac:dyDescent="0.4">
      <c r="A22" s="43" t="s">
        <v>1611</v>
      </c>
      <c r="B22" s="76" t="s">
        <v>1612</v>
      </c>
      <c r="C22" s="45">
        <v>44928</v>
      </c>
      <c r="D22" s="46">
        <v>45855</v>
      </c>
      <c r="E22" s="47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45855</v>
      </c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45855</v>
      </c>
      <c r="AL22" s="22"/>
    </row>
    <row r="23" spans="1:38" x14ac:dyDescent="0.35">
      <c r="A23" s="41" t="s">
        <v>1624</v>
      </c>
      <c r="B23" t="s">
        <v>1621</v>
      </c>
      <c r="C23" s="5">
        <v>44935</v>
      </c>
      <c r="D23" s="3">
        <v>87189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87189</v>
      </c>
      <c r="W23" s="3"/>
      <c r="Z23" s="3"/>
      <c r="AA23" s="3"/>
      <c r="AB23" s="3"/>
      <c r="AC23" s="3"/>
      <c r="AD23" s="3"/>
      <c r="AE23" s="3"/>
      <c r="AF23" s="3" t="s">
        <v>13</v>
      </c>
      <c r="AG23" s="340" t="s">
        <v>13</v>
      </c>
      <c r="AH23" s="3"/>
      <c r="AI23" s="3"/>
      <c r="AK23" s="3">
        <f>SUM($F23:AJ23)</f>
        <v>87189</v>
      </c>
      <c r="AL23" s="22"/>
    </row>
    <row r="24" spans="1:38" x14ac:dyDescent="0.35">
      <c r="A24" s="41" t="s">
        <v>1625</v>
      </c>
      <c r="B24" t="s">
        <v>999</v>
      </c>
      <c r="C24" s="5">
        <v>44935</v>
      </c>
      <c r="D24" s="3">
        <v>45855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>
        <v>45855</v>
      </c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45855</v>
      </c>
      <c r="AL24" s="22"/>
    </row>
    <row r="25" spans="1:38" x14ac:dyDescent="0.35">
      <c r="A25" s="41" t="s">
        <v>1626</v>
      </c>
      <c r="B25" t="s">
        <v>1622</v>
      </c>
      <c r="C25" s="5">
        <v>44935</v>
      </c>
      <c r="D25" s="3">
        <v>87189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87189</v>
      </c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87189</v>
      </c>
      <c r="AL25" s="22"/>
    </row>
    <row r="26" spans="1:38" x14ac:dyDescent="0.35">
      <c r="A26" s="41" t="s">
        <v>1627</v>
      </c>
      <c r="B26" t="s">
        <v>1623</v>
      </c>
      <c r="C26" s="5">
        <v>44935</v>
      </c>
      <c r="D26" s="3">
        <v>91189</v>
      </c>
      <c r="E26" s="42" t="s">
        <v>1441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 t="s">
        <v>13</v>
      </c>
      <c r="AK26" s="3">
        <f>SUM($F26:AJ26)</f>
        <v>0</v>
      </c>
      <c r="AL26" s="22"/>
    </row>
    <row r="27" spans="1:38" x14ac:dyDescent="0.35">
      <c r="A27" s="41" t="s">
        <v>1633</v>
      </c>
      <c r="B27" t="s">
        <v>739</v>
      </c>
      <c r="C27" s="5">
        <v>44938</v>
      </c>
      <c r="D27" s="3">
        <v>87189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>
        <v>87189</v>
      </c>
      <c r="AG27" s="3"/>
      <c r="AH27" s="3"/>
      <c r="AI27" s="3"/>
      <c r="AK27" s="3">
        <f>SUM($F27:AJ27)</f>
        <v>87189</v>
      </c>
      <c r="AL27" s="22"/>
    </row>
    <row r="28" spans="1:38" x14ac:dyDescent="0.35">
      <c r="A28" s="41" t="s">
        <v>1634</v>
      </c>
      <c r="B28" t="s">
        <v>1635</v>
      </c>
      <c r="C28" s="5">
        <v>44938</v>
      </c>
      <c r="D28" s="3">
        <v>45855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>
        <v>45855</v>
      </c>
      <c r="AG28" s="3"/>
      <c r="AH28" s="3"/>
      <c r="AI28" s="3"/>
      <c r="AK28" s="3">
        <f>SUM($F28:AJ28)</f>
        <v>45855</v>
      </c>
      <c r="AL28" s="22"/>
    </row>
    <row r="29" spans="1:38" x14ac:dyDescent="0.35">
      <c r="A29" s="41" t="s">
        <v>1637</v>
      </c>
      <c r="B29" t="s">
        <v>1636</v>
      </c>
      <c r="C29" s="5">
        <v>44938</v>
      </c>
      <c r="D29" s="3">
        <v>128522</v>
      </c>
      <c r="E29" s="42" t="s">
        <v>1345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>
        <v>128522</v>
      </c>
      <c r="AK29" s="3">
        <f>SUM($F29:AJ29)</f>
        <v>128522</v>
      </c>
      <c r="AL29" s="22"/>
    </row>
    <row r="30" spans="1:38" x14ac:dyDescent="0.35">
      <c r="A30" s="41" t="s">
        <v>1641</v>
      </c>
      <c r="B30" t="s">
        <v>1638</v>
      </c>
      <c r="C30" s="5">
        <v>44938</v>
      </c>
      <c r="D30" s="3">
        <v>45855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>
        <v>45855</v>
      </c>
      <c r="AG30" s="3"/>
      <c r="AH30" s="3"/>
      <c r="AI30" s="3"/>
      <c r="AK30" s="3">
        <f>SUM($F30:AJ30)</f>
        <v>45855</v>
      </c>
      <c r="AL30" s="22"/>
    </row>
    <row r="31" spans="1:38" x14ac:dyDescent="0.35">
      <c r="A31" s="41" t="s">
        <v>1642</v>
      </c>
      <c r="B31" t="s">
        <v>1639</v>
      </c>
      <c r="C31" s="5">
        <v>44938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>
        <v>87189</v>
      </c>
      <c r="AG31" s="3"/>
      <c r="AH31" s="3"/>
      <c r="AI31" s="3"/>
      <c r="AK31" s="3">
        <f>SUM($F31:AJ31)</f>
        <v>87189</v>
      </c>
      <c r="AL31" s="22"/>
    </row>
    <row r="32" spans="1:38" x14ac:dyDescent="0.35">
      <c r="A32" s="41" t="s">
        <v>1643</v>
      </c>
      <c r="B32" t="s">
        <v>1640</v>
      </c>
      <c r="C32" s="5">
        <v>44939</v>
      </c>
      <c r="D32" s="3">
        <v>87189</v>
      </c>
      <c r="E32" s="42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>
        <v>87189</v>
      </c>
      <c r="AG32" s="3"/>
      <c r="AH32" s="3"/>
      <c r="AI32" s="3"/>
      <c r="AK32" s="3">
        <f>SUM($F32:AJ32)</f>
        <v>87189</v>
      </c>
      <c r="AL32" s="22"/>
    </row>
    <row r="33" spans="1:39" x14ac:dyDescent="0.35">
      <c r="A33" s="41" t="s">
        <v>1650</v>
      </c>
      <c r="B33" t="s">
        <v>1651</v>
      </c>
      <c r="C33" s="5">
        <v>44943</v>
      </c>
      <c r="D33" s="3">
        <v>167742</v>
      </c>
      <c r="E33" s="42" t="s">
        <v>1441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 t="s">
        <v>13</v>
      </c>
      <c r="AK33" s="3">
        <f>SUM($F33:AJ33)</f>
        <v>0</v>
      </c>
      <c r="AM33" s="6" t="s">
        <v>13</v>
      </c>
    </row>
    <row r="34" spans="1:39" x14ac:dyDescent="0.35">
      <c r="A34" s="41" t="s">
        <v>1654</v>
      </c>
      <c r="B34" t="s">
        <v>1652</v>
      </c>
      <c r="C34" s="5">
        <v>44943</v>
      </c>
      <c r="D34" s="3">
        <v>251614</v>
      </c>
      <c r="E34" s="42" t="s">
        <v>1345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>
        <v>251614</v>
      </c>
      <c r="AK34" s="3">
        <f>SUM($F34:AJ34)</f>
        <v>251614</v>
      </c>
      <c r="AL34" s="22"/>
    </row>
    <row r="35" spans="1:39" x14ac:dyDescent="0.35">
      <c r="A35" s="41" t="s">
        <v>1655</v>
      </c>
      <c r="B35" t="s">
        <v>1653</v>
      </c>
      <c r="C35" s="5">
        <v>44943</v>
      </c>
      <c r="D35" s="3">
        <v>50323</v>
      </c>
      <c r="E35" s="42" t="s">
        <v>1505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>
        <v>50323</v>
      </c>
      <c r="AC35" s="3"/>
      <c r="AD35" s="3"/>
      <c r="AE35" s="3"/>
      <c r="AF35" s="3"/>
      <c r="AG35" s="3"/>
      <c r="AH35" s="3"/>
      <c r="AI35" s="3" t="s">
        <v>13</v>
      </c>
      <c r="AK35" s="3">
        <f>SUM($F35:AJ35)</f>
        <v>50323</v>
      </c>
      <c r="AL35" s="22"/>
    </row>
    <row r="36" spans="1:39" x14ac:dyDescent="0.35">
      <c r="A36" s="41" t="s">
        <v>1668</v>
      </c>
      <c r="B36" t="s">
        <v>1669</v>
      </c>
      <c r="C36" s="5">
        <v>44944</v>
      </c>
      <c r="D36" s="3">
        <v>87189</v>
      </c>
      <c r="E36" s="42" t="s">
        <v>782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0</v>
      </c>
      <c r="AL36" s="22"/>
    </row>
    <row r="37" spans="1:39" x14ac:dyDescent="0.35">
      <c r="A37" s="41" t="s">
        <v>1672</v>
      </c>
      <c r="B37" t="s">
        <v>1670</v>
      </c>
      <c r="C37" s="5">
        <v>44944</v>
      </c>
      <c r="D37" s="3">
        <v>169856</v>
      </c>
      <c r="E37" s="42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</row>
    <row r="38" spans="1:39" x14ac:dyDescent="0.35">
      <c r="A38" s="41" t="s">
        <v>1673</v>
      </c>
      <c r="B38" t="s">
        <v>1671</v>
      </c>
      <c r="C38" s="5">
        <v>44944</v>
      </c>
      <c r="D38" s="3">
        <v>87189</v>
      </c>
      <c r="E38" s="42" t="s">
        <v>782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0</v>
      </c>
      <c r="AL38" s="22"/>
    </row>
    <row r="39" spans="1:39" x14ac:dyDescent="0.35">
      <c r="A39" s="41" t="s">
        <v>1657</v>
      </c>
      <c r="B39" t="s">
        <v>1658</v>
      </c>
      <c r="C39" s="5">
        <v>44945</v>
      </c>
      <c r="D39" s="3">
        <v>305855</v>
      </c>
      <c r="E39" s="42" t="s">
        <v>1441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  <c r="AL39" s="22"/>
    </row>
    <row r="40" spans="1:39" x14ac:dyDescent="0.35">
      <c r="A40" s="41" t="s">
        <v>1661</v>
      </c>
      <c r="B40" t="s">
        <v>1662</v>
      </c>
      <c r="C40" s="5">
        <v>44946</v>
      </c>
      <c r="D40" s="3">
        <v>132522</v>
      </c>
      <c r="E40" s="42" t="s">
        <v>1345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0</v>
      </c>
      <c r="AL40" s="22"/>
    </row>
    <row r="41" spans="1:39" x14ac:dyDescent="0.35">
      <c r="A41" s="41" t="s">
        <v>1666</v>
      </c>
      <c r="B41" t="s">
        <v>1667</v>
      </c>
      <c r="C41" s="5">
        <v>44947</v>
      </c>
      <c r="D41" s="3">
        <v>264522</v>
      </c>
      <c r="E41" s="42" t="s">
        <v>1441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K41" s="3">
        <f>SUM($F41:AJ41)</f>
        <v>0</v>
      </c>
      <c r="AL41" s="22"/>
    </row>
    <row r="42" spans="1:39" x14ac:dyDescent="0.35">
      <c r="A42" s="41" t="s">
        <v>1664</v>
      </c>
      <c r="B42" t="s">
        <v>1665</v>
      </c>
      <c r="C42" s="5">
        <v>44949</v>
      </c>
      <c r="D42" s="3">
        <v>87189</v>
      </c>
      <c r="E42" s="42" t="s">
        <v>782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K42" s="3">
        <f>SUM($F42:AJ42)</f>
        <v>0</v>
      </c>
      <c r="AL42" s="22"/>
    </row>
    <row r="43" spans="1:39" x14ac:dyDescent="0.35">
      <c r="A43" s="41" t="s">
        <v>1738</v>
      </c>
      <c r="B43" t="s">
        <v>1740</v>
      </c>
      <c r="C43" s="5">
        <v>44952</v>
      </c>
      <c r="D43" s="3">
        <v>128522</v>
      </c>
      <c r="E43" s="42" t="s">
        <v>782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K43" s="3">
        <f>SUM($F43:AJ43)</f>
        <v>0</v>
      </c>
      <c r="AL43" s="22"/>
    </row>
    <row r="44" spans="1:39" x14ac:dyDescent="0.35">
      <c r="A44" s="41" t="s">
        <v>1739</v>
      </c>
      <c r="B44" t="s">
        <v>1741</v>
      </c>
      <c r="C44" s="5">
        <v>44952</v>
      </c>
      <c r="D44" s="3">
        <v>87189</v>
      </c>
      <c r="E44" s="42" t="s">
        <v>782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K44" s="3">
        <f>SUM($F44:AJ44)</f>
        <v>0</v>
      </c>
      <c r="AL44" s="22"/>
    </row>
    <row r="45" spans="1:39" x14ac:dyDescent="0.35">
      <c r="A45" s="41" t="s">
        <v>1682</v>
      </c>
      <c r="B45" t="s">
        <v>1683</v>
      </c>
      <c r="C45" s="5">
        <v>44953</v>
      </c>
      <c r="D45" s="3">
        <v>132522</v>
      </c>
      <c r="E45" s="42" t="s">
        <v>1345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K45" s="3">
        <f>SUM($F45:AJ45)</f>
        <v>0</v>
      </c>
      <c r="AL45" s="22"/>
    </row>
    <row r="46" spans="1:39" x14ac:dyDescent="0.35">
      <c r="A46" s="41" t="s">
        <v>1684</v>
      </c>
      <c r="B46" t="s">
        <v>1685</v>
      </c>
      <c r="C46" s="5">
        <v>44953</v>
      </c>
      <c r="D46" s="3">
        <v>264522</v>
      </c>
      <c r="E46" s="42" t="s">
        <v>1441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0</v>
      </c>
      <c r="AL46" s="22"/>
    </row>
    <row r="47" spans="1:39" x14ac:dyDescent="0.35">
      <c r="A47" s="41" t="s">
        <v>1686</v>
      </c>
      <c r="B47" t="s">
        <v>1688</v>
      </c>
      <c r="C47" s="5">
        <v>44953</v>
      </c>
      <c r="D47" s="3">
        <v>87189</v>
      </c>
      <c r="E47" s="42" t="s">
        <v>782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K47" s="3">
        <f>SUM($F47:AJ47)</f>
        <v>0</v>
      </c>
      <c r="AL47" s="22"/>
    </row>
    <row r="48" spans="1:39" x14ac:dyDescent="0.35">
      <c r="A48" s="41" t="s">
        <v>1687</v>
      </c>
      <c r="B48" t="s">
        <v>1689</v>
      </c>
      <c r="C48" s="5">
        <v>44953</v>
      </c>
      <c r="D48" s="3">
        <v>87189</v>
      </c>
      <c r="E48" s="42" t="s">
        <v>782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K48" s="3">
        <f>SUM($F48:AJ48)</f>
        <v>0</v>
      </c>
      <c r="AL48" s="22"/>
    </row>
    <row r="49" spans="1:38" x14ac:dyDescent="0.35">
      <c r="A49" s="41" t="s">
        <v>1690</v>
      </c>
      <c r="B49" t="s">
        <v>1691</v>
      </c>
      <c r="C49" s="5">
        <v>44954</v>
      </c>
      <c r="D49" s="3">
        <v>264522</v>
      </c>
      <c r="E49" s="42" t="s">
        <v>1441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K49" s="3">
        <f>SUM($F49:AJ49)</f>
        <v>0</v>
      </c>
      <c r="AL49" s="22"/>
    </row>
    <row r="50" spans="1:38" x14ac:dyDescent="0.35">
      <c r="A50" s="41" t="s">
        <v>1702</v>
      </c>
      <c r="B50" t="s">
        <v>1703</v>
      </c>
      <c r="C50" s="5">
        <v>44957</v>
      </c>
      <c r="D50" s="3">
        <v>264522</v>
      </c>
      <c r="E50" s="42" t="s">
        <v>1441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K50" s="3">
        <f>SUM($F50:AJ50)</f>
        <v>0</v>
      </c>
      <c r="AL50" s="22"/>
    </row>
    <row r="51" spans="1:38" ht="15" thickBot="1" x14ac:dyDescent="0.4">
      <c r="A51" s="43"/>
      <c r="B51" s="76"/>
      <c r="C51" s="45"/>
      <c r="D51" s="46"/>
      <c r="E51" s="4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K51" s="3">
        <f>SUM($F51:AJ51)</f>
        <v>0</v>
      </c>
      <c r="AL51" s="22" t="s">
        <v>1352</v>
      </c>
    </row>
    <row r="52" spans="1:38" x14ac:dyDescent="0.35">
      <c r="A52" s="2" t="s">
        <v>1676</v>
      </c>
      <c r="D52" s="3">
        <f>SUM(D23:D51)</f>
        <v>3713399</v>
      </c>
      <c r="F52" s="3">
        <f t="shared" ref="F52:AJ52" si="1">SUM(F5:F51)</f>
        <v>0</v>
      </c>
      <c r="G52" s="3">
        <f t="shared" si="1"/>
        <v>0</v>
      </c>
      <c r="H52" s="3">
        <f t="shared" si="1"/>
        <v>655819</v>
      </c>
      <c r="I52" s="3">
        <f t="shared" si="1"/>
        <v>91710</v>
      </c>
      <c r="J52" s="3">
        <f t="shared" si="1"/>
        <v>0</v>
      </c>
      <c r="K52" s="3">
        <f t="shared" si="1"/>
        <v>0</v>
      </c>
      <c r="L52" s="3">
        <f t="shared" si="1"/>
        <v>0</v>
      </c>
      <c r="M52" s="3">
        <f t="shared" si="1"/>
        <v>0</v>
      </c>
      <c r="N52" s="3">
        <f t="shared" si="1"/>
        <v>87189</v>
      </c>
      <c r="O52" s="3">
        <f t="shared" si="1"/>
        <v>326819</v>
      </c>
      <c r="P52" s="3">
        <f t="shared" si="1"/>
        <v>0</v>
      </c>
      <c r="Q52" s="3">
        <f t="shared" si="1"/>
        <v>0</v>
      </c>
      <c r="R52" s="3">
        <f t="shared" si="1"/>
        <v>0</v>
      </c>
      <c r="S52" s="3">
        <f t="shared" si="1"/>
        <v>0</v>
      </c>
      <c r="T52" s="3">
        <f t="shared" si="1"/>
        <v>0</v>
      </c>
      <c r="U52" s="3">
        <f t="shared" si="1"/>
        <v>0</v>
      </c>
      <c r="V52" s="3">
        <f t="shared" si="1"/>
        <v>311943</v>
      </c>
      <c r="W52" s="3">
        <f t="shared" si="1"/>
        <v>406647</v>
      </c>
      <c r="X52" s="3">
        <f t="shared" si="1"/>
        <v>0</v>
      </c>
      <c r="Y52" s="3">
        <f t="shared" si="1"/>
        <v>0</v>
      </c>
      <c r="Z52" s="3">
        <f t="shared" si="1"/>
        <v>0</v>
      </c>
      <c r="AA52" s="3">
        <f t="shared" si="1"/>
        <v>0</v>
      </c>
      <c r="AB52" s="3">
        <f t="shared" si="1"/>
        <v>157504</v>
      </c>
      <c r="AC52" s="3">
        <f t="shared" si="1"/>
        <v>0</v>
      </c>
      <c r="AD52" s="3">
        <f t="shared" si="1"/>
        <v>0</v>
      </c>
      <c r="AE52" s="3">
        <f t="shared" si="1"/>
        <v>0</v>
      </c>
      <c r="AF52" s="3">
        <f t="shared" si="1"/>
        <v>353277</v>
      </c>
      <c r="AG52" s="3">
        <f t="shared" si="1"/>
        <v>0</v>
      </c>
      <c r="AH52" s="3">
        <f t="shared" si="1"/>
        <v>0</v>
      </c>
      <c r="AI52" s="3">
        <f t="shared" si="1"/>
        <v>380136</v>
      </c>
      <c r="AJ52" s="3">
        <f t="shared" si="1"/>
        <v>0</v>
      </c>
      <c r="AK52" s="72">
        <f>SUM(AK6:AK51)</f>
        <v>2771044</v>
      </c>
      <c r="AL52" s="22">
        <f>+D53-AK52</f>
        <v>2709430</v>
      </c>
    </row>
    <row r="53" spans="1:38" x14ac:dyDescent="0.35">
      <c r="A53" s="2" t="s">
        <v>1677</v>
      </c>
      <c r="D53" s="3">
        <f>SUM(D6:D50)</f>
        <v>5480474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8" x14ac:dyDescent="0.35">
      <c r="A54" s="2" t="s">
        <v>2</v>
      </c>
      <c r="E54" s="6" t="s">
        <v>13</v>
      </c>
      <c r="F54" s="3"/>
      <c r="G54" s="3"/>
      <c r="H54" s="3"/>
      <c r="I54" s="3"/>
      <c r="J54" s="3"/>
      <c r="K54" s="3"/>
      <c r="L54" s="3" t="s">
        <v>13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8" ht="15" thickBot="1" x14ac:dyDescent="0.4">
      <c r="A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8" x14ac:dyDescent="0.35">
      <c r="A56" s="36" t="s">
        <v>1140</v>
      </c>
      <c r="B56" s="66" t="s">
        <v>337</v>
      </c>
      <c r="C56" s="38" t="s">
        <v>13</v>
      </c>
      <c r="D56" s="39">
        <f>+'Jun-22'!D35</f>
        <v>242556.17000000004</v>
      </c>
      <c r="E56" s="40"/>
      <c r="F56" s="3"/>
      <c r="G56" s="3"/>
      <c r="H56" s="3"/>
      <c r="J56" s="3">
        <v>242556.17000000004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K56" s="3">
        <f>SUM($F56:AJ56)</f>
        <v>242556.17000000004</v>
      </c>
    </row>
    <row r="57" spans="1:38" x14ac:dyDescent="0.35">
      <c r="A57" s="41" t="s">
        <v>1141</v>
      </c>
      <c r="B57" t="s">
        <v>337</v>
      </c>
      <c r="C57" s="5" t="s">
        <v>13</v>
      </c>
      <c r="D57" s="3">
        <f>+'Dic-22'!D61</f>
        <v>534883.75</v>
      </c>
      <c r="E57" s="42"/>
      <c r="F57" s="3"/>
      <c r="G57" s="3"/>
      <c r="H57" s="3"/>
      <c r="J57" s="3">
        <v>534883.75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K57" s="3">
        <f>SUM($F57:AJ57)</f>
        <v>534883.75</v>
      </c>
    </row>
    <row r="58" spans="1:38" x14ac:dyDescent="0.35">
      <c r="A58" s="41" t="s">
        <v>1844</v>
      </c>
      <c r="B58" t="s">
        <v>337</v>
      </c>
      <c r="C58" s="5" t="s">
        <v>13</v>
      </c>
      <c r="D58" s="3">
        <f>+'Ago-22'!D32</f>
        <v>191740.62000000002</v>
      </c>
      <c r="E58" s="42"/>
      <c r="F58" s="3"/>
      <c r="G58" s="3"/>
      <c r="H58" s="3"/>
      <c r="J58" s="3">
        <v>191740.62000000002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K58" s="3">
        <f>SUM($F58:AJ58)</f>
        <v>191740.62000000002</v>
      </c>
    </row>
    <row r="59" spans="1:38" x14ac:dyDescent="0.35">
      <c r="A59" s="41" t="s">
        <v>1616</v>
      </c>
      <c r="B59" t="s">
        <v>337</v>
      </c>
      <c r="C59" s="5"/>
      <c r="D59" s="3">
        <f>+'Dic-22'!D63</f>
        <v>120331.61000000002</v>
      </c>
      <c r="E59" s="42"/>
      <c r="F59" s="3"/>
      <c r="G59" s="3"/>
      <c r="H59" s="3"/>
      <c r="J59" s="3">
        <v>120331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K59" s="3">
        <f>SUM($F59:AJ59)</f>
        <v>120331</v>
      </c>
    </row>
    <row r="60" spans="1:38" x14ac:dyDescent="0.35">
      <c r="A60" s="41" t="s">
        <v>1617</v>
      </c>
      <c r="B60" t="s">
        <v>337</v>
      </c>
      <c r="C60" s="5"/>
      <c r="D60" s="3">
        <f>+'Oct-22'!D52</f>
        <v>425755.82</v>
      </c>
      <c r="E60" s="4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K60" s="3">
        <f>SUM($F60:AJ60)</f>
        <v>0</v>
      </c>
    </row>
    <row r="61" spans="1:38" x14ac:dyDescent="0.35">
      <c r="A61" s="41" t="s">
        <v>1841</v>
      </c>
      <c r="B61" t="s">
        <v>337</v>
      </c>
      <c r="C61" s="5"/>
      <c r="D61" s="3">
        <f>+'Nov-22'!D49</f>
        <v>368324.65880000003</v>
      </c>
      <c r="E61" s="4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K61" s="3">
        <f>SUM($F61:AJ61)</f>
        <v>0</v>
      </c>
    </row>
    <row r="62" spans="1:38" ht="15" thickBot="1" x14ac:dyDescent="0.4">
      <c r="A62" s="41" t="s">
        <v>1842</v>
      </c>
      <c r="B62" t="s">
        <v>337</v>
      </c>
      <c r="C62" s="5"/>
      <c r="D62" s="3">
        <f>+'Dic-22'!D66</f>
        <v>467035.39</v>
      </c>
      <c r="E62" s="4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K62" s="3">
        <f>SUM($F62:AJ62)</f>
        <v>0</v>
      </c>
    </row>
    <row r="63" spans="1:38" ht="15" thickBot="1" x14ac:dyDescent="0.4">
      <c r="A63" s="88" t="s">
        <v>1737</v>
      </c>
      <c r="B63" s="89" t="s">
        <v>337</v>
      </c>
      <c r="C63" s="351">
        <v>44957</v>
      </c>
      <c r="D63" s="270">
        <f>+AK52*0.17</f>
        <v>471077.48000000004</v>
      </c>
      <c r="E63" s="35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K63" s="3">
        <f>SUM($F63:AJ63)</f>
        <v>0</v>
      </c>
      <c r="AL63" s="6" t="s">
        <v>1846</v>
      </c>
    </row>
    <row r="64" spans="1:38" x14ac:dyDescent="0.35">
      <c r="A64" s="343" t="s">
        <v>629</v>
      </c>
      <c r="B64" s="24" t="s">
        <v>337</v>
      </c>
      <c r="C64" s="67"/>
      <c r="D64" s="3">
        <v>500000</v>
      </c>
      <c r="E64" s="4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K64" s="3">
        <f>SUM($F64:AJ64)</f>
        <v>0</v>
      </c>
    </row>
    <row r="65" spans="1:38" x14ac:dyDescent="0.35">
      <c r="A65" s="343" t="s">
        <v>952</v>
      </c>
      <c r="B65" s="24" t="s">
        <v>337</v>
      </c>
      <c r="C65" s="5"/>
      <c r="D65" s="3">
        <v>2400000</v>
      </c>
      <c r="E65" s="4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K65" s="3">
        <f>SUM($F65:AJ65)</f>
        <v>0</v>
      </c>
    </row>
    <row r="66" spans="1:38" x14ac:dyDescent="0.35">
      <c r="A66" s="343" t="s">
        <v>1008</v>
      </c>
      <c r="B66" s="24" t="s">
        <v>337</v>
      </c>
      <c r="C66" s="5"/>
      <c r="D66" s="3">
        <v>2400000</v>
      </c>
      <c r="E66" s="4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K66" s="3">
        <f>SUM($F66:AJ66)</f>
        <v>0</v>
      </c>
    </row>
    <row r="67" spans="1:38" x14ac:dyDescent="0.35">
      <c r="A67" s="343" t="s">
        <v>1197</v>
      </c>
      <c r="B67" s="24" t="s">
        <v>1198</v>
      </c>
      <c r="C67" s="5">
        <v>44781</v>
      </c>
      <c r="D67" s="71">
        <v>290360</v>
      </c>
      <c r="E67" s="42" t="s">
        <v>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K67" s="3">
        <f>SUM($F67:AJ67)</f>
        <v>0</v>
      </c>
    </row>
    <row r="68" spans="1:38" x14ac:dyDescent="0.35">
      <c r="A68" s="343" t="s">
        <v>1309</v>
      </c>
      <c r="B68" t="s">
        <v>1310</v>
      </c>
      <c r="C68" s="67">
        <v>44782</v>
      </c>
      <c r="D68" s="71">
        <v>928200</v>
      </c>
      <c r="E68" s="34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928200</v>
      </c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K68" s="3">
        <f>SUM($F68:AJ68)</f>
        <v>928200</v>
      </c>
      <c r="AL68"/>
    </row>
    <row r="69" spans="1:38" x14ac:dyDescent="0.35">
      <c r="A69" s="343" t="s">
        <v>1161</v>
      </c>
      <c r="B69" s="24" t="s">
        <v>1194</v>
      </c>
      <c r="C69" s="5">
        <v>44784</v>
      </c>
      <c r="D69" s="71">
        <v>24280</v>
      </c>
      <c r="E69" s="344" t="s">
        <v>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K69" s="3">
        <f>SUM($F69:AJ69)</f>
        <v>0</v>
      </c>
      <c r="AL69"/>
    </row>
    <row r="70" spans="1:38" x14ac:dyDescent="0.35">
      <c r="A70" s="343" t="s">
        <v>1195</v>
      </c>
      <c r="B70" s="24" t="s">
        <v>1196</v>
      </c>
      <c r="C70" s="67">
        <v>44784</v>
      </c>
      <c r="D70" s="71">
        <v>35990</v>
      </c>
      <c r="E70" s="344" t="s">
        <v>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K70" s="3">
        <f>SUM($F70:AJ70)</f>
        <v>0</v>
      </c>
      <c r="AL70"/>
    </row>
    <row r="71" spans="1:38" x14ac:dyDescent="0.35">
      <c r="A71" s="343" t="s">
        <v>1201</v>
      </c>
      <c r="B71" s="24" t="s">
        <v>1202</v>
      </c>
      <c r="C71" s="67">
        <v>44785</v>
      </c>
      <c r="D71" s="71">
        <v>12670</v>
      </c>
      <c r="E71" s="344" t="s">
        <v>4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K71" s="3">
        <f>SUM($F71:AJ71)</f>
        <v>0</v>
      </c>
      <c r="AL71"/>
    </row>
    <row r="72" spans="1:38" x14ac:dyDescent="0.35">
      <c r="A72" s="343" t="s">
        <v>1203</v>
      </c>
      <c r="B72" s="24" t="s">
        <v>1204</v>
      </c>
      <c r="C72" s="67">
        <v>44785</v>
      </c>
      <c r="D72" s="71">
        <v>1790</v>
      </c>
      <c r="E72" s="344" t="s">
        <v>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K72" s="3">
        <f>SUM($F72:AJ72)</f>
        <v>0</v>
      </c>
      <c r="AL72"/>
    </row>
    <row r="73" spans="1:38" x14ac:dyDescent="0.35">
      <c r="A73" s="343" t="s">
        <v>1218</v>
      </c>
      <c r="B73" s="24" t="s">
        <v>1219</v>
      </c>
      <c r="C73" s="67">
        <v>44791</v>
      </c>
      <c r="D73" s="71">
        <v>10990</v>
      </c>
      <c r="E73" s="344" t="s">
        <v>4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K73" s="3">
        <f>SUM($F73:AJ73)</f>
        <v>0</v>
      </c>
      <c r="AL73"/>
    </row>
    <row r="74" spans="1:38" x14ac:dyDescent="0.35">
      <c r="A74" s="343" t="s">
        <v>1221</v>
      </c>
      <c r="B74" s="24" t="s">
        <v>1220</v>
      </c>
      <c r="C74" s="67">
        <v>44791</v>
      </c>
      <c r="D74" s="71">
        <v>2990</v>
      </c>
      <c r="E74" s="344" t="s">
        <v>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>
        <f>SUM($F74:AJ74)</f>
        <v>0</v>
      </c>
      <c r="AL74"/>
    </row>
    <row r="75" spans="1:38" x14ac:dyDescent="0.35">
      <c r="A75" s="343" t="s">
        <v>1437</v>
      </c>
      <c r="B75" t="s">
        <v>1438</v>
      </c>
      <c r="C75" s="67">
        <v>44882</v>
      </c>
      <c r="D75" s="3">
        <v>29765</v>
      </c>
      <c r="E75" s="344"/>
      <c r="F75" s="3"/>
      <c r="G75" s="3"/>
      <c r="H75" s="3"/>
      <c r="I75" s="3"/>
      <c r="J75" s="3"/>
      <c r="K75" s="3"/>
      <c r="L75" s="3"/>
      <c r="M75" s="3"/>
      <c r="N75" s="3" t="s">
        <v>13</v>
      </c>
      <c r="O75" s="3"/>
      <c r="P75" s="3"/>
      <c r="Q75" s="3"/>
      <c r="R75" s="3"/>
      <c r="S75" s="3"/>
      <c r="T75" s="3"/>
      <c r="U75" s="3">
        <v>29765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>
        <f>SUM($F75:AJ75)</f>
        <v>29765</v>
      </c>
      <c r="AL75"/>
    </row>
    <row r="76" spans="1:38" x14ac:dyDescent="0.35">
      <c r="A76" s="343" t="s">
        <v>1522</v>
      </c>
      <c r="B76" t="s">
        <v>1525</v>
      </c>
      <c r="C76" s="67">
        <v>44895</v>
      </c>
      <c r="D76" s="107">
        <v>16730</v>
      </c>
      <c r="E76" s="344" t="s">
        <v>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>
        <f>SUM($F76:AJ76)</f>
        <v>0</v>
      </c>
      <c r="AL76"/>
    </row>
    <row r="77" spans="1:38" x14ac:dyDescent="0.35">
      <c r="A77" s="343" t="s">
        <v>1510</v>
      </c>
      <c r="B77" s="61" t="s">
        <v>1660</v>
      </c>
      <c r="C77" s="67">
        <v>44896</v>
      </c>
      <c r="D77" s="71">
        <v>27870</v>
      </c>
      <c r="E77" s="344" t="s">
        <v>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>
        <f>SUM($F77:AJ77)</f>
        <v>0</v>
      </c>
      <c r="AL77"/>
    </row>
    <row r="78" spans="1:38" x14ac:dyDescent="0.35">
      <c r="A78" s="343" t="s">
        <v>1647</v>
      </c>
      <c r="B78" s="24" t="s">
        <v>1648</v>
      </c>
      <c r="C78" s="67">
        <v>44901</v>
      </c>
      <c r="D78" s="3">
        <v>1100</v>
      </c>
      <c r="E78" s="344" t="s">
        <v>4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>
        <f>SUM($F78:AJ78)</f>
        <v>0</v>
      </c>
      <c r="AL78"/>
    </row>
    <row r="79" spans="1:38" x14ac:dyDescent="0.35">
      <c r="A79" s="343" t="s">
        <v>1526</v>
      </c>
      <c r="B79" t="s">
        <v>1527</v>
      </c>
      <c r="C79" s="67">
        <v>44904</v>
      </c>
      <c r="D79" s="107">
        <v>11490</v>
      </c>
      <c r="E79" s="344" t="s">
        <v>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>
        <f>SUM($F79:AJ79)</f>
        <v>0</v>
      </c>
      <c r="AL79"/>
    </row>
    <row r="80" spans="1:38" x14ac:dyDescent="0.35">
      <c r="A80" s="343" t="s">
        <v>1528</v>
      </c>
      <c r="B80" t="s">
        <v>1678</v>
      </c>
      <c r="C80" s="67">
        <v>44908</v>
      </c>
      <c r="D80" s="3">
        <f>142800-30940</f>
        <v>111860</v>
      </c>
      <c r="E80" s="344"/>
      <c r="F80" s="3"/>
      <c r="G80" s="3"/>
      <c r="H80" s="3"/>
      <c r="I80" s="3"/>
      <c r="J80" s="3"/>
      <c r="K80" s="3"/>
      <c r="L80" s="3"/>
      <c r="M80" s="3"/>
      <c r="N80" s="3"/>
      <c r="O80" s="3"/>
      <c r="P80" s="3">
        <f>142800-30940</f>
        <v>111860</v>
      </c>
      <c r="Q80" s="3"/>
      <c r="R80" s="3"/>
      <c r="S80" s="3"/>
      <c r="T80" s="3"/>
      <c r="U80" s="3"/>
      <c r="V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f>SUM($F80:AJ80)</f>
        <v>111860</v>
      </c>
      <c r="AL80"/>
    </row>
    <row r="81" spans="1:38" x14ac:dyDescent="0.35">
      <c r="A81" s="343" t="s">
        <v>1161</v>
      </c>
      <c r="B81" s="24" t="s">
        <v>1580</v>
      </c>
      <c r="C81" s="5">
        <v>44922</v>
      </c>
      <c r="D81" s="7">
        <v>47010</v>
      </c>
      <c r="E81" s="344" t="s">
        <v>1291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Y81" s="3"/>
      <c r="Z81" s="3"/>
      <c r="AA81" s="3"/>
      <c r="AB81" s="3"/>
      <c r="AC81" s="3"/>
      <c r="AD81" s="3">
        <v>47010</v>
      </c>
      <c r="AF81" s="3"/>
      <c r="AG81" s="3"/>
      <c r="AH81" s="3"/>
      <c r="AI81" s="3"/>
      <c r="AJ81" s="3"/>
      <c r="AK81" s="3">
        <f>SUM($F81:AJ81)</f>
        <v>47010</v>
      </c>
      <c r="AL81"/>
    </row>
    <row r="82" spans="1:38" x14ac:dyDescent="0.35">
      <c r="A82" s="343" t="s">
        <v>1493</v>
      </c>
      <c r="C82" s="67">
        <v>44923</v>
      </c>
      <c r="D82" s="3">
        <f>+(12.8+15.6)*1350/9+431+873+1150</f>
        <v>6714</v>
      </c>
      <c r="E82" s="34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Y82" s="3"/>
      <c r="Z82" s="3"/>
      <c r="AA82" s="3"/>
      <c r="AB82" s="3"/>
      <c r="AC82" s="3"/>
      <c r="AD82" s="3">
        <f>+(12.8+15.6)*1350/9+431+873+1150</f>
        <v>6714</v>
      </c>
      <c r="AF82" s="3"/>
      <c r="AG82" s="3"/>
      <c r="AH82" s="3"/>
      <c r="AI82" s="3"/>
      <c r="AJ82" s="3"/>
      <c r="AK82" s="3">
        <f>SUM($F82:AJ82)</f>
        <v>6714</v>
      </c>
      <c r="AL82"/>
    </row>
    <row r="83" spans="1:38" x14ac:dyDescent="0.35">
      <c r="A83" s="343" t="s">
        <v>1605</v>
      </c>
      <c r="C83" s="67">
        <v>44924</v>
      </c>
      <c r="D83" s="3">
        <f>+(6.1+6.1+2.3)*1350/9</f>
        <v>2175</v>
      </c>
      <c r="E83" s="34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Y83" s="3"/>
      <c r="Z83" s="3"/>
      <c r="AA83" s="3"/>
      <c r="AB83" s="3"/>
      <c r="AC83" s="3"/>
      <c r="AD83" s="3">
        <f>+(6.1+6.1+2.3)*1350/9</f>
        <v>2175</v>
      </c>
      <c r="AF83" s="3"/>
      <c r="AG83" s="3"/>
      <c r="AH83" s="3"/>
      <c r="AI83" s="3"/>
      <c r="AJ83" s="3"/>
      <c r="AK83" s="3">
        <f>SUM($F83:AJ83)</f>
        <v>2175</v>
      </c>
      <c r="AL83"/>
    </row>
    <row r="84" spans="1:38" ht="15" thickBot="1" x14ac:dyDescent="0.4">
      <c r="A84" s="345" t="s">
        <v>1607</v>
      </c>
      <c r="B84" s="76" t="s">
        <v>1608</v>
      </c>
      <c r="C84" s="346">
        <v>44924</v>
      </c>
      <c r="D84" s="46">
        <v>33499</v>
      </c>
      <c r="E84" s="347" t="s">
        <v>4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Y84" s="3"/>
      <c r="Z84" s="3"/>
      <c r="AA84" s="3"/>
      <c r="AB84" s="3"/>
      <c r="AC84" s="3"/>
      <c r="AD84" s="3">
        <v>33499</v>
      </c>
      <c r="AF84" s="3"/>
      <c r="AG84" s="3"/>
      <c r="AH84" s="3"/>
      <c r="AI84" s="3"/>
      <c r="AJ84" s="3"/>
      <c r="AK84" s="3">
        <f>SUM($F84:AJ84)</f>
        <v>33499</v>
      </c>
      <c r="AL84"/>
    </row>
    <row r="85" spans="1:38" x14ac:dyDescent="0.35">
      <c r="A85" s="4" t="s">
        <v>1296</v>
      </c>
      <c r="B85" s="24" t="s">
        <v>1287</v>
      </c>
      <c r="C85" s="67">
        <v>44816</v>
      </c>
      <c r="D85" s="3">
        <f>1500*10*1.19</f>
        <v>17850</v>
      </c>
      <c r="E85" s="153" t="s">
        <v>503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7"/>
      <c r="Y85" s="3"/>
      <c r="Z85" s="3"/>
      <c r="AA85" s="3"/>
      <c r="AB85" s="3"/>
      <c r="AC85" s="3"/>
      <c r="AD85" s="3">
        <f>1500*10*1.19</f>
        <v>17850</v>
      </c>
      <c r="AE85" s="3"/>
      <c r="AF85" s="3"/>
      <c r="AG85" s="3"/>
      <c r="AH85" s="3"/>
      <c r="AI85" s="3"/>
      <c r="AJ85" s="3"/>
      <c r="AK85" s="3">
        <f>SUM($F85:AJ85)</f>
        <v>17850</v>
      </c>
      <c r="AL85" s="6" t="s">
        <v>13</v>
      </c>
    </row>
    <row r="86" spans="1:38" x14ac:dyDescent="0.35">
      <c r="A86" s="4" t="s">
        <v>1618</v>
      </c>
      <c r="C86" s="67">
        <v>44931</v>
      </c>
      <c r="D86" s="3">
        <v>13905</v>
      </c>
      <c r="E86" s="153"/>
      <c r="F86" s="3"/>
      <c r="G86" s="3"/>
      <c r="H86" s="3"/>
      <c r="I86" s="3"/>
      <c r="J86" s="3">
        <v>13905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Y86" s="3"/>
      <c r="Z86" s="3"/>
      <c r="AA86" s="3"/>
      <c r="AB86" s="3"/>
      <c r="AC86" s="3"/>
      <c r="AD86" s="3"/>
      <c r="AF86" s="3"/>
      <c r="AG86" s="3"/>
      <c r="AH86" s="3"/>
      <c r="AI86" s="3"/>
      <c r="AJ86" s="3"/>
      <c r="AK86" s="3">
        <f>SUM($F86:AJ86)</f>
        <v>13905</v>
      </c>
      <c r="AL86" s="6" t="s">
        <v>1557</v>
      </c>
    </row>
    <row r="87" spans="1:38" x14ac:dyDescent="0.35">
      <c r="A87" s="4" t="s">
        <v>1619</v>
      </c>
      <c r="C87" s="67">
        <v>44932</v>
      </c>
      <c r="D87" s="3">
        <v>60500</v>
      </c>
      <c r="E87" s="153"/>
      <c r="F87" s="3"/>
      <c r="G87" s="3"/>
      <c r="H87" s="3"/>
      <c r="I87" s="3"/>
      <c r="J87" s="3">
        <v>60500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Y87" s="3"/>
      <c r="Z87" s="3"/>
      <c r="AA87" s="3"/>
      <c r="AB87" s="3"/>
      <c r="AC87" s="3"/>
      <c r="AD87" s="3"/>
      <c r="AF87" s="3" t="s">
        <v>13</v>
      </c>
      <c r="AG87" s="3"/>
      <c r="AH87" s="3"/>
      <c r="AI87" s="3"/>
      <c r="AJ87" s="3"/>
      <c r="AK87" s="3">
        <f>SUM($F87:AJ87)</f>
        <v>60500</v>
      </c>
      <c r="AL87" s="6" t="s">
        <v>1846</v>
      </c>
    </row>
    <row r="88" spans="1:38" x14ac:dyDescent="0.35">
      <c r="A88" s="4" t="s">
        <v>1161</v>
      </c>
      <c r="B88" s="24" t="s">
        <v>1694</v>
      </c>
      <c r="C88" s="5">
        <v>44935</v>
      </c>
      <c r="D88" s="3">
        <v>10780</v>
      </c>
      <c r="E88" s="153" t="s">
        <v>1291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Y88" s="3"/>
      <c r="Z88" s="3"/>
      <c r="AA88" s="3"/>
      <c r="AB88" s="3"/>
      <c r="AC88" s="3"/>
      <c r="AD88" s="3"/>
      <c r="AF88" s="3"/>
      <c r="AG88" s="3"/>
      <c r="AH88" s="3"/>
      <c r="AI88" s="3"/>
      <c r="AJ88" s="3"/>
      <c r="AK88" s="3">
        <f>SUM($F88:AJ88)</f>
        <v>0</v>
      </c>
      <c r="AL88" s="6" t="s">
        <v>83</v>
      </c>
    </row>
    <row r="89" spans="1:38" x14ac:dyDescent="0.35">
      <c r="A89" s="4" t="s">
        <v>872</v>
      </c>
      <c r="B89" t="s">
        <v>1628</v>
      </c>
      <c r="C89" s="67">
        <v>44936</v>
      </c>
      <c r="D89" s="3">
        <v>6664</v>
      </c>
      <c r="E89" s="153" t="s">
        <v>4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Y89" s="3"/>
      <c r="Z89" s="3"/>
      <c r="AA89" s="3"/>
      <c r="AB89" s="3"/>
      <c r="AC89" s="3"/>
      <c r="AD89" s="3">
        <v>6664</v>
      </c>
      <c r="AF89" s="3"/>
      <c r="AG89" s="3"/>
      <c r="AH89" s="3"/>
      <c r="AI89" s="3"/>
      <c r="AJ89" s="3"/>
      <c r="AK89" s="3">
        <f>SUM($F89:AJ89)</f>
        <v>6664</v>
      </c>
      <c r="AL89" s="6" t="s">
        <v>81</v>
      </c>
    </row>
    <row r="90" spans="1:38" x14ac:dyDescent="0.35">
      <c r="A90" s="4" t="s">
        <v>1629</v>
      </c>
      <c r="B90" t="s">
        <v>1631</v>
      </c>
      <c r="C90" s="67">
        <v>44937</v>
      </c>
      <c r="D90" s="3">
        <v>123760</v>
      </c>
      <c r="E90" s="153" t="s">
        <v>503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Y90" s="3"/>
      <c r="Z90" s="3"/>
      <c r="AA90" s="3"/>
      <c r="AB90" s="3"/>
      <c r="AC90" s="3"/>
      <c r="AD90" s="3"/>
      <c r="AF90" s="3"/>
      <c r="AG90" s="3"/>
      <c r="AH90" s="3"/>
      <c r="AI90" s="3"/>
      <c r="AJ90" s="3"/>
      <c r="AK90" s="3"/>
      <c r="AL90" s="6" t="s">
        <v>83</v>
      </c>
    </row>
    <row r="91" spans="1:38" x14ac:dyDescent="0.35">
      <c r="A91" s="4" t="s">
        <v>1556</v>
      </c>
      <c r="C91" s="67">
        <v>44937</v>
      </c>
      <c r="D91" s="3">
        <f>82*2*1350/9+6000</f>
        <v>30600</v>
      </c>
      <c r="E91" s="15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Y91" s="3"/>
      <c r="Z91" s="3"/>
      <c r="AA91" s="3"/>
      <c r="AB91" s="3"/>
      <c r="AC91" s="3"/>
      <c r="AD91" s="3">
        <f>82*2*1350/9+6000</f>
        <v>30600</v>
      </c>
      <c r="AF91" s="3"/>
      <c r="AG91" s="3"/>
      <c r="AH91" s="3"/>
      <c r="AI91" s="3"/>
      <c r="AJ91" s="3"/>
      <c r="AK91" s="3">
        <f>SUM($F91:AJ91)</f>
        <v>30600</v>
      </c>
      <c r="AL91" s="6" t="s">
        <v>1846</v>
      </c>
    </row>
    <row r="92" spans="1:38" x14ac:dyDescent="0.35">
      <c r="A92" s="4" t="s">
        <v>1161</v>
      </c>
      <c r="B92" s="24" t="s">
        <v>1630</v>
      </c>
      <c r="C92" s="5">
        <v>44937</v>
      </c>
      <c r="D92" s="3">
        <v>17090</v>
      </c>
      <c r="E92" s="153" t="s">
        <v>1291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Y92" s="3"/>
      <c r="Z92" s="3"/>
      <c r="AA92" s="3"/>
      <c r="AB92" s="3"/>
      <c r="AC92" s="3"/>
      <c r="AD92" s="3">
        <v>17090</v>
      </c>
      <c r="AF92" s="3"/>
      <c r="AG92" s="3"/>
      <c r="AH92" s="3"/>
      <c r="AI92" s="3"/>
      <c r="AJ92" s="3"/>
      <c r="AK92" s="3">
        <f>SUM($F92:AJ92)</f>
        <v>17090</v>
      </c>
      <c r="AL92" s="6" t="s">
        <v>83</v>
      </c>
    </row>
    <row r="93" spans="1:38" x14ac:dyDescent="0.35">
      <c r="A93" s="4" t="s">
        <v>1541</v>
      </c>
      <c r="B93" t="s">
        <v>1679</v>
      </c>
      <c r="C93" s="67">
        <v>44938</v>
      </c>
      <c r="D93" s="3">
        <v>33320</v>
      </c>
      <c r="E93" s="153" t="s">
        <v>503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Y93" s="3"/>
      <c r="Z93" s="3"/>
      <c r="AA93" s="3"/>
      <c r="AB93" s="3"/>
      <c r="AC93" s="3"/>
      <c r="AD93" s="3"/>
      <c r="AF93" s="3"/>
      <c r="AG93" s="3"/>
      <c r="AH93" s="3"/>
      <c r="AI93" s="3"/>
      <c r="AJ93" s="3"/>
      <c r="AK93" s="3">
        <f>SUM($F93:AJ93)</f>
        <v>0</v>
      </c>
      <c r="AL93" s="6" t="s">
        <v>83</v>
      </c>
    </row>
    <row r="94" spans="1:38" x14ac:dyDescent="0.35">
      <c r="A94" s="4" t="s">
        <v>1161</v>
      </c>
      <c r="B94" s="24" t="s">
        <v>1632</v>
      </c>
      <c r="C94" s="5">
        <v>44938</v>
      </c>
      <c r="D94" s="3">
        <v>19270</v>
      </c>
      <c r="E94" s="153" t="s">
        <v>1291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Y94" s="3"/>
      <c r="Z94" s="3"/>
      <c r="AA94" s="3"/>
      <c r="AB94" s="3"/>
      <c r="AC94" s="3"/>
      <c r="AD94" s="3">
        <v>19270</v>
      </c>
      <c r="AF94" s="3"/>
      <c r="AG94" s="3"/>
      <c r="AH94" s="3"/>
      <c r="AI94" s="3"/>
      <c r="AJ94" s="3"/>
      <c r="AK94" s="3">
        <f>SUM($F94:AJ94)</f>
        <v>19270</v>
      </c>
      <c r="AL94" s="6" t="s">
        <v>83</v>
      </c>
    </row>
    <row r="95" spans="1:38" x14ac:dyDescent="0.35">
      <c r="A95" s="4" t="s">
        <v>1161</v>
      </c>
      <c r="B95" s="24" t="s">
        <v>1644</v>
      </c>
      <c r="C95" s="5">
        <v>44939</v>
      </c>
      <c r="D95" s="3">
        <v>10880</v>
      </c>
      <c r="E95" s="153" t="s">
        <v>1291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Y95" s="3"/>
      <c r="Z95" s="3"/>
      <c r="AA95" s="3"/>
      <c r="AB95" s="3"/>
      <c r="AC95" s="3"/>
      <c r="AD95" s="3">
        <v>10880</v>
      </c>
      <c r="AF95" s="3"/>
      <c r="AG95" s="3"/>
      <c r="AH95" s="3"/>
      <c r="AI95" s="3"/>
      <c r="AJ95" s="3"/>
      <c r="AK95" s="3">
        <f>SUM($F95:AJ95)</f>
        <v>10880</v>
      </c>
      <c r="AL95" s="6" t="s">
        <v>83</v>
      </c>
    </row>
    <row r="96" spans="1:38" x14ac:dyDescent="0.35">
      <c r="A96" s="4" t="s">
        <v>1646</v>
      </c>
      <c r="B96" s="24" t="s">
        <v>1645</v>
      </c>
      <c r="C96" s="5">
        <v>44942</v>
      </c>
      <c r="D96" s="3">
        <v>58000</v>
      </c>
      <c r="E96" s="153" t="s">
        <v>503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>
        <v>58000</v>
      </c>
      <c r="V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>
        <f>SUM($F96:AJ96)</f>
        <v>58000</v>
      </c>
      <c r="AL96" s="6" t="s">
        <v>81</v>
      </c>
    </row>
    <row r="97" spans="1:45" x14ac:dyDescent="0.35">
      <c r="A97" s="4" t="s">
        <v>1656</v>
      </c>
      <c r="B97" s="24"/>
      <c r="C97" s="5">
        <v>44945</v>
      </c>
      <c r="D97" s="3">
        <v>440037</v>
      </c>
      <c r="E97" s="15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X97" s="7">
        <v>440037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>
        <f>SUM($F97:AJ97)</f>
        <v>440037</v>
      </c>
    </row>
    <row r="98" spans="1:45" x14ac:dyDescent="0.35">
      <c r="A98" s="4" t="s">
        <v>1659</v>
      </c>
      <c r="B98" s="24"/>
      <c r="C98" s="5">
        <v>44945</v>
      </c>
      <c r="D98" s="3">
        <v>112722</v>
      </c>
      <c r="E98" s="153" t="s">
        <v>503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X98" s="7">
        <v>112722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>
        <f>SUM($F98:AJ98)</f>
        <v>112722</v>
      </c>
      <c r="AL98" s="6" t="s">
        <v>1846</v>
      </c>
    </row>
    <row r="99" spans="1:45" x14ac:dyDescent="0.35">
      <c r="A99" s="4" t="s">
        <v>1161</v>
      </c>
      <c r="B99" s="24" t="s">
        <v>1681</v>
      </c>
      <c r="C99" s="5">
        <v>44947</v>
      </c>
      <c r="D99" s="3">
        <v>29940</v>
      </c>
      <c r="E99" s="153" t="s">
        <v>1291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X99" s="7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>
        <f>SUM($F99:AJ99)</f>
        <v>0</v>
      </c>
      <c r="AL99" s="6" t="s">
        <v>83</v>
      </c>
    </row>
    <row r="100" spans="1:45" x14ac:dyDescent="0.35">
      <c r="A100" s="4" t="s">
        <v>1680</v>
      </c>
      <c r="B100" s="24"/>
      <c r="C100" s="5">
        <v>44951</v>
      </c>
      <c r="D100" s="3">
        <v>48719</v>
      </c>
      <c r="E100" s="153" t="s">
        <v>503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Y100" s="3"/>
      <c r="Z100" s="3"/>
      <c r="AA100" s="3"/>
      <c r="AB100" s="3"/>
      <c r="AC100" s="3"/>
      <c r="AD100" s="3"/>
      <c r="AE100" s="3">
        <v>48719</v>
      </c>
      <c r="AF100" s="3"/>
      <c r="AG100" s="3"/>
      <c r="AH100" s="3"/>
      <c r="AI100" s="3"/>
      <c r="AJ100" s="3"/>
      <c r="AK100" s="3">
        <f>SUM($F100:AJ100)</f>
        <v>48719</v>
      </c>
      <c r="AL100" s="6" t="s">
        <v>1846</v>
      </c>
    </row>
    <row r="101" spans="1:45" x14ac:dyDescent="0.35">
      <c r="A101" s="4" t="s">
        <v>1161</v>
      </c>
      <c r="B101" s="24" t="s">
        <v>1695</v>
      </c>
      <c r="C101" s="5">
        <v>44953</v>
      </c>
      <c r="D101" s="3">
        <v>18870</v>
      </c>
      <c r="E101" s="153" t="s">
        <v>4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Y101" s="3"/>
      <c r="Z101" s="3"/>
      <c r="AA101" s="3"/>
      <c r="AB101" s="3"/>
      <c r="AC101" s="3"/>
      <c r="AD101" s="3"/>
      <c r="AF101" s="3"/>
      <c r="AG101" s="3"/>
      <c r="AH101" s="3"/>
      <c r="AI101" s="3"/>
      <c r="AJ101" s="3"/>
      <c r="AK101" s="3">
        <f>SUM($F101:AJ101)</f>
        <v>0</v>
      </c>
      <c r="AL101" s="6" t="s">
        <v>83</v>
      </c>
    </row>
    <row r="102" spans="1:45" x14ac:dyDescent="0.35">
      <c r="A102" s="4" t="s">
        <v>1161</v>
      </c>
      <c r="B102" s="24" t="s">
        <v>1696</v>
      </c>
      <c r="C102" s="5">
        <v>44954</v>
      </c>
      <c r="D102" s="3">
        <v>8040</v>
      </c>
      <c r="E102" s="153" t="s">
        <v>4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Y102" s="3"/>
      <c r="Z102" s="3"/>
      <c r="AA102" s="3"/>
      <c r="AB102" s="3"/>
      <c r="AC102" s="3"/>
      <c r="AD102" s="3"/>
      <c r="AF102" s="3"/>
      <c r="AG102" s="3"/>
      <c r="AH102" s="3"/>
      <c r="AI102" s="3"/>
      <c r="AJ102" s="3"/>
      <c r="AK102" s="3">
        <f>SUM($F102:AJ102)</f>
        <v>0</v>
      </c>
      <c r="AL102" s="6" t="s">
        <v>83</v>
      </c>
    </row>
    <row r="103" spans="1:45" x14ac:dyDescent="0.35">
      <c r="A103" s="4" t="s">
        <v>1692</v>
      </c>
      <c r="B103" s="24"/>
      <c r="C103" s="5">
        <v>44956</v>
      </c>
      <c r="D103" s="3">
        <v>11000</v>
      </c>
      <c r="E103" s="153" t="s">
        <v>503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Y103" s="3"/>
      <c r="Z103" s="3"/>
      <c r="AA103" s="3"/>
      <c r="AB103" s="3"/>
      <c r="AC103" s="3"/>
      <c r="AD103" s="3"/>
      <c r="AF103" s="3"/>
      <c r="AG103" s="3"/>
      <c r="AH103" s="3"/>
      <c r="AI103" s="3">
        <v>11000</v>
      </c>
      <c r="AJ103" s="3"/>
      <c r="AK103" s="3">
        <f>SUM($F103:AJ103)</f>
        <v>11000</v>
      </c>
      <c r="AL103" s="6" t="s">
        <v>1846</v>
      </c>
    </row>
    <row r="104" spans="1:45" x14ac:dyDescent="0.35">
      <c r="A104" s="4" t="s">
        <v>1693</v>
      </c>
      <c r="B104" s="24">
        <f>4+8+5+9+9+3</f>
        <v>38</v>
      </c>
      <c r="C104" s="5">
        <v>44956</v>
      </c>
      <c r="D104" s="3">
        <v>38000</v>
      </c>
      <c r="E104" s="153" t="s">
        <v>503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>
        <v>38000</v>
      </c>
      <c r="AJ104" s="3"/>
      <c r="AK104" s="3">
        <f>SUM($F104:AJ104)</f>
        <v>38000</v>
      </c>
      <c r="AL104" s="6" t="s">
        <v>1846</v>
      </c>
    </row>
    <row r="105" spans="1:45" x14ac:dyDescent="0.35">
      <c r="A105" s="4" t="s">
        <v>1697</v>
      </c>
      <c r="B105" s="24">
        <f>2+5+4+8</f>
        <v>19</v>
      </c>
      <c r="C105" s="5">
        <v>44957</v>
      </c>
      <c r="D105" s="3">
        <v>19000</v>
      </c>
      <c r="E105" s="153" t="s">
        <v>503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J105" s="3">
        <v>19000</v>
      </c>
      <c r="AK105" s="3">
        <f>SUM($F105:AJ105)</f>
        <v>19000</v>
      </c>
      <c r="AL105" s="6" t="s">
        <v>1846</v>
      </c>
    </row>
    <row r="106" spans="1:45" x14ac:dyDescent="0.35">
      <c r="A106" s="4" t="s">
        <v>1698</v>
      </c>
      <c r="B106" s="24"/>
      <c r="C106" s="5">
        <v>44957</v>
      </c>
      <c r="D106" s="3">
        <v>15430</v>
      </c>
      <c r="E106" s="153" t="s">
        <v>503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J106" s="3">
        <v>15430</v>
      </c>
      <c r="AK106" s="3">
        <f>SUM($F106:AJ106)</f>
        <v>15430</v>
      </c>
      <c r="AL106" s="6" t="s">
        <v>1846</v>
      </c>
      <c r="AQ106" s="6" t="s">
        <v>1675</v>
      </c>
      <c r="AS106" t="s">
        <v>2259</v>
      </c>
    </row>
    <row r="107" spans="1:45" ht="15" thickBot="1" x14ac:dyDescent="0.4">
      <c r="A107" s="4" t="s">
        <v>1700</v>
      </c>
      <c r="B107" s="24" t="s">
        <v>1699</v>
      </c>
      <c r="C107" s="5">
        <v>44957</v>
      </c>
      <c r="D107" s="3">
        <v>34700</v>
      </c>
      <c r="E107" s="153" t="s">
        <v>503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J107" s="3">
        <v>34700</v>
      </c>
      <c r="AK107" s="3">
        <f>SUM($F107:AJ107)</f>
        <v>34700</v>
      </c>
      <c r="AL107" s="6" t="s">
        <v>81</v>
      </c>
      <c r="AO107" t="s">
        <v>317</v>
      </c>
      <c r="AP107" s="64" t="e">
        <f>+[2]Hoja1!$L$175+[3]Hoja1!#REF!</f>
        <v>#REF!</v>
      </c>
      <c r="AQ107" s="64" t="e">
        <f>+[3]Hoja1!#REF!</f>
        <v>#REF!</v>
      </c>
      <c r="AR107" s="6" t="s">
        <v>1849</v>
      </c>
      <c r="AS107" s="64" t="e">
        <f>+'Dic-22'!AR121+AQ107</f>
        <v>#REF!</v>
      </c>
    </row>
    <row r="108" spans="1:45" x14ac:dyDescent="0.35">
      <c r="A108" s="4"/>
      <c r="B108" s="24"/>
      <c r="C108" s="5"/>
      <c r="D108" s="3"/>
      <c r="E108" s="153"/>
      <c r="F108" s="3"/>
      <c r="G108" s="3" t="s">
        <v>13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>
        <f>SUM($F108:AJ108)</f>
        <v>0</v>
      </c>
      <c r="AO108" s="11" t="s">
        <v>91</v>
      </c>
      <c r="AP108" s="53">
        <f>+D52/1.19</f>
        <v>3120503.3613445382</v>
      </c>
      <c r="AQ108" s="53">
        <f>+(SUMIF(E23:E50,"MD",D23:D50)+SUMIF(E23:E50,"MK",D23:D50))/1.19</f>
        <v>1905927.7310924372</v>
      </c>
      <c r="AR108" t="s">
        <v>13</v>
      </c>
      <c r="AS108" s="10">
        <f>+AQ108+'Dic-22'!AR122</f>
        <v>6088499.6974789919</v>
      </c>
    </row>
    <row r="109" spans="1:45" x14ac:dyDescent="0.35">
      <c r="A109" s="4" t="s">
        <v>1615</v>
      </c>
      <c r="B109" s="24">
        <f>92.58/8</f>
        <v>11.5725</v>
      </c>
      <c r="C109" s="67">
        <v>31</v>
      </c>
      <c r="D109" s="3">
        <f>+B109*C110</f>
        <v>408364.59375</v>
      </c>
      <c r="E109" s="15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Y109" s="3"/>
      <c r="Z109" s="3"/>
      <c r="AA109" s="3"/>
      <c r="AB109" s="3"/>
      <c r="AC109" s="3"/>
      <c r="AD109" s="3"/>
      <c r="AE109" s="3"/>
      <c r="AF109" s="3"/>
      <c r="AG109" s="3"/>
      <c r="AH109" s="3" t="s">
        <v>13</v>
      </c>
      <c r="AI109" s="3"/>
      <c r="AJ109" s="3" t="s">
        <v>13</v>
      </c>
      <c r="AK109" s="3">
        <f>SUM($F109:AJ109)</f>
        <v>0</v>
      </c>
      <c r="AL109" s="22" t="s">
        <v>13</v>
      </c>
      <c r="AO109" s="14" t="s">
        <v>1558</v>
      </c>
      <c r="AP109" s="15">
        <f>+SUMIF(AL85:AL111,"CD",D85:D111)/1.19</f>
        <v>228529.4117647059</v>
      </c>
      <c r="AQ109" s="15" t="e">
        <f>+AP109*AQ$107/AP$107</f>
        <v>#REF!</v>
      </c>
      <c r="AS109" s="10" t="e">
        <f>+AQ109+'Dic-22'!AR123</f>
        <v>#REF!</v>
      </c>
    </row>
    <row r="110" spans="1:45" x14ac:dyDescent="0.35">
      <c r="A110" s="4"/>
      <c r="B110" s="67" t="s">
        <v>933</v>
      </c>
      <c r="C110" s="236">
        <v>35287.5</v>
      </c>
      <c r="E110" s="153"/>
      <c r="F110" s="3" t="s">
        <v>13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Y110" s="3"/>
      <c r="AJ110" s="3"/>
      <c r="AK110" s="3">
        <f>SUM($F110:AJ110)</f>
        <v>0</v>
      </c>
      <c r="AL110" s="22"/>
      <c r="AO110" s="14" t="s">
        <v>1559</v>
      </c>
      <c r="AP110" s="15">
        <f>+AP108-AP109</f>
        <v>2891973.9495798321</v>
      </c>
      <c r="AQ110" s="15" t="e">
        <f>+AQ108-AQ109</f>
        <v>#REF!</v>
      </c>
      <c r="AS110" s="10" t="e">
        <f>+AS108-AS109</f>
        <v>#REF!</v>
      </c>
    </row>
    <row r="111" spans="1:45" x14ac:dyDescent="0.35">
      <c r="A111" s="4" t="s">
        <v>1701</v>
      </c>
      <c r="B111" s="24">
        <f>92.58/8</f>
        <v>11.5725</v>
      </c>
      <c r="C111" s="67">
        <v>31</v>
      </c>
      <c r="D111" s="3">
        <f>+B111*C110</f>
        <v>408364.59375</v>
      </c>
      <c r="E111" s="15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Y111" s="3"/>
      <c r="AJ111" s="3"/>
      <c r="AK111" s="3">
        <f>SUM($F111:AJ111)</f>
        <v>0</v>
      </c>
      <c r="AL111" s="22" t="s">
        <v>1557</v>
      </c>
      <c r="AO111" s="14" t="s">
        <v>1560</v>
      </c>
      <c r="AP111" s="327">
        <f>+AP110/AP108</f>
        <v>0.92676520890968084</v>
      </c>
      <c r="AQ111" s="327" t="e">
        <f>+AQ110/AQ108</f>
        <v>#REF!</v>
      </c>
      <c r="AS111" s="377" t="e">
        <f>+AS110/AS108</f>
        <v>#REF!</v>
      </c>
    </row>
    <row r="112" spans="1:45" x14ac:dyDescent="0.35">
      <c r="A112" s="4"/>
      <c r="B112" s="67"/>
      <c r="C112" s="236"/>
      <c r="E112" s="15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Y112" s="3"/>
      <c r="AJ112" s="3"/>
      <c r="AK112" s="3"/>
      <c r="AL112" s="22"/>
      <c r="AO112" s="14" t="s">
        <v>81</v>
      </c>
      <c r="AP112" s="15">
        <f>+SUMIF(AL85:AL111,"GAV",D85:D111)/1.19+SUMIF(AL85:AL109,"REM",D85:D109)</f>
        <v>419470.15966386558</v>
      </c>
      <c r="AQ112" s="386" t="e">
        <f>+AP112*AQ$107/AP$107+(600000+300000)*5/10</f>
        <v>#REF!</v>
      </c>
      <c r="AS112" s="10" t="e">
        <f>+AQ112+'Dic-22'!AR126</f>
        <v>#REF!</v>
      </c>
    </row>
    <row r="113" spans="1:46" x14ac:dyDescent="0.35">
      <c r="A113" s="4"/>
      <c r="B113" s="67"/>
      <c r="C113" s="236"/>
      <c r="E113" s="15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Y113" s="3"/>
      <c r="AJ113" s="3"/>
      <c r="AK113" s="3"/>
      <c r="AL113" s="22"/>
      <c r="AO113" s="14" t="s">
        <v>1561</v>
      </c>
      <c r="AP113" s="15">
        <f>+AP110-AP112</f>
        <v>2472503.7899159668</v>
      </c>
      <c r="AQ113" s="375" t="e">
        <f>+AQ110-AQ112</f>
        <v>#REF!</v>
      </c>
      <c r="AR113" s="3" t="e">
        <f>+AQ113*0.65</f>
        <v>#REF!</v>
      </c>
      <c r="AS113" s="10" t="e">
        <f>+AS110-AS112</f>
        <v>#REF!</v>
      </c>
      <c r="AT113" s="385" t="e">
        <f>+AQ113/AQ108</f>
        <v>#REF!</v>
      </c>
    </row>
    <row r="114" spans="1:46" x14ac:dyDescent="0.35">
      <c r="A114" s="4"/>
      <c r="B114" s="67"/>
      <c r="C114" s="236"/>
      <c r="E114" s="15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Y114" s="3"/>
      <c r="AJ114" s="3"/>
      <c r="AK114" s="3"/>
      <c r="AL114" s="22"/>
      <c r="AO114" s="14" t="s">
        <v>1563</v>
      </c>
      <c r="AP114" s="15">
        <f>+SUMIF(AL85:AL111,"GF",D85:D111)</f>
        <v>422269.59375</v>
      </c>
      <c r="AQ114" s="15">
        <v>0</v>
      </c>
      <c r="AS114" s="10">
        <f>+AQ114+'Dic-22'!AR128</f>
        <v>0</v>
      </c>
    </row>
    <row r="115" spans="1:46" x14ac:dyDescent="0.35">
      <c r="A115" s="4"/>
      <c r="B115" s="67"/>
      <c r="C115" s="236"/>
      <c r="E115" s="15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Y115" s="3"/>
      <c r="AJ115" s="3"/>
      <c r="AK115" s="3"/>
      <c r="AL115" s="22" t="s">
        <v>1388</v>
      </c>
      <c r="AM115" s="6" t="s">
        <v>1430</v>
      </c>
      <c r="AO115" s="14" t="s">
        <v>82</v>
      </c>
      <c r="AP115" s="15">
        <f>+SUMIF(AL85:AL109,"AF",D85:D109)/1.19</f>
        <v>0</v>
      </c>
      <c r="AQ115" s="15">
        <f>+AP115*AQ$108/AP$108</f>
        <v>0</v>
      </c>
      <c r="AS115" s="10" t="e">
        <f>+AS112-AS114</f>
        <v>#REF!</v>
      </c>
    </row>
    <row r="116" spans="1:46" ht="15" thickBot="1" x14ac:dyDescent="0.4">
      <c r="A116" s="2" t="s">
        <v>9</v>
      </c>
      <c r="D116" s="72">
        <f ca="1">SUM(D75:D120)-D76-D79+SUM(D56:D59)+D68</f>
        <v>4273511.3375000004</v>
      </c>
      <c r="F116" s="3">
        <f t="shared" ref="F116:AJ116" si="2">SUM(F56:F115)</f>
        <v>0</v>
      </c>
      <c r="G116" s="3">
        <f t="shared" si="2"/>
        <v>0</v>
      </c>
      <c r="H116" s="3">
        <f t="shared" si="2"/>
        <v>0</v>
      </c>
      <c r="I116" s="3">
        <f t="shared" si="2"/>
        <v>0</v>
      </c>
      <c r="J116" s="3">
        <f t="shared" si="2"/>
        <v>1163916.54</v>
      </c>
      <c r="K116" s="3">
        <f t="shared" si="2"/>
        <v>0</v>
      </c>
      <c r="L116" s="3">
        <f t="shared" si="2"/>
        <v>0</v>
      </c>
      <c r="M116" s="3">
        <f t="shared" si="2"/>
        <v>0</v>
      </c>
      <c r="N116" s="3">
        <f t="shared" si="2"/>
        <v>0</v>
      </c>
      <c r="O116" s="3">
        <f t="shared" si="2"/>
        <v>0</v>
      </c>
      <c r="P116" s="3">
        <f t="shared" si="2"/>
        <v>111860</v>
      </c>
      <c r="Q116" s="3">
        <f t="shared" si="2"/>
        <v>0</v>
      </c>
      <c r="R116" s="3">
        <f t="shared" si="2"/>
        <v>0</v>
      </c>
      <c r="S116" s="3">
        <f t="shared" si="2"/>
        <v>0</v>
      </c>
      <c r="T116" s="3">
        <f t="shared" si="2"/>
        <v>0</v>
      </c>
      <c r="U116" s="3">
        <f t="shared" si="2"/>
        <v>1015965</v>
      </c>
      <c r="V116" s="3">
        <f t="shared" si="2"/>
        <v>0</v>
      </c>
      <c r="W116" s="3">
        <f t="shared" si="2"/>
        <v>0</v>
      </c>
      <c r="X116" s="3">
        <f t="shared" si="2"/>
        <v>552759</v>
      </c>
      <c r="Y116" s="3">
        <f t="shared" si="2"/>
        <v>0</v>
      </c>
      <c r="Z116" s="3">
        <f t="shared" si="2"/>
        <v>0</v>
      </c>
      <c r="AA116" s="3">
        <f t="shared" si="2"/>
        <v>0</v>
      </c>
      <c r="AB116" s="3">
        <f t="shared" si="2"/>
        <v>0</v>
      </c>
      <c r="AC116" s="3">
        <f t="shared" si="2"/>
        <v>0</v>
      </c>
      <c r="AD116" s="3">
        <f t="shared" si="2"/>
        <v>191752</v>
      </c>
      <c r="AE116" s="3">
        <f t="shared" si="2"/>
        <v>48719</v>
      </c>
      <c r="AF116" s="3">
        <f t="shared" si="2"/>
        <v>0</v>
      </c>
      <c r="AG116" s="3">
        <f t="shared" si="2"/>
        <v>0</v>
      </c>
      <c r="AH116" s="3">
        <f t="shared" si="2"/>
        <v>0</v>
      </c>
      <c r="AI116" s="3">
        <f t="shared" si="2"/>
        <v>49000</v>
      </c>
      <c r="AJ116" s="3">
        <f t="shared" si="2"/>
        <v>69130</v>
      </c>
      <c r="AK116" s="72">
        <f>SUM(AK56:AK109)</f>
        <v>3203101.54</v>
      </c>
      <c r="AL116" s="324">
        <f ca="1">+D116-AK116</f>
        <v>1070409.7975000003</v>
      </c>
      <c r="AM116" s="72">
        <f ca="1">+AJ117+AL52-AL116</f>
        <v>2679432.1670486345</v>
      </c>
      <c r="AO116" s="16"/>
      <c r="AP116" s="19">
        <f>+AP113-AP114-AP115</f>
        <v>2050234.1961659668</v>
      </c>
      <c r="AQ116" s="19" t="e">
        <f>+AQ113-AQ114-AQ115</f>
        <v>#REF!</v>
      </c>
      <c r="AS116" s="10" t="e">
        <f>+AS113-AS114-AS115</f>
        <v>#REF!</v>
      </c>
    </row>
    <row r="117" spans="1:46" x14ac:dyDescent="0.35">
      <c r="A117" t="s">
        <v>8</v>
      </c>
      <c r="F117" s="3">
        <f t="shared" ref="F117:AJ117" si="3">+F52+F3-F116</f>
        <v>1472469.5045486349</v>
      </c>
      <c r="G117" s="3">
        <f t="shared" si="3"/>
        <v>1472469.5045486349</v>
      </c>
      <c r="H117" s="3">
        <f t="shared" si="3"/>
        <v>2128288.5045486349</v>
      </c>
      <c r="I117" s="3">
        <f t="shared" si="3"/>
        <v>2219998.5045486349</v>
      </c>
      <c r="J117" s="3">
        <f t="shared" si="3"/>
        <v>1056081.9645486348</v>
      </c>
      <c r="K117" s="3">
        <f t="shared" si="3"/>
        <v>1056081.9645486348</v>
      </c>
      <c r="L117" s="3">
        <f t="shared" si="3"/>
        <v>1056081.9645486348</v>
      </c>
      <c r="M117" s="3">
        <f t="shared" si="3"/>
        <v>1056081.9645486348</v>
      </c>
      <c r="N117" s="3">
        <f t="shared" si="3"/>
        <v>1143270.9645486348</v>
      </c>
      <c r="O117" s="3">
        <f t="shared" si="3"/>
        <v>1470089.9645486348</v>
      </c>
      <c r="P117" s="3">
        <f t="shared" si="3"/>
        <v>1358229.9645486348</v>
      </c>
      <c r="Q117" s="3">
        <f t="shared" si="3"/>
        <v>1358229.9645486348</v>
      </c>
      <c r="R117" s="3">
        <f t="shared" si="3"/>
        <v>1358229.9645486348</v>
      </c>
      <c r="S117" s="3">
        <f t="shared" si="3"/>
        <v>1358229.9645486348</v>
      </c>
      <c r="T117" s="3">
        <f t="shared" si="3"/>
        <v>1358229.9645486348</v>
      </c>
      <c r="U117" s="3">
        <f t="shared" si="3"/>
        <v>342264.96454863483</v>
      </c>
      <c r="V117" s="3">
        <f t="shared" si="3"/>
        <v>654207.96454863483</v>
      </c>
      <c r="W117" s="3">
        <f t="shared" si="3"/>
        <v>1060854.9645486348</v>
      </c>
      <c r="X117" s="3">
        <f t="shared" si="3"/>
        <v>508095.96454863483</v>
      </c>
      <c r="Y117" s="3">
        <f t="shared" si="3"/>
        <v>508095.96454863483</v>
      </c>
      <c r="Z117" s="3">
        <f t="shared" si="3"/>
        <v>508095.96454863483</v>
      </c>
      <c r="AA117" s="3">
        <f t="shared" si="3"/>
        <v>508095.96454863483</v>
      </c>
      <c r="AB117" s="3">
        <f t="shared" si="3"/>
        <v>665599.96454863483</v>
      </c>
      <c r="AC117" s="3">
        <f t="shared" si="3"/>
        <v>665599.96454863483</v>
      </c>
      <c r="AD117" s="3">
        <f t="shared" si="3"/>
        <v>473847.96454863483</v>
      </c>
      <c r="AE117" s="3">
        <f t="shared" si="3"/>
        <v>425128.96454863483</v>
      </c>
      <c r="AF117" s="3">
        <f t="shared" si="3"/>
        <v>778405.96454863483</v>
      </c>
      <c r="AG117" s="3">
        <f t="shared" si="3"/>
        <v>778405.96454863483</v>
      </c>
      <c r="AH117" s="3">
        <f t="shared" si="3"/>
        <v>778405.96454863483</v>
      </c>
      <c r="AI117" s="3">
        <f t="shared" si="3"/>
        <v>1109541.9645486348</v>
      </c>
      <c r="AJ117" s="3">
        <f t="shared" si="3"/>
        <v>1040411.9645486348</v>
      </c>
      <c r="AK117" s="3" t="s">
        <v>13</v>
      </c>
      <c r="AO117" t="s">
        <v>1961</v>
      </c>
      <c r="AP117" s="3">
        <f>+AP116</f>
        <v>2050234.1961659668</v>
      </c>
      <c r="AQ117" s="3" t="e">
        <f>+AQ116</f>
        <v>#REF!</v>
      </c>
    </row>
    <row r="118" spans="1:46" x14ac:dyDescent="0.35">
      <c r="A118" s="4"/>
      <c r="B118" s="67"/>
      <c r="C118" s="236"/>
      <c r="E118" s="15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Y118" s="3"/>
      <c r="AJ118" s="3"/>
      <c r="AK118" s="3"/>
      <c r="AL118" s="22"/>
      <c r="AO118" t="s">
        <v>1960</v>
      </c>
      <c r="AP118" s="3">
        <f>+'Dic-22'!AN133+AP116</f>
        <v>3646372.0985436752</v>
      </c>
      <c r="AQ118" s="3" t="e">
        <f>+'Dic-22'!AO133+AQ116</f>
        <v>#REF!</v>
      </c>
    </row>
    <row r="119" spans="1:46" x14ac:dyDescent="0.35">
      <c r="A119" s="4"/>
      <c r="B119" s="67"/>
      <c r="C119" s="236" t="s">
        <v>13</v>
      </c>
      <c r="E119" s="15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Y119" s="3"/>
      <c r="AJ119" s="3"/>
      <c r="AK119" s="3"/>
      <c r="AL119" s="22"/>
    </row>
    <row r="120" spans="1:46" x14ac:dyDescent="0.35">
      <c r="A120" s="339" t="s">
        <v>13</v>
      </c>
      <c r="B120" s="67"/>
      <c r="C120" s="236"/>
      <c r="D120" s="3" t="s">
        <v>13</v>
      </c>
      <c r="E120" s="15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Y120" s="3"/>
      <c r="AJ120" s="3"/>
      <c r="AK120" s="3" t="s">
        <v>13</v>
      </c>
      <c r="AL120" s="22"/>
    </row>
    <row r="124" spans="1:46" x14ac:dyDescent="0.35">
      <c r="F124" s="3"/>
      <c r="G124" s="3"/>
      <c r="H124" s="3"/>
      <c r="I124" s="3" t="s">
        <v>13</v>
      </c>
      <c r="J124" s="3"/>
      <c r="K124" s="3" t="s">
        <v>13</v>
      </c>
      <c r="L124" s="3"/>
      <c r="M124" s="3"/>
      <c r="N124" s="3"/>
      <c r="O124" s="3"/>
      <c r="P124" s="3" t="s">
        <v>13</v>
      </c>
      <c r="Q124" s="3"/>
      <c r="R124" s="3"/>
      <c r="S124" s="3"/>
      <c r="T124" s="3" t="s">
        <v>13</v>
      </c>
      <c r="U124" s="3"/>
      <c r="V124" s="3"/>
      <c r="W124" s="3"/>
      <c r="Y124" s="3" t="s">
        <v>13</v>
      </c>
      <c r="Z124" s="3" t="s">
        <v>13</v>
      </c>
      <c r="AA124" s="3" t="s">
        <v>13</v>
      </c>
      <c r="AB124" s="3" t="s">
        <v>13</v>
      </c>
      <c r="AJ124" t="s">
        <v>13</v>
      </c>
    </row>
    <row r="125" spans="1:46" x14ac:dyDescent="0.35">
      <c r="B125" t="s">
        <v>13</v>
      </c>
      <c r="F125" s="3" t="s">
        <v>13</v>
      </c>
      <c r="G125" s="3"/>
      <c r="H125" s="3" t="s">
        <v>13</v>
      </c>
      <c r="I125" s="3"/>
      <c r="J125" s="3"/>
      <c r="K125" s="3"/>
      <c r="L125" s="3"/>
      <c r="M125" s="3"/>
      <c r="N125" s="3"/>
      <c r="O125" s="3"/>
      <c r="P125" s="3" t="s">
        <v>13</v>
      </c>
      <c r="Q125" s="3" t="s">
        <v>13</v>
      </c>
      <c r="R125" s="3" t="s">
        <v>13</v>
      </c>
      <c r="S125" s="3"/>
      <c r="T125" s="3"/>
      <c r="U125" s="3" t="s">
        <v>13</v>
      </c>
      <c r="V125" s="3"/>
      <c r="W125" s="3"/>
      <c r="AB125" s="3" t="s">
        <v>13</v>
      </c>
      <c r="AG125" s="3" t="s">
        <v>13</v>
      </c>
      <c r="AJ125" s="3" t="s">
        <v>13</v>
      </c>
      <c r="AL125"/>
    </row>
    <row r="126" spans="1:46" x14ac:dyDescent="0.35">
      <c r="B126" s="5" t="s">
        <v>13</v>
      </c>
      <c r="D126" s="236" t="s">
        <v>13</v>
      </c>
      <c r="E126" s="6" t="s">
        <v>13</v>
      </c>
      <c r="F126" s="3"/>
      <c r="G126" s="3" t="s">
        <v>13</v>
      </c>
      <c r="H126" s="3" t="s">
        <v>13</v>
      </c>
      <c r="I126" s="3"/>
      <c r="J126" s="3"/>
      <c r="K126" s="3"/>
      <c r="L126" s="3"/>
      <c r="M126" s="3"/>
      <c r="N126" s="3"/>
      <c r="O126" s="3"/>
      <c r="W126" s="3"/>
      <c r="AB126" s="3" t="s">
        <v>13</v>
      </c>
      <c r="AG126" s="3" t="s">
        <v>13</v>
      </c>
      <c r="AJ126" s="3" t="s">
        <v>13</v>
      </c>
      <c r="AL126"/>
    </row>
    <row r="127" spans="1:46" x14ac:dyDescent="0.35">
      <c r="A127" s="5" t="s">
        <v>13</v>
      </c>
      <c r="B127" s="236" t="s">
        <v>13</v>
      </c>
      <c r="C127" s="236" t="s">
        <v>13</v>
      </c>
      <c r="F127" s="3"/>
      <c r="G127" s="3" t="s">
        <v>13</v>
      </c>
      <c r="H127" s="3"/>
      <c r="I127" s="3"/>
      <c r="J127" s="3"/>
      <c r="K127" s="3"/>
      <c r="L127" s="3"/>
      <c r="M127" s="3"/>
      <c r="N127" s="3"/>
      <c r="O127" s="3"/>
      <c r="W127" s="3" t="s">
        <v>13</v>
      </c>
      <c r="AB127" s="3" t="s">
        <v>13</v>
      </c>
      <c r="AG127" s="3" t="s">
        <v>13</v>
      </c>
      <c r="AJ127" s="3" t="s">
        <v>13</v>
      </c>
      <c r="AL127"/>
    </row>
    <row r="128" spans="1:46" x14ac:dyDescent="0.35">
      <c r="B128" t="s">
        <v>13</v>
      </c>
      <c r="C128" t="s">
        <v>13</v>
      </c>
      <c r="D128" s="236" t="s">
        <v>13</v>
      </c>
      <c r="F128" s="3" t="s">
        <v>13</v>
      </c>
      <c r="G128" s="3" t="s">
        <v>13</v>
      </c>
      <c r="H128" s="3"/>
      <c r="I128" s="3"/>
      <c r="J128" s="3"/>
      <c r="K128" s="3"/>
      <c r="L128" s="3"/>
      <c r="M128" s="3"/>
      <c r="N128" s="3"/>
      <c r="O128" s="3"/>
      <c r="W128" s="3"/>
      <c r="AB128" s="3" t="s">
        <v>13</v>
      </c>
      <c r="AG128" s="3" t="s">
        <v>13</v>
      </c>
      <c r="AJ128" s="3" t="s">
        <v>13</v>
      </c>
      <c r="AL128"/>
    </row>
    <row r="129" spans="2:38" x14ac:dyDescent="0.35">
      <c r="B129" t="s">
        <v>13</v>
      </c>
      <c r="C129" s="236" t="s">
        <v>13</v>
      </c>
      <c r="D129" s="286" t="s">
        <v>13</v>
      </c>
      <c r="F129" s="3" t="s">
        <v>13</v>
      </c>
      <c r="G129" s="3" t="s">
        <v>13</v>
      </c>
      <c r="H129" s="3"/>
      <c r="I129" s="3"/>
      <c r="J129" s="3"/>
      <c r="K129" s="3"/>
      <c r="L129" s="3"/>
      <c r="M129" s="3"/>
      <c r="N129" s="3"/>
      <c r="O129" s="3"/>
      <c r="W129" s="3"/>
      <c r="AB129" s="3" t="s">
        <v>13</v>
      </c>
      <c r="AG129" s="3" t="s">
        <v>13</v>
      </c>
      <c r="AJ129" s="3" t="s">
        <v>13</v>
      </c>
      <c r="AL129"/>
    </row>
    <row r="130" spans="2:38" x14ac:dyDescent="0.35">
      <c r="B130" t="s">
        <v>13</v>
      </c>
      <c r="C130" t="s">
        <v>13</v>
      </c>
      <c r="D130" t="s">
        <v>13</v>
      </c>
      <c r="F130" s="3"/>
      <c r="G130" s="3" t="s">
        <v>13</v>
      </c>
      <c r="H130" s="3"/>
      <c r="I130" s="3"/>
      <c r="J130" s="3"/>
      <c r="K130" s="3"/>
      <c r="L130" s="3"/>
      <c r="M130" s="3"/>
      <c r="AG130" s="3" t="s">
        <v>13</v>
      </c>
      <c r="AJ130" s="3" t="s">
        <v>13</v>
      </c>
      <c r="AL130"/>
    </row>
    <row r="131" spans="2:38" x14ac:dyDescent="0.35">
      <c r="B131" t="s">
        <v>13</v>
      </c>
      <c r="D131" t="s">
        <v>13</v>
      </c>
      <c r="F131" s="3"/>
      <c r="G131" s="3" t="s">
        <v>13</v>
      </c>
      <c r="H131" s="3"/>
      <c r="I131" s="3"/>
      <c r="J131" s="3"/>
      <c r="K131" s="3"/>
      <c r="L131" s="3"/>
      <c r="AB131" t="s">
        <v>13</v>
      </c>
      <c r="AG131" s="3" t="s">
        <v>13</v>
      </c>
      <c r="AJ131" s="3" t="s">
        <v>13</v>
      </c>
      <c r="AL131"/>
    </row>
    <row r="132" spans="2:38" x14ac:dyDescent="0.35">
      <c r="B132" t="s">
        <v>13</v>
      </c>
      <c r="F132" s="3"/>
      <c r="G132" s="3" t="s">
        <v>13</v>
      </c>
      <c r="H132" s="3"/>
      <c r="I132" s="3"/>
      <c r="J132" s="3"/>
      <c r="K132" s="3"/>
      <c r="L132" s="3"/>
      <c r="AG132" s="3" t="s">
        <v>13</v>
      </c>
      <c r="AJ132" s="3" t="s">
        <v>13</v>
      </c>
      <c r="AL132"/>
    </row>
    <row r="133" spans="2:38" x14ac:dyDescent="0.35">
      <c r="B133" t="s">
        <v>13</v>
      </c>
      <c r="F133" s="3"/>
      <c r="G133" s="3" t="s">
        <v>13</v>
      </c>
      <c r="H133" s="3"/>
      <c r="I133" s="3"/>
      <c r="J133" s="3"/>
      <c r="K133" s="3"/>
      <c r="L133" s="3"/>
      <c r="AG133" s="3" t="s">
        <v>13</v>
      </c>
      <c r="AJ133" s="3" t="s">
        <v>13</v>
      </c>
      <c r="AL133"/>
    </row>
    <row r="134" spans="2:38" x14ac:dyDescent="0.35">
      <c r="B134" t="s">
        <v>13</v>
      </c>
      <c r="F134" s="3"/>
      <c r="G134" s="3" t="s">
        <v>13</v>
      </c>
      <c r="H134" s="3"/>
      <c r="I134" s="3"/>
      <c r="J134" s="3"/>
      <c r="K134" s="3"/>
      <c r="L134" s="3"/>
      <c r="AG134" s="3" t="s">
        <v>13</v>
      </c>
      <c r="AJ134" s="3" t="s">
        <v>13</v>
      </c>
      <c r="AL134"/>
    </row>
    <row r="135" spans="2:38" x14ac:dyDescent="0.35">
      <c r="B135" t="s">
        <v>13</v>
      </c>
      <c r="F135" s="3"/>
      <c r="G135" s="3" t="s">
        <v>13</v>
      </c>
      <c r="H135" s="3"/>
      <c r="I135" s="3"/>
      <c r="J135" s="3"/>
      <c r="K135" s="3"/>
      <c r="L135" s="3"/>
      <c r="AG135" s="3" t="s">
        <v>13</v>
      </c>
      <c r="AJ135" s="3" t="s">
        <v>13</v>
      </c>
      <c r="AL135"/>
    </row>
    <row r="136" spans="2:38" x14ac:dyDescent="0.35">
      <c r="F136" s="3"/>
      <c r="G136" s="3" t="s">
        <v>13</v>
      </c>
      <c r="H136" s="3"/>
      <c r="I136" s="3"/>
      <c r="J136" s="3"/>
      <c r="K136" s="3"/>
      <c r="L136" s="3"/>
      <c r="AG136" s="3" t="s">
        <v>13</v>
      </c>
      <c r="AJ136" s="3" t="s">
        <v>13</v>
      </c>
      <c r="AL136"/>
    </row>
    <row r="137" spans="2:38" x14ac:dyDescent="0.35">
      <c r="F137" s="3"/>
      <c r="G137" s="3" t="s">
        <v>13</v>
      </c>
      <c r="H137" s="3"/>
      <c r="I137" s="3"/>
      <c r="J137" s="3"/>
      <c r="K137" s="3"/>
      <c r="L137" s="3"/>
      <c r="AG137" s="3" t="s">
        <v>13</v>
      </c>
      <c r="AJ137" s="3" t="s">
        <v>13</v>
      </c>
      <c r="AL137"/>
    </row>
    <row r="138" spans="2:38" x14ac:dyDescent="0.35">
      <c r="F138" s="3"/>
      <c r="G138" s="3" t="s">
        <v>13</v>
      </c>
      <c r="H138" s="3"/>
      <c r="I138" s="3"/>
      <c r="J138" s="3"/>
      <c r="K138" s="3"/>
      <c r="L138" s="3"/>
      <c r="AG138" s="3" t="s">
        <v>13</v>
      </c>
      <c r="AJ138" s="3" t="s">
        <v>13</v>
      </c>
      <c r="AL138"/>
    </row>
    <row r="139" spans="2:38" x14ac:dyDescent="0.35">
      <c r="F139" s="3"/>
      <c r="G139" s="3" t="s">
        <v>13</v>
      </c>
      <c r="H139" s="3"/>
      <c r="I139" s="3"/>
      <c r="J139" s="3"/>
      <c r="K139" s="3"/>
      <c r="L139" s="3"/>
      <c r="AG139" s="3" t="s">
        <v>13</v>
      </c>
      <c r="AJ139" s="3" t="s">
        <v>13</v>
      </c>
      <c r="AL139"/>
    </row>
    <row r="140" spans="2:38" x14ac:dyDescent="0.35">
      <c r="F140" s="3"/>
      <c r="G140" s="3" t="s">
        <v>13</v>
      </c>
      <c r="H140" s="3"/>
      <c r="I140" s="3"/>
      <c r="J140" s="3"/>
      <c r="K140" s="3"/>
      <c r="L140" s="3"/>
      <c r="AG140" s="3" t="s">
        <v>13</v>
      </c>
      <c r="AJ140" s="3" t="s">
        <v>13</v>
      </c>
      <c r="AL140"/>
    </row>
    <row r="141" spans="2:38" x14ac:dyDescent="0.35">
      <c r="E141"/>
      <c r="F141" s="3"/>
      <c r="G141" s="3" t="s">
        <v>13</v>
      </c>
      <c r="H141" s="3"/>
      <c r="I141" s="3"/>
      <c r="J141" s="3"/>
      <c r="K141" s="3"/>
      <c r="L141" s="3"/>
      <c r="AG141" s="3" t="s">
        <v>13</v>
      </c>
      <c r="AJ141" s="3" t="s">
        <v>13</v>
      </c>
      <c r="AL141"/>
    </row>
    <row r="142" spans="2:38" x14ac:dyDescent="0.35">
      <c r="E142"/>
      <c r="F142" s="3"/>
      <c r="G142" s="3" t="s">
        <v>13</v>
      </c>
      <c r="H142" s="3"/>
      <c r="I142" s="3"/>
      <c r="J142" s="3"/>
      <c r="K142" s="3"/>
      <c r="L142" s="3"/>
      <c r="AG142" s="3" t="s">
        <v>13</v>
      </c>
      <c r="AJ142" s="3" t="s">
        <v>13</v>
      </c>
      <c r="AL142"/>
    </row>
    <row r="143" spans="2:38" x14ac:dyDescent="0.35">
      <c r="E143"/>
      <c r="F143" s="3"/>
      <c r="G143" s="3" t="s">
        <v>13</v>
      </c>
      <c r="H143" s="3"/>
      <c r="I143" s="3"/>
      <c r="J143" s="3"/>
      <c r="K143" s="3"/>
      <c r="L143" s="3"/>
      <c r="AL143"/>
    </row>
    <row r="144" spans="2:38" x14ac:dyDescent="0.35">
      <c r="E144"/>
      <c r="F144" s="3"/>
      <c r="G144" s="3" t="s">
        <v>13</v>
      </c>
      <c r="H144" s="3"/>
      <c r="I144" s="3"/>
      <c r="J144" s="3"/>
      <c r="K144" s="3"/>
      <c r="L144" s="3"/>
      <c r="AL144"/>
    </row>
  </sheetData>
  <sortState xmlns:xlrd2="http://schemas.microsoft.com/office/spreadsheetml/2017/richdata2" ref="A85:AQ104">
    <sortCondition ref="C85:C104"/>
  </sortState>
  <pageMargins left="0.7" right="0.7" top="0.75" bottom="0.75" header="0.3" footer="0.3"/>
  <pageSetup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V177"/>
  <sheetViews>
    <sheetView topLeftCell="A90" workbookViewId="0">
      <selection activeCell="A103" sqref="A103"/>
    </sheetView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8" width="11.08984375" style="6"/>
    <col min="39" max="39" width="14.453125" customWidth="1"/>
    <col min="42" max="42" width="12.81640625" customWidth="1"/>
    <col min="44" max="44" width="13.08984375" customWidth="1"/>
  </cols>
  <sheetData>
    <row r="1" spans="1:39" x14ac:dyDescent="0.35">
      <c r="Z1" t="s">
        <v>13</v>
      </c>
      <c r="AA1" s="3" t="s">
        <v>13</v>
      </c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44958</v>
      </c>
      <c r="G2" s="1">
        <v>44959</v>
      </c>
      <c r="H2" s="1">
        <v>44960</v>
      </c>
      <c r="I2" s="1">
        <v>44961</v>
      </c>
      <c r="J2" s="1">
        <v>44962</v>
      </c>
      <c r="K2" s="1">
        <v>44963</v>
      </c>
      <c r="L2" s="1">
        <v>44964</v>
      </c>
      <c r="M2" s="1">
        <v>44965</v>
      </c>
      <c r="N2" s="1">
        <v>44966</v>
      </c>
      <c r="O2" s="1">
        <v>44967</v>
      </c>
      <c r="P2" s="1">
        <v>44968</v>
      </c>
      <c r="Q2" s="1">
        <v>44969</v>
      </c>
      <c r="R2" s="1">
        <v>44970</v>
      </c>
      <c r="S2" s="1">
        <v>44971</v>
      </c>
      <c r="T2" s="1">
        <v>44972</v>
      </c>
      <c r="U2" s="1">
        <v>44973</v>
      </c>
      <c r="V2" s="1">
        <v>44974</v>
      </c>
      <c r="W2" s="1">
        <v>44975</v>
      </c>
      <c r="X2" s="1">
        <v>44976</v>
      </c>
      <c r="Y2" s="1">
        <v>44977</v>
      </c>
      <c r="Z2" s="1">
        <v>44978</v>
      </c>
      <c r="AA2" s="1">
        <v>44979</v>
      </c>
      <c r="AB2" s="1">
        <v>44980</v>
      </c>
      <c r="AC2" s="1">
        <v>44981</v>
      </c>
      <c r="AD2" s="1">
        <v>44982</v>
      </c>
      <c r="AE2" s="1">
        <v>44983</v>
      </c>
      <c r="AF2" s="1">
        <v>44984</v>
      </c>
      <c r="AG2" s="1">
        <v>44985</v>
      </c>
      <c r="AH2" s="1" t="s">
        <v>13</v>
      </c>
      <c r="AI2" s="1" t="s">
        <v>13</v>
      </c>
      <c r="AJ2" s="1" t="s">
        <v>13</v>
      </c>
      <c r="AK2" s="176" t="s">
        <v>579</v>
      </c>
      <c r="AL2" s="176" t="s">
        <v>13</v>
      </c>
    </row>
    <row r="3" spans="1:39" x14ac:dyDescent="0.35">
      <c r="A3" t="s">
        <v>7</v>
      </c>
      <c r="F3" s="3">
        <f>+'Ene-23'!AJ117</f>
        <v>1040411.9645486348</v>
      </c>
      <c r="G3" s="3">
        <f t="shared" ref="G3:AG3" si="0">+F120</f>
        <v>858241.37079863483</v>
      </c>
      <c r="H3" s="3">
        <f t="shared" si="0"/>
        <v>838703.37079863483</v>
      </c>
      <c r="I3" s="3">
        <f t="shared" si="0"/>
        <v>810842.37079863483</v>
      </c>
      <c r="J3" s="3">
        <f t="shared" si="0"/>
        <v>810842.37079863483</v>
      </c>
      <c r="K3" s="3">
        <f t="shared" si="0"/>
        <v>810842.37079863483</v>
      </c>
      <c r="L3" s="3">
        <f t="shared" si="0"/>
        <v>999009.37079863483</v>
      </c>
      <c r="M3" s="3">
        <f t="shared" si="0"/>
        <v>489098.37079863483</v>
      </c>
      <c r="N3" s="3">
        <f t="shared" si="0"/>
        <v>127982.37079863483</v>
      </c>
      <c r="O3" s="3">
        <f t="shared" si="0"/>
        <v>87442.370798634831</v>
      </c>
      <c r="P3" s="3">
        <f t="shared" si="0"/>
        <v>87442.370798634831</v>
      </c>
      <c r="Q3" s="3">
        <f t="shared" si="0"/>
        <v>87442.370798634831</v>
      </c>
      <c r="R3" s="3">
        <f t="shared" si="0"/>
        <v>87442.370798634831</v>
      </c>
      <c r="S3" s="3">
        <f t="shared" si="0"/>
        <v>430079.20519863482</v>
      </c>
      <c r="T3" s="3">
        <f t="shared" si="0"/>
        <v>1496594.2051986349</v>
      </c>
      <c r="U3" s="3">
        <f t="shared" si="0"/>
        <v>996824.20519863488</v>
      </c>
      <c r="V3" s="3">
        <f t="shared" si="0"/>
        <v>996824.20519863488</v>
      </c>
      <c r="W3" s="3">
        <f t="shared" si="0"/>
        <v>996824.20519863488</v>
      </c>
      <c r="X3" s="3">
        <f t="shared" si="0"/>
        <v>996824.20519863488</v>
      </c>
      <c r="Y3" s="3">
        <f t="shared" si="0"/>
        <v>996824.20519863488</v>
      </c>
      <c r="Z3" s="3">
        <f t="shared" si="0"/>
        <v>1239131.2051986349</v>
      </c>
      <c r="AA3" s="3">
        <f t="shared" si="0"/>
        <v>1239131.2051986349</v>
      </c>
      <c r="AB3" s="3">
        <f t="shared" si="0"/>
        <v>529510.20519863488</v>
      </c>
      <c r="AC3" s="3">
        <f t="shared" si="0"/>
        <v>529510.20519863488</v>
      </c>
      <c r="AD3" s="3">
        <f t="shared" si="0"/>
        <v>504730.20519863488</v>
      </c>
      <c r="AE3" s="3">
        <f t="shared" si="0"/>
        <v>503180.20519863488</v>
      </c>
      <c r="AF3" s="3">
        <f t="shared" si="0"/>
        <v>445015.20519863488</v>
      </c>
      <c r="AG3" s="3">
        <f t="shared" si="0"/>
        <v>1007392.2051986349</v>
      </c>
      <c r="AH3" s="3" t="s">
        <v>13</v>
      </c>
      <c r="AI3" s="3" t="s">
        <v>13</v>
      </c>
      <c r="AJ3" s="3" t="s">
        <v>13</v>
      </c>
      <c r="AK3" s="3" t="s">
        <v>13</v>
      </c>
      <c r="AL3" s="6" t="s">
        <v>13</v>
      </c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</row>
    <row r="5" spans="1:39" x14ac:dyDescent="0.35">
      <c r="A5" s="36" t="s">
        <v>895</v>
      </c>
      <c r="B5" s="66" t="s">
        <v>886</v>
      </c>
      <c r="C5" s="38">
        <v>44618</v>
      </c>
      <c r="D5" s="39">
        <v>56708</v>
      </c>
      <c r="E5" s="40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f>SUM($F5:AJ5)</f>
        <v>0</v>
      </c>
      <c r="AL5" s="22"/>
    </row>
    <row r="6" spans="1:39" x14ac:dyDescent="0.35">
      <c r="A6" s="41" t="s">
        <v>1627</v>
      </c>
      <c r="B6" t="s">
        <v>1623</v>
      </c>
      <c r="C6" s="5">
        <v>44935</v>
      </c>
      <c r="D6" s="3">
        <v>91189</v>
      </c>
      <c r="E6" s="42" t="s">
        <v>1441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91189</v>
      </c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 t="s">
        <v>13</v>
      </c>
      <c r="AK6" s="3">
        <f>SUM($F6:AJ6)</f>
        <v>91189</v>
      </c>
      <c r="AL6" s="22"/>
    </row>
    <row r="7" spans="1:39" x14ac:dyDescent="0.35">
      <c r="A7" s="41" t="s">
        <v>1650</v>
      </c>
      <c r="B7" t="s">
        <v>1651</v>
      </c>
      <c r="C7" s="5">
        <v>44943</v>
      </c>
      <c r="D7" s="3">
        <v>167742</v>
      </c>
      <c r="E7" s="42" t="s">
        <v>1441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167742</v>
      </c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 t="s">
        <v>13</v>
      </c>
      <c r="AK7" s="3">
        <f>SUM($F7:AJ7)</f>
        <v>167742</v>
      </c>
      <c r="AL7" s="22"/>
      <c r="AM7" s="6" t="s">
        <v>13</v>
      </c>
    </row>
    <row r="8" spans="1:39" x14ac:dyDescent="0.35">
      <c r="A8" s="41" t="s">
        <v>1668</v>
      </c>
      <c r="B8" t="s">
        <v>1669</v>
      </c>
      <c r="C8" s="5">
        <v>44944</v>
      </c>
      <c r="D8" s="3">
        <v>87189</v>
      </c>
      <c r="E8" s="42" t="s">
        <v>782</v>
      </c>
      <c r="F8" s="3">
        <v>87189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87189</v>
      </c>
      <c r="AL8" s="22"/>
    </row>
    <row r="9" spans="1:39" x14ac:dyDescent="0.35">
      <c r="A9" s="41" t="s">
        <v>1672</v>
      </c>
      <c r="B9" t="s">
        <v>1670</v>
      </c>
      <c r="C9" s="5">
        <v>44944</v>
      </c>
      <c r="D9" s="3">
        <v>169856</v>
      </c>
      <c r="E9" s="42" t="s">
        <v>782</v>
      </c>
      <c r="F9" s="3">
        <v>169856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169856</v>
      </c>
      <c r="AL9" s="22"/>
    </row>
    <row r="10" spans="1:39" x14ac:dyDescent="0.35">
      <c r="A10" s="41" t="s">
        <v>1673</v>
      </c>
      <c r="B10" t="s">
        <v>1671</v>
      </c>
      <c r="C10" s="5">
        <v>44944</v>
      </c>
      <c r="D10" s="3">
        <v>87189</v>
      </c>
      <c r="E10" s="42" t="s">
        <v>782</v>
      </c>
      <c r="F10" s="3">
        <v>87189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87189</v>
      </c>
      <c r="AL10" s="22"/>
    </row>
    <row r="11" spans="1:39" x14ac:dyDescent="0.35">
      <c r="A11" s="41" t="s">
        <v>1657</v>
      </c>
      <c r="B11" t="s">
        <v>1658</v>
      </c>
      <c r="C11" s="5">
        <v>44945</v>
      </c>
      <c r="D11" s="3">
        <v>305855</v>
      </c>
      <c r="E11" s="42" t="s">
        <v>1441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305855</v>
      </c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305855</v>
      </c>
      <c r="AL11" s="22"/>
    </row>
    <row r="12" spans="1:39" x14ac:dyDescent="0.35">
      <c r="A12" s="41" t="s">
        <v>1661</v>
      </c>
      <c r="B12" t="s">
        <v>1662</v>
      </c>
      <c r="C12" s="5">
        <v>44946</v>
      </c>
      <c r="D12" s="3">
        <v>132522</v>
      </c>
      <c r="E12" s="42" t="s">
        <v>1345</v>
      </c>
      <c r="F12" s="3"/>
      <c r="G12" s="3"/>
      <c r="H12" s="3"/>
      <c r="I12" s="3"/>
      <c r="J12" s="3"/>
      <c r="K12" s="3">
        <v>132522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132522</v>
      </c>
      <c r="AL12" s="22"/>
    </row>
    <row r="13" spans="1:39" x14ac:dyDescent="0.35">
      <c r="A13" s="41" t="s">
        <v>1666</v>
      </c>
      <c r="B13" t="s">
        <v>1667</v>
      </c>
      <c r="C13" s="5">
        <v>44947</v>
      </c>
      <c r="D13" s="3">
        <v>264522</v>
      </c>
      <c r="E13" s="42" t="s">
        <v>1441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264522</v>
      </c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264522</v>
      </c>
      <c r="AL13" s="22"/>
    </row>
    <row r="14" spans="1:39" x14ac:dyDescent="0.35">
      <c r="A14" s="41" t="s">
        <v>1664</v>
      </c>
      <c r="B14" t="s">
        <v>1665</v>
      </c>
      <c r="C14" s="5">
        <v>44949</v>
      </c>
      <c r="D14" s="3">
        <v>87189</v>
      </c>
      <c r="E14" s="42" t="s">
        <v>782</v>
      </c>
      <c r="F14" s="3">
        <v>87189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87189</v>
      </c>
      <c r="AL14" s="22"/>
    </row>
    <row r="15" spans="1:39" x14ac:dyDescent="0.35">
      <c r="A15" s="41" t="s">
        <v>1738</v>
      </c>
      <c r="B15" t="s">
        <v>1740</v>
      </c>
      <c r="C15" s="5">
        <v>44952</v>
      </c>
      <c r="D15" s="3">
        <v>128522</v>
      </c>
      <c r="E15" s="42" t="s">
        <v>782</v>
      </c>
      <c r="F15" s="3"/>
      <c r="G15" s="3"/>
      <c r="H15" s="3"/>
      <c r="I15" s="3"/>
      <c r="J15" s="3"/>
      <c r="K15" s="3"/>
      <c r="L15" s="3">
        <v>128522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128522</v>
      </c>
      <c r="AL15" s="22"/>
    </row>
    <row r="16" spans="1:39" x14ac:dyDescent="0.35">
      <c r="A16" s="41" t="s">
        <v>1739</v>
      </c>
      <c r="B16" t="s">
        <v>1741</v>
      </c>
      <c r="C16" s="5">
        <v>44952</v>
      </c>
      <c r="D16" s="3">
        <v>87189</v>
      </c>
      <c r="E16" s="42" t="s">
        <v>782</v>
      </c>
      <c r="F16" s="3"/>
      <c r="G16" s="3"/>
      <c r="H16" s="3"/>
      <c r="I16" s="3"/>
      <c r="J16" s="3"/>
      <c r="K16" s="3"/>
      <c r="L16" s="3">
        <v>87189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87189</v>
      </c>
      <c r="AL16" s="22"/>
    </row>
    <row r="17" spans="1:38" x14ac:dyDescent="0.35">
      <c r="A17" s="41" t="s">
        <v>1682</v>
      </c>
      <c r="B17" t="s">
        <v>1683</v>
      </c>
      <c r="C17" s="5">
        <v>44953</v>
      </c>
      <c r="D17" s="3">
        <v>132522</v>
      </c>
      <c r="E17" s="42" t="s">
        <v>1345</v>
      </c>
      <c r="F17" s="3"/>
      <c r="G17" s="3"/>
      <c r="H17" s="3"/>
      <c r="I17" s="3"/>
      <c r="J17" s="3"/>
      <c r="K17" s="3">
        <v>132522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132522</v>
      </c>
      <c r="AL17" s="22"/>
    </row>
    <row r="18" spans="1:38" x14ac:dyDescent="0.35">
      <c r="A18" s="41" t="s">
        <v>1684</v>
      </c>
      <c r="B18" t="s">
        <v>1685</v>
      </c>
      <c r="C18" s="5">
        <v>44953</v>
      </c>
      <c r="D18" s="3">
        <v>264522</v>
      </c>
      <c r="E18" s="42" t="s">
        <v>1441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>
        <v>264522</v>
      </c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264522</v>
      </c>
      <c r="AL18" s="22"/>
    </row>
    <row r="19" spans="1:38" x14ac:dyDescent="0.35">
      <c r="A19" s="41" t="s">
        <v>1686</v>
      </c>
      <c r="B19" t="s">
        <v>1688</v>
      </c>
      <c r="C19" s="5">
        <v>44953</v>
      </c>
      <c r="D19" s="3">
        <v>87189</v>
      </c>
      <c r="E19" s="42" t="s">
        <v>782</v>
      </c>
      <c r="F19" s="3"/>
      <c r="G19" s="3"/>
      <c r="H19" s="3"/>
      <c r="I19" s="3"/>
      <c r="J19" s="3"/>
      <c r="K19" s="3"/>
      <c r="L19" s="3">
        <v>87189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87189</v>
      </c>
      <c r="AL19" s="22"/>
    </row>
    <row r="20" spans="1:38" x14ac:dyDescent="0.35">
      <c r="A20" s="41" t="s">
        <v>1687</v>
      </c>
      <c r="B20" t="s">
        <v>1689</v>
      </c>
      <c r="C20" s="5">
        <v>44953</v>
      </c>
      <c r="D20" s="3">
        <v>87189</v>
      </c>
      <c r="E20" s="42" t="s">
        <v>782</v>
      </c>
      <c r="F20" s="3"/>
      <c r="G20" s="3"/>
      <c r="H20" s="3"/>
      <c r="I20" s="3"/>
      <c r="J20" s="3"/>
      <c r="K20" s="3"/>
      <c r="L20" s="3">
        <v>87189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87189</v>
      </c>
      <c r="AL20" s="22"/>
    </row>
    <row r="21" spans="1:38" ht="15" thickBot="1" x14ac:dyDescent="0.4">
      <c r="A21" s="41" t="s">
        <v>1690</v>
      </c>
      <c r="B21" t="s">
        <v>1691</v>
      </c>
      <c r="C21" s="5">
        <v>44954</v>
      </c>
      <c r="D21" s="3">
        <v>264522</v>
      </c>
      <c r="E21" s="42" t="s">
        <v>1441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>
        <v>264522</v>
      </c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264522</v>
      </c>
      <c r="AL21" s="22"/>
    </row>
    <row r="22" spans="1:38" x14ac:dyDescent="0.35">
      <c r="A22" s="36" t="s">
        <v>1702</v>
      </c>
      <c r="B22" s="66" t="s">
        <v>1703</v>
      </c>
      <c r="C22" s="38">
        <v>44958</v>
      </c>
      <c r="D22" s="39">
        <v>264522</v>
      </c>
      <c r="E22" s="40" t="s">
        <v>1441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8" x14ac:dyDescent="0.35">
      <c r="A23" s="41" t="s">
        <v>1714</v>
      </c>
      <c r="B23" t="s">
        <v>1716</v>
      </c>
      <c r="C23" s="5">
        <v>44959</v>
      </c>
      <c r="D23" s="3">
        <v>87189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8" x14ac:dyDescent="0.35">
      <c r="A24" s="41" t="s">
        <v>1715</v>
      </c>
      <c r="B24" t="s">
        <v>1717</v>
      </c>
      <c r="C24" s="5">
        <v>44959</v>
      </c>
      <c r="D24" s="3">
        <v>45855</v>
      </c>
      <c r="E24" s="42" t="s">
        <v>782</v>
      </c>
      <c r="F24" s="3" t="s">
        <v>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38" x14ac:dyDescent="0.35">
      <c r="A25" s="41" t="s">
        <v>1719</v>
      </c>
      <c r="B25" t="s">
        <v>1718</v>
      </c>
      <c r="C25" s="5">
        <v>44959</v>
      </c>
      <c r="D25" s="3">
        <v>437855</v>
      </c>
      <c r="E25" s="42" t="s">
        <v>1441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38" x14ac:dyDescent="0.35">
      <c r="A26" s="41" t="s">
        <v>1721</v>
      </c>
      <c r="B26" t="s">
        <v>1742</v>
      </c>
      <c r="C26" s="5">
        <v>44960</v>
      </c>
      <c r="D26" s="3">
        <v>87189</v>
      </c>
      <c r="E26" s="42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38" x14ac:dyDescent="0.35">
      <c r="A27" s="41" t="s">
        <v>1722</v>
      </c>
      <c r="B27" t="s">
        <v>1743</v>
      </c>
      <c r="C27" s="5">
        <v>44960</v>
      </c>
      <c r="D27" s="3">
        <v>87189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38" x14ac:dyDescent="0.35">
      <c r="A28" s="41" t="s">
        <v>1723</v>
      </c>
      <c r="B28" t="s">
        <v>1724</v>
      </c>
      <c r="C28" s="5">
        <v>44960</v>
      </c>
      <c r="D28" s="3">
        <v>87189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</row>
    <row r="29" spans="1:38" x14ac:dyDescent="0.35">
      <c r="A29" s="41" t="s">
        <v>1728</v>
      </c>
      <c r="B29" t="s">
        <v>1727</v>
      </c>
      <c r="C29" s="5">
        <v>44960</v>
      </c>
      <c r="D29" s="3">
        <v>150180</v>
      </c>
      <c r="E29" s="42" t="s">
        <v>1345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v>150180</v>
      </c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150180</v>
      </c>
      <c r="AL29" s="22"/>
    </row>
    <row r="30" spans="1:38" x14ac:dyDescent="0.35">
      <c r="A30" s="41" t="s">
        <v>1733</v>
      </c>
      <c r="B30" t="s">
        <v>1732</v>
      </c>
      <c r="C30" s="5">
        <v>44961</v>
      </c>
      <c r="D30" s="3">
        <v>177855</v>
      </c>
      <c r="E30" s="42" t="s">
        <v>1441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>
        <f>SUM($F30:AJ30)</f>
        <v>0</v>
      </c>
      <c r="AL30" s="22"/>
    </row>
    <row r="31" spans="1:38" x14ac:dyDescent="0.35">
      <c r="A31" s="41" t="s">
        <v>1747</v>
      </c>
      <c r="B31" t="s">
        <v>1744</v>
      </c>
      <c r="C31" s="5">
        <v>44964</v>
      </c>
      <c r="D31" s="3">
        <f>35307.96*2*3*1.19</f>
        <v>252098.83439999999</v>
      </c>
      <c r="E31" s="42" t="s">
        <v>1345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>35307.96*2*3*1.19</f>
        <v>252098.83439999999</v>
      </c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">
        <f>SUM($F31:AJ31)</f>
        <v>252098.83439999999</v>
      </c>
      <c r="AL31" s="22"/>
    </row>
    <row r="32" spans="1:38" x14ac:dyDescent="0.35">
      <c r="A32" s="41" t="s">
        <v>1748</v>
      </c>
      <c r="B32" t="s">
        <v>1745</v>
      </c>
      <c r="C32" s="5">
        <v>44964</v>
      </c>
      <c r="D32" s="3">
        <v>130115</v>
      </c>
      <c r="E32" s="42" t="s">
        <v>1505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Y32" s="3">
        <v>130115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130115</v>
      </c>
      <c r="AL32" s="22"/>
    </row>
    <row r="33" spans="1:38" x14ac:dyDescent="0.35">
      <c r="A33" s="41" t="s">
        <v>1749</v>
      </c>
      <c r="B33" t="s">
        <v>1746</v>
      </c>
      <c r="C33" s="5">
        <v>44964</v>
      </c>
      <c r="D33" s="3">
        <v>43371</v>
      </c>
      <c r="E33" s="42" t="s">
        <v>1441</v>
      </c>
      <c r="F33" s="3"/>
      <c r="G33" s="3"/>
      <c r="H33" s="3"/>
      <c r="I33" s="3"/>
      <c r="J33" s="3"/>
      <c r="K33" s="3" t="s">
        <v>13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>
        <f>SUM($F33:AJ33)</f>
        <v>0</v>
      </c>
      <c r="AL33" s="22"/>
    </row>
    <row r="34" spans="1:38" x14ac:dyDescent="0.35">
      <c r="A34" s="41" t="s">
        <v>1760</v>
      </c>
      <c r="B34" t="s">
        <v>1756</v>
      </c>
      <c r="C34" s="5">
        <v>44966</v>
      </c>
      <c r="D34" s="3">
        <v>301855</v>
      </c>
      <c r="E34" s="42" t="s">
        <v>1441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>
        <v>301855</v>
      </c>
      <c r="AG34" s="3"/>
      <c r="AH34" s="3"/>
      <c r="AI34" s="3"/>
      <c r="AK34" s="3">
        <f>SUM($F34:AJ34)</f>
        <v>301855</v>
      </c>
      <c r="AL34" s="22"/>
    </row>
    <row r="35" spans="1:38" x14ac:dyDescent="0.35">
      <c r="A35" s="41" t="s">
        <v>1761</v>
      </c>
      <c r="B35" t="s">
        <v>1757</v>
      </c>
      <c r="C35" s="5">
        <v>44966</v>
      </c>
      <c r="D35" s="3">
        <v>45855</v>
      </c>
      <c r="E35" s="42" t="s">
        <v>782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">
        <f>SUM($F35:AJ35)</f>
        <v>0</v>
      </c>
      <c r="AL35" s="22"/>
    </row>
    <row r="36" spans="1:38" x14ac:dyDescent="0.35">
      <c r="A36" s="41" t="s">
        <v>1762</v>
      </c>
      <c r="B36" t="s">
        <v>1758</v>
      </c>
      <c r="C36" s="5">
        <v>44966</v>
      </c>
      <c r="D36" s="3">
        <v>132522</v>
      </c>
      <c r="E36" s="42" t="s">
        <v>1345</v>
      </c>
      <c r="F36" s="3"/>
      <c r="G36" s="3"/>
      <c r="H36" s="3" t="s">
        <v>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>
        <v>132522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132522</v>
      </c>
      <c r="AL36" s="22"/>
    </row>
    <row r="37" spans="1:38" x14ac:dyDescent="0.35">
      <c r="A37" s="41" t="s">
        <v>1763</v>
      </c>
      <c r="B37" t="s">
        <v>1759</v>
      </c>
      <c r="C37" s="5">
        <v>44966</v>
      </c>
      <c r="D37" s="3">
        <v>45855</v>
      </c>
      <c r="E37" s="42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</row>
    <row r="38" spans="1:38" x14ac:dyDescent="0.35">
      <c r="A38" s="41" t="s">
        <v>1764</v>
      </c>
      <c r="B38" t="s">
        <v>1765</v>
      </c>
      <c r="C38" s="5">
        <v>44966</v>
      </c>
      <c r="D38" s="3">
        <v>87189</v>
      </c>
      <c r="E38" s="42" t="s">
        <v>782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0</v>
      </c>
      <c r="AL38" s="22"/>
    </row>
    <row r="39" spans="1:38" x14ac:dyDescent="0.35">
      <c r="A39" s="41" t="s">
        <v>1767</v>
      </c>
      <c r="B39" t="s">
        <v>1769</v>
      </c>
      <c r="C39" s="5">
        <v>44968</v>
      </c>
      <c r="D39" s="3">
        <v>87189</v>
      </c>
      <c r="E39" s="42" t="s">
        <v>782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  <c r="AL39" s="22"/>
    </row>
    <row r="40" spans="1:38" x14ac:dyDescent="0.35">
      <c r="A40" s="41" t="s">
        <v>1768</v>
      </c>
      <c r="B40" t="s">
        <v>780</v>
      </c>
      <c r="C40" s="5">
        <v>44968</v>
      </c>
      <c r="D40" s="3">
        <v>87189</v>
      </c>
      <c r="E40" s="42" t="s">
        <v>782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0</v>
      </c>
      <c r="AL40" s="22"/>
    </row>
    <row r="41" spans="1:38" x14ac:dyDescent="0.35">
      <c r="A41" s="41" t="s">
        <v>1773</v>
      </c>
      <c r="B41" t="s">
        <v>1774</v>
      </c>
      <c r="C41" s="5">
        <v>44970</v>
      </c>
      <c r="D41" s="3">
        <v>87189</v>
      </c>
      <c r="E41" s="42" t="s">
        <v>782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K41" s="3">
        <f>SUM($F41:AJ41)</f>
        <v>0</v>
      </c>
      <c r="AL41" s="22"/>
    </row>
    <row r="42" spans="1:38" x14ac:dyDescent="0.35">
      <c r="A42" s="41" t="s">
        <v>1775</v>
      </c>
      <c r="B42" t="s">
        <v>1776</v>
      </c>
      <c r="C42" s="5">
        <v>44970</v>
      </c>
      <c r="D42" s="3">
        <v>45855</v>
      </c>
      <c r="E42" s="42" t="s">
        <v>782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K42" s="3">
        <f>SUM($F42:AJ42)</f>
        <v>0</v>
      </c>
      <c r="AL42" s="22"/>
    </row>
    <row r="43" spans="1:38" x14ac:dyDescent="0.35">
      <c r="A43" s="41" t="s">
        <v>1778</v>
      </c>
      <c r="B43" t="s">
        <v>1779</v>
      </c>
      <c r="C43" s="5">
        <v>44971</v>
      </c>
      <c r="D43" s="3">
        <v>260522</v>
      </c>
      <c r="E43" s="42" t="s">
        <v>1345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>
        <v>260522</v>
      </c>
      <c r="AG43" s="3"/>
      <c r="AH43" s="3"/>
      <c r="AI43" s="3"/>
      <c r="AK43" s="3">
        <f>SUM($F43:AJ43)</f>
        <v>260522</v>
      </c>
      <c r="AL43" s="22"/>
    </row>
    <row r="44" spans="1:38" x14ac:dyDescent="0.35">
      <c r="A44" s="41" t="s">
        <v>1785</v>
      </c>
      <c r="B44" t="s">
        <v>1784</v>
      </c>
      <c r="C44" s="5">
        <v>44971</v>
      </c>
      <c r="D44" s="3">
        <v>87189</v>
      </c>
      <c r="E44" s="42" t="s">
        <v>782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K44" s="3">
        <f>SUM($F44:AJ44)</f>
        <v>0</v>
      </c>
      <c r="AL44" s="22"/>
    </row>
    <row r="45" spans="1:38" x14ac:dyDescent="0.35">
      <c r="A45" s="41" t="s">
        <v>1786</v>
      </c>
      <c r="B45" t="s">
        <v>1787</v>
      </c>
      <c r="C45" s="5">
        <v>44974</v>
      </c>
      <c r="D45" s="3">
        <v>264522</v>
      </c>
      <c r="E45" s="42" t="s">
        <v>1441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K45" s="3">
        <f>SUM($F45:AJ45)</f>
        <v>0</v>
      </c>
      <c r="AL45" s="22"/>
    </row>
    <row r="46" spans="1:38" x14ac:dyDescent="0.35">
      <c r="A46" s="41" t="s">
        <v>1789</v>
      </c>
      <c r="B46" t="s">
        <v>1788</v>
      </c>
      <c r="C46" s="5">
        <v>44975</v>
      </c>
      <c r="D46" s="3">
        <v>128522</v>
      </c>
      <c r="E46" s="42" t="s">
        <v>782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0</v>
      </c>
      <c r="AL46" s="22"/>
    </row>
    <row r="47" spans="1:38" x14ac:dyDescent="0.35">
      <c r="A47" s="41" t="s">
        <v>1808</v>
      </c>
      <c r="B47" t="s">
        <v>1807</v>
      </c>
      <c r="C47" s="5">
        <v>44980</v>
      </c>
      <c r="D47" s="3">
        <v>87189</v>
      </c>
      <c r="E47" s="42" t="s">
        <v>1441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K47" s="3">
        <f>SUM($F47:AJ47)</f>
        <v>0</v>
      </c>
      <c r="AL47" s="22"/>
    </row>
    <row r="48" spans="1:38" x14ac:dyDescent="0.35">
      <c r="A48" s="41" t="s">
        <v>1809</v>
      </c>
      <c r="B48" t="s">
        <v>1810</v>
      </c>
      <c r="C48" s="5">
        <v>44980</v>
      </c>
      <c r="D48" s="3">
        <v>87189</v>
      </c>
      <c r="E48" s="42" t="s">
        <v>1345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K48" s="3">
        <f>SUM($F48:AJ48)</f>
        <v>0</v>
      </c>
      <c r="AL48" s="22"/>
    </row>
    <row r="49" spans="1:38" x14ac:dyDescent="0.35">
      <c r="A49" s="41" t="s">
        <v>1811</v>
      </c>
      <c r="B49" t="s">
        <v>1813</v>
      </c>
      <c r="C49" s="5">
        <v>44981</v>
      </c>
      <c r="D49" s="3">
        <v>87189</v>
      </c>
      <c r="E49" s="42" t="s">
        <v>782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K49" s="3">
        <f>SUM($F49:AJ49)</f>
        <v>0</v>
      </c>
      <c r="AL49" s="22"/>
    </row>
    <row r="50" spans="1:38" x14ac:dyDescent="0.35">
      <c r="A50" s="41" t="s">
        <v>1812</v>
      </c>
      <c r="B50" t="s">
        <v>1814</v>
      </c>
      <c r="C50" s="5">
        <v>44981</v>
      </c>
      <c r="D50" s="3">
        <v>45855</v>
      </c>
      <c r="E50" s="42" t="s">
        <v>782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K50" s="3">
        <f>SUM($F50:AJ50)</f>
        <v>0</v>
      </c>
      <c r="AL50" s="22"/>
    </row>
    <row r="51" spans="1:38" x14ac:dyDescent="0.35">
      <c r="A51" s="41" t="s">
        <v>1817</v>
      </c>
      <c r="B51" t="s">
        <v>1818</v>
      </c>
      <c r="C51" s="5">
        <v>44982</v>
      </c>
      <c r="D51" s="3">
        <v>87189</v>
      </c>
      <c r="E51" s="42" t="s">
        <v>782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K51" s="3">
        <f>SUM($F51:AJ51)</f>
        <v>0</v>
      </c>
      <c r="AL51" s="22"/>
    </row>
    <row r="52" spans="1:38" x14ac:dyDescent="0.35">
      <c r="A52" s="41"/>
      <c r="C52" s="5"/>
      <c r="D52" s="3"/>
      <c r="E52" s="4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K52" s="3">
        <f>SUM($F52:AJ52)</f>
        <v>0</v>
      </c>
      <c r="AL52" s="22"/>
    </row>
    <row r="53" spans="1:38" x14ac:dyDescent="0.35">
      <c r="A53" s="41"/>
      <c r="C53" s="5"/>
      <c r="D53" s="3"/>
      <c r="E53" s="4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K53" s="3">
        <f>SUM($F53:AJ53)</f>
        <v>0</v>
      </c>
      <c r="AL53" s="22"/>
    </row>
    <row r="54" spans="1:38" x14ac:dyDescent="0.35">
      <c r="A54" s="41"/>
      <c r="C54" s="5"/>
      <c r="D54" s="3"/>
      <c r="E54" s="4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K54" s="3">
        <f>SUM($F54:AJ54)</f>
        <v>0</v>
      </c>
      <c r="AL54" s="22"/>
    </row>
    <row r="55" spans="1:38" ht="15" thickBot="1" x14ac:dyDescent="0.4">
      <c r="A55" s="43"/>
      <c r="B55" s="76"/>
      <c r="C55" s="45"/>
      <c r="D55" s="360" t="s">
        <v>13</v>
      </c>
      <c r="E55" s="4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K55" s="3">
        <f>SUM($F55:AJ55)</f>
        <v>0</v>
      </c>
      <c r="AL55" s="22" t="s">
        <v>1352</v>
      </c>
    </row>
    <row r="56" spans="1:38" x14ac:dyDescent="0.35">
      <c r="A56" s="2" t="s">
        <v>1676</v>
      </c>
      <c r="C56" s="3" t="s">
        <v>13</v>
      </c>
      <c r="D56" s="3">
        <f>SUM(D22:D55)</f>
        <v>3906671.8344000001</v>
      </c>
      <c r="F56" s="3">
        <f t="shared" ref="F56:AJ56" si="1">SUM(F5:F55)</f>
        <v>431423</v>
      </c>
      <c r="G56" s="3">
        <f t="shared" si="1"/>
        <v>0</v>
      </c>
      <c r="H56" s="3">
        <f t="shared" si="1"/>
        <v>0</v>
      </c>
      <c r="I56" s="3">
        <f t="shared" si="1"/>
        <v>0</v>
      </c>
      <c r="J56" s="3">
        <f t="shared" si="1"/>
        <v>0</v>
      </c>
      <c r="K56" s="3">
        <f t="shared" si="1"/>
        <v>265044</v>
      </c>
      <c r="L56" s="3">
        <f t="shared" si="1"/>
        <v>390089</v>
      </c>
      <c r="M56" s="3">
        <f t="shared" si="1"/>
        <v>0</v>
      </c>
      <c r="N56" s="3">
        <f t="shared" si="1"/>
        <v>0</v>
      </c>
      <c r="O56" s="3">
        <f t="shared" si="1"/>
        <v>0</v>
      </c>
      <c r="P56" s="3">
        <f t="shared" si="1"/>
        <v>0</v>
      </c>
      <c r="Q56" s="3">
        <f t="shared" si="1"/>
        <v>0</v>
      </c>
      <c r="R56" s="3">
        <f t="shared" si="1"/>
        <v>402278.83439999999</v>
      </c>
      <c r="S56" s="3">
        <f t="shared" si="1"/>
        <v>1358352</v>
      </c>
      <c r="T56" s="3">
        <f t="shared" si="1"/>
        <v>0</v>
      </c>
      <c r="U56" s="3">
        <f t="shared" si="1"/>
        <v>0</v>
      </c>
      <c r="V56" s="3">
        <f t="shared" si="1"/>
        <v>0</v>
      </c>
      <c r="W56" s="3">
        <f t="shared" si="1"/>
        <v>0</v>
      </c>
      <c r="X56" s="3">
        <f t="shared" si="1"/>
        <v>0</v>
      </c>
      <c r="Y56" s="3">
        <f t="shared" si="1"/>
        <v>262637</v>
      </c>
      <c r="Z56" s="3">
        <f t="shared" si="1"/>
        <v>0</v>
      </c>
      <c r="AA56" s="3">
        <f t="shared" si="1"/>
        <v>0</v>
      </c>
      <c r="AB56" s="3">
        <f t="shared" si="1"/>
        <v>0</v>
      </c>
      <c r="AC56" s="3">
        <f t="shared" si="1"/>
        <v>0</v>
      </c>
      <c r="AD56" s="3">
        <f t="shared" si="1"/>
        <v>0</v>
      </c>
      <c r="AE56" s="3">
        <f t="shared" si="1"/>
        <v>0</v>
      </c>
      <c r="AF56" s="3">
        <f t="shared" si="1"/>
        <v>562377</v>
      </c>
      <c r="AG56" s="3">
        <f t="shared" si="1"/>
        <v>0</v>
      </c>
      <c r="AH56" s="3">
        <f t="shared" si="1"/>
        <v>0</v>
      </c>
      <c r="AI56" s="3">
        <f t="shared" si="1"/>
        <v>0</v>
      </c>
      <c r="AJ56" s="3">
        <f t="shared" si="1"/>
        <v>0</v>
      </c>
      <c r="AK56" s="72">
        <f>SUM(AK6:AK55)</f>
        <v>3672200.8344000001</v>
      </c>
      <c r="AL56" s="22">
        <f>+D57-AK56</f>
        <v>2679379</v>
      </c>
    </row>
    <row r="57" spans="1:38" x14ac:dyDescent="0.35">
      <c r="A57" s="2" t="s">
        <v>1780</v>
      </c>
      <c r="D57" s="3">
        <f>SUM(D6:D55)</f>
        <v>6351579.8344000001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8" x14ac:dyDescent="0.35">
      <c r="A58" s="2" t="s">
        <v>2</v>
      </c>
      <c r="F58" s="3"/>
      <c r="G58" s="3"/>
      <c r="H58" s="3"/>
      <c r="I58" s="3"/>
      <c r="J58" s="3"/>
      <c r="K58" s="3"/>
      <c r="L58" s="3" t="s">
        <v>13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8" ht="15" thickBot="1" x14ac:dyDescent="0.4">
      <c r="A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8" x14ac:dyDescent="0.35">
      <c r="A60" s="36" t="s">
        <v>1617</v>
      </c>
      <c r="B60" s="66" t="s">
        <v>337</v>
      </c>
      <c r="C60" s="38"/>
      <c r="D60" s="39">
        <f>+'Oct-22'!D52</f>
        <v>425755.82</v>
      </c>
      <c r="E60" s="40"/>
      <c r="F60" s="3"/>
      <c r="G60" s="3"/>
      <c r="H60" s="3"/>
      <c r="I60" s="3"/>
      <c r="J60" s="3"/>
      <c r="K60" s="3"/>
      <c r="L60" s="3">
        <v>300000</v>
      </c>
      <c r="M60" s="3">
        <v>125756</v>
      </c>
      <c r="N60" s="3"/>
      <c r="O60" s="3"/>
      <c r="P60" s="3"/>
      <c r="Q60" s="3"/>
      <c r="R60" s="3"/>
      <c r="S60" s="3"/>
      <c r="T60" s="3"/>
      <c r="U60" s="3"/>
      <c r="V60" s="3"/>
      <c r="W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K60" s="3">
        <f>SUM($F60:AJ60)</f>
        <v>425756</v>
      </c>
    </row>
    <row r="61" spans="1:38" x14ac:dyDescent="0.35">
      <c r="A61" s="41" t="s">
        <v>1841</v>
      </c>
      <c r="B61" t="s">
        <v>337</v>
      </c>
      <c r="C61" s="5"/>
      <c r="D61" s="3">
        <f>+'Nov-22'!D49</f>
        <v>368324.65880000003</v>
      </c>
      <c r="E61" s="42"/>
      <c r="F61" s="3"/>
      <c r="G61" s="3"/>
      <c r="H61" s="3"/>
      <c r="I61" s="3"/>
      <c r="J61" s="3"/>
      <c r="K61" s="3"/>
      <c r="L61" s="3">
        <v>300000</v>
      </c>
      <c r="M61" s="3">
        <v>68325</v>
      </c>
      <c r="N61" s="3"/>
      <c r="O61" s="3"/>
      <c r="P61" s="3"/>
      <c r="Q61" s="3"/>
      <c r="R61" s="3"/>
      <c r="S61" s="3"/>
      <c r="T61" s="3"/>
      <c r="U61" s="3"/>
      <c r="V61" s="3"/>
      <c r="W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K61" s="3">
        <f>SUM($F61:AJ61)</f>
        <v>368325</v>
      </c>
    </row>
    <row r="62" spans="1:38" x14ac:dyDescent="0.35">
      <c r="A62" s="41" t="s">
        <v>1842</v>
      </c>
      <c r="B62" t="s">
        <v>337</v>
      </c>
      <c r="C62" s="5"/>
      <c r="D62" s="3">
        <f>+'Dic-22'!D66</f>
        <v>467035.39</v>
      </c>
      <c r="E62" s="42"/>
      <c r="F62" s="3"/>
      <c r="G62" s="3"/>
      <c r="H62" s="3"/>
      <c r="I62" s="3"/>
      <c r="J62" s="3"/>
      <c r="K62" s="3"/>
      <c r="L62" s="3">
        <v>300000</v>
      </c>
      <c r="M62" s="3">
        <v>167035</v>
      </c>
      <c r="N62" s="3"/>
      <c r="O62" s="3"/>
      <c r="P62" s="3"/>
      <c r="Q62" s="3"/>
      <c r="R62" s="3"/>
      <c r="S62" s="3"/>
      <c r="T62" s="3"/>
      <c r="U62" s="3"/>
      <c r="V62" s="3"/>
      <c r="W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K62" s="3">
        <f>SUM($F62:AJ62)</f>
        <v>467035</v>
      </c>
    </row>
    <row r="63" spans="1:38" ht="15" thickBot="1" x14ac:dyDescent="0.4">
      <c r="A63" s="41" t="s">
        <v>1737</v>
      </c>
      <c r="B63" t="s">
        <v>337</v>
      </c>
      <c r="C63" s="5"/>
      <c r="D63" s="3">
        <f>+'Ene-23'!D63</f>
        <v>471077.48000000004</v>
      </c>
      <c r="E63" s="42"/>
      <c r="F63" s="3"/>
      <c r="G63" s="3"/>
      <c r="H63" s="3"/>
      <c r="I63" s="3"/>
      <c r="J63" s="3"/>
      <c r="K63" s="3"/>
      <c r="L63" s="3"/>
      <c r="M63" s="3" t="s">
        <v>13</v>
      </c>
      <c r="N63" s="3"/>
      <c r="O63" s="3"/>
      <c r="P63" s="3"/>
      <c r="Q63" s="3"/>
      <c r="S63" s="3">
        <v>271077</v>
      </c>
      <c r="T63" s="3">
        <v>200000</v>
      </c>
      <c r="U63" s="3"/>
      <c r="V63" s="3"/>
      <c r="W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K63" s="3">
        <f>SUM($F63:AJ63)</f>
        <v>471077</v>
      </c>
    </row>
    <row r="64" spans="1:38" ht="15" thickBot="1" x14ac:dyDescent="0.4">
      <c r="A64" s="88" t="s">
        <v>1840</v>
      </c>
      <c r="B64" s="89" t="s">
        <v>337</v>
      </c>
      <c r="C64" s="351">
        <v>44985</v>
      </c>
      <c r="D64" s="270">
        <f>+AK56*0.17</f>
        <v>624274.141848</v>
      </c>
      <c r="E64" s="35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S64" s="3"/>
      <c r="T64" s="3"/>
      <c r="U64" s="3"/>
      <c r="V64" s="3"/>
      <c r="W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K64" s="3">
        <f>SUM($F64:AJ64)</f>
        <v>0</v>
      </c>
      <c r="AL64" s="6" t="s">
        <v>1846</v>
      </c>
    </row>
    <row r="65" spans="1:38" x14ac:dyDescent="0.35">
      <c r="A65" s="343" t="s">
        <v>629</v>
      </c>
      <c r="B65" s="24" t="s">
        <v>337</v>
      </c>
      <c r="C65" s="67"/>
      <c r="D65" s="3">
        <v>500000</v>
      </c>
      <c r="E65" s="42"/>
      <c r="F65" s="3"/>
      <c r="G65" s="3"/>
      <c r="H65" s="3" t="s">
        <v>13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Z65" s="3"/>
      <c r="AA65" s="3"/>
      <c r="AB65" s="3"/>
      <c r="AC65" s="3"/>
      <c r="AD65" s="3"/>
      <c r="AE65" s="3"/>
      <c r="AF65" s="3"/>
      <c r="AG65" s="3">
        <v>500000</v>
      </c>
      <c r="AH65" s="3"/>
      <c r="AI65" s="3"/>
      <c r="AK65" s="3">
        <f>SUM($F65:AJ65)</f>
        <v>500000</v>
      </c>
    </row>
    <row r="66" spans="1:38" x14ac:dyDescent="0.35">
      <c r="A66" s="343" t="s">
        <v>952</v>
      </c>
      <c r="B66" s="24" t="s">
        <v>337</v>
      </c>
      <c r="C66" s="5"/>
      <c r="D66" s="3">
        <v>2400000</v>
      </c>
      <c r="E66" s="42"/>
      <c r="F66" s="3"/>
      <c r="G66" s="3"/>
      <c r="H66" s="3" t="s">
        <v>13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K66" s="3">
        <f>SUM($F66:AJ66)</f>
        <v>0</v>
      </c>
    </row>
    <row r="67" spans="1:38" x14ac:dyDescent="0.35">
      <c r="A67" s="343" t="s">
        <v>1008</v>
      </c>
      <c r="B67" s="24" t="s">
        <v>337</v>
      </c>
      <c r="C67" s="5"/>
      <c r="D67" s="3">
        <v>2400000</v>
      </c>
      <c r="E67" s="42"/>
      <c r="F67" s="3"/>
      <c r="G67" s="3"/>
      <c r="H67" s="3" t="s">
        <v>13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K67" s="3">
        <f>SUM($F67:AJ67)</f>
        <v>0</v>
      </c>
    </row>
    <row r="68" spans="1:38" x14ac:dyDescent="0.35">
      <c r="A68" s="343" t="s">
        <v>1647</v>
      </c>
      <c r="B68" s="24" t="s">
        <v>1648</v>
      </c>
      <c r="C68" s="67">
        <v>44901</v>
      </c>
      <c r="D68" s="3">
        <v>1100</v>
      </c>
      <c r="E68" s="344" t="s">
        <v>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1100</v>
      </c>
      <c r="U68" s="3"/>
      <c r="V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>
        <f>SUM($F68:AJ68)</f>
        <v>1100</v>
      </c>
    </row>
    <row r="69" spans="1:38" x14ac:dyDescent="0.35">
      <c r="A69" s="343" t="s">
        <v>1541</v>
      </c>
      <c r="B69" t="s">
        <v>1590</v>
      </c>
      <c r="C69" s="67">
        <v>44923</v>
      </c>
      <c r="D69" s="3">
        <v>33320</v>
      </c>
      <c r="E69" s="344" t="s">
        <v>503</v>
      </c>
      <c r="F69" s="3">
        <v>33320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Y69" s="3"/>
      <c r="Z69" s="3"/>
      <c r="AA69" s="3"/>
      <c r="AB69" s="3"/>
      <c r="AC69" s="3"/>
      <c r="AD69" s="3"/>
      <c r="AF69" s="3"/>
      <c r="AG69" s="3"/>
      <c r="AH69" s="3"/>
      <c r="AI69" s="3"/>
      <c r="AJ69" s="3"/>
      <c r="AK69" s="3">
        <f>SUM($F69:AJ69)</f>
        <v>33320</v>
      </c>
    </row>
    <row r="70" spans="1:38" x14ac:dyDescent="0.35">
      <c r="A70" s="343" t="s">
        <v>1161</v>
      </c>
      <c r="B70" s="24" t="s">
        <v>1694</v>
      </c>
      <c r="C70" s="5">
        <v>44935</v>
      </c>
      <c r="D70" s="3">
        <v>10780</v>
      </c>
      <c r="E70" s="344" t="s">
        <v>1291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10780</v>
      </c>
      <c r="U70" s="3"/>
      <c r="V70" s="3"/>
      <c r="Y70" s="3"/>
      <c r="Z70" s="3"/>
      <c r="AA70" s="3"/>
      <c r="AB70" s="3"/>
      <c r="AC70" s="3"/>
      <c r="AD70" s="3"/>
      <c r="AF70" s="3"/>
      <c r="AG70" s="3"/>
      <c r="AH70" s="3"/>
      <c r="AI70" s="3"/>
      <c r="AJ70" s="3"/>
      <c r="AK70" s="3">
        <f>SUM($F70:AJ70)</f>
        <v>10780</v>
      </c>
    </row>
    <row r="71" spans="1:38" x14ac:dyDescent="0.35">
      <c r="A71" s="343" t="s">
        <v>1629</v>
      </c>
      <c r="B71" t="s">
        <v>1631</v>
      </c>
      <c r="C71" s="67">
        <v>44937</v>
      </c>
      <c r="D71" s="3">
        <v>123760</v>
      </c>
      <c r="E71" s="344" t="s">
        <v>503</v>
      </c>
      <c r="F71" s="3">
        <v>123760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Y71" s="3"/>
      <c r="Z71" s="3"/>
      <c r="AA71" s="3"/>
      <c r="AB71" s="3"/>
      <c r="AC71" s="3"/>
      <c r="AD71" s="3"/>
      <c r="AF71" s="3"/>
      <c r="AG71" s="3"/>
      <c r="AH71" s="3"/>
      <c r="AI71" s="3"/>
      <c r="AJ71" s="3"/>
      <c r="AK71" s="3">
        <f>SUM($F71:AJ71)</f>
        <v>123760</v>
      </c>
    </row>
    <row r="72" spans="1:38" x14ac:dyDescent="0.35">
      <c r="A72" s="343" t="s">
        <v>1541</v>
      </c>
      <c r="B72" t="s">
        <v>1679</v>
      </c>
      <c r="C72" s="67">
        <v>44938</v>
      </c>
      <c r="D72" s="3">
        <v>33320</v>
      </c>
      <c r="E72" s="344" t="s">
        <v>503</v>
      </c>
      <c r="F72" s="3">
        <v>17850</v>
      </c>
      <c r="G72" s="3" t="s">
        <v>13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Y72" s="3"/>
      <c r="Z72" s="3"/>
      <c r="AA72" s="3"/>
      <c r="AB72" s="3"/>
      <c r="AC72" s="3"/>
      <c r="AD72" s="3"/>
      <c r="AF72" s="3"/>
      <c r="AG72" s="3"/>
      <c r="AH72" s="3"/>
      <c r="AI72" s="3"/>
      <c r="AJ72" s="3"/>
      <c r="AK72" s="3">
        <f>SUM($F72:AJ72)</f>
        <v>17850</v>
      </c>
    </row>
    <row r="73" spans="1:38" x14ac:dyDescent="0.35">
      <c r="A73" s="343" t="s">
        <v>1161</v>
      </c>
      <c r="B73" s="24" t="s">
        <v>1681</v>
      </c>
      <c r="C73" s="5">
        <v>44947</v>
      </c>
      <c r="D73" s="3">
        <v>29940</v>
      </c>
      <c r="E73" s="344" t="s">
        <v>1291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29940</v>
      </c>
      <c r="U73" s="3"/>
      <c r="V73" s="3"/>
      <c r="X73" s="7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>
        <f>SUM($F73:AJ73)</f>
        <v>29940</v>
      </c>
    </row>
    <row r="74" spans="1:38" x14ac:dyDescent="0.35">
      <c r="A74" s="343" t="s">
        <v>1161</v>
      </c>
      <c r="B74" s="24" t="s">
        <v>1695</v>
      </c>
      <c r="C74" s="5">
        <v>44953</v>
      </c>
      <c r="D74" s="3">
        <v>18870</v>
      </c>
      <c r="E74" s="344" t="s">
        <v>4</v>
      </c>
      <c r="F74" s="3"/>
      <c r="G74" s="3"/>
      <c r="H74" s="3"/>
      <c r="I74" s="3"/>
      <c r="J74" s="3"/>
      <c r="K74" s="3"/>
      <c r="L74" s="3" t="s">
        <v>13</v>
      </c>
      <c r="M74" s="3"/>
      <c r="N74" s="3"/>
      <c r="O74" s="3"/>
      <c r="P74" s="3"/>
      <c r="Q74" s="3"/>
      <c r="R74" s="3"/>
      <c r="S74" s="3"/>
      <c r="T74" s="3">
        <v>18870</v>
      </c>
      <c r="U74" s="3"/>
      <c r="V74" s="3"/>
      <c r="Y74" s="3"/>
      <c r="Z74" s="3"/>
      <c r="AA74" s="3"/>
      <c r="AB74" s="3"/>
      <c r="AC74" s="3"/>
      <c r="AD74" s="3"/>
      <c r="AF74" s="3"/>
      <c r="AG74" s="3"/>
      <c r="AH74" s="3"/>
      <c r="AI74" s="3"/>
      <c r="AJ74" s="3"/>
      <c r="AK74" s="3">
        <f>SUM($F74:AJ74)</f>
        <v>18870</v>
      </c>
    </row>
    <row r="75" spans="1:38" ht="15" thickBot="1" x14ac:dyDescent="0.4">
      <c r="A75" s="345" t="s">
        <v>1161</v>
      </c>
      <c r="B75" s="44" t="s">
        <v>1696</v>
      </c>
      <c r="C75" s="45">
        <v>44954</v>
      </c>
      <c r="D75" s="46">
        <v>8040</v>
      </c>
      <c r="E75" s="347" t="s">
        <v>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8040</v>
      </c>
      <c r="U75" s="3"/>
      <c r="V75" s="3"/>
      <c r="Y75" s="3"/>
      <c r="Z75" s="3"/>
      <c r="AA75" s="3"/>
      <c r="AB75" s="3"/>
      <c r="AC75" s="3"/>
      <c r="AD75" s="3"/>
      <c r="AF75" s="3"/>
      <c r="AG75" s="3"/>
      <c r="AH75" s="3"/>
      <c r="AI75" s="3"/>
      <c r="AJ75" s="3"/>
      <c r="AK75" s="3">
        <f>SUM($F75:AJ75)</f>
        <v>8040</v>
      </c>
    </row>
    <row r="76" spans="1:38" x14ac:dyDescent="0.35">
      <c r="A76" s="4" t="s">
        <v>1161</v>
      </c>
      <c r="B76" s="24" t="s">
        <v>1705</v>
      </c>
      <c r="C76" s="5">
        <v>44958</v>
      </c>
      <c r="D76" s="3">
        <v>18810</v>
      </c>
      <c r="E76" s="153" t="s">
        <v>1704</v>
      </c>
      <c r="F76" s="3">
        <v>18810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Y76" s="3"/>
      <c r="Z76" s="3"/>
      <c r="AA76" s="3"/>
      <c r="AB76" s="3"/>
      <c r="AC76" s="3"/>
      <c r="AD76" s="3"/>
      <c r="AF76" s="3"/>
      <c r="AG76" s="3"/>
      <c r="AH76" s="3"/>
      <c r="AI76" s="3"/>
      <c r="AJ76" s="3"/>
      <c r="AK76" s="3">
        <f>SUM($F76:AJ76)</f>
        <v>18810</v>
      </c>
      <c r="AL76" s="6" t="s">
        <v>83</v>
      </c>
    </row>
    <row r="77" spans="1:38" x14ac:dyDescent="0.35">
      <c r="A77" s="4" t="s">
        <v>1706</v>
      </c>
      <c r="B77" s="24" t="s">
        <v>1707</v>
      </c>
      <c r="C77" s="5">
        <v>44958</v>
      </c>
      <c r="D77" s="3">
        <v>11489</v>
      </c>
      <c r="E77" s="153" t="s">
        <v>1704</v>
      </c>
      <c r="F77" s="3">
        <v>11489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Y77" s="3"/>
      <c r="Z77" s="3"/>
      <c r="AA77" s="3"/>
      <c r="AB77" s="3"/>
      <c r="AC77" s="3"/>
      <c r="AD77" s="3"/>
      <c r="AF77" s="3"/>
      <c r="AG77" s="3"/>
      <c r="AH77" s="3"/>
      <c r="AI77" s="3"/>
      <c r="AJ77" s="3"/>
      <c r="AK77" s="3">
        <f>SUM($F77:AJ77)</f>
        <v>11489</v>
      </c>
    </row>
    <row r="78" spans="1:38" x14ac:dyDescent="0.35">
      <c r="A78" s="4" t="s">
        <v>1706</v>
      </c>
      <c r="B78" s="24" t="s">
        <v>1707</v>
      </c>
      <c r="C78" s="5">
        <v>44958</v>
      </c>
      <c r="D78" s="3">
        <v>-11489</v>
      </c>
      <c r="E78" s="153" t="s">
        <v>1720</v>
      </c>
      <c r="F78" s="3"/>
      <c r="G78" s="3"/>
      <c r="H78" s="3">
        <v>-11489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Y78" s="3"/>
      <c r="Z78" s="3"/>
      <c r="AA78" s="3"/>
      <c r="AB78" s="3"/>
      <c r="AC78" s="3"/>
      <c r="AD78" s="3"/>
      <c r="AF78" s="3"/>
      <c r="AG78" s="3"/>
      <c r="AH78" s="3"/>
      <c r="AI78" s="3"/>
      <c r="AJ78" s="3"/>
      <c r="AK78" s="3">
        <f>SUM($F78:AJ78)</f>
        <v>-11489</v>
      </c>
    </row>
    <row r="79" spans="1:38" x14ac:dyDescent="0.35">
      <c r="A79" s="4" t="s">
        <v>1783</v>
      </c>
      <c r="B79" s="24" t="s">
        <v>1750</v>
      </c>
      <c r="C79" s="5">
        <v>44958</v>
      </c>
      <c r="D79" s="3">
        <v>6050</v>
      </c>
      <c r="E79" s="153" t="s">
        <v>1704</v>
      </c>
      <c r="G79" s="3">
        <v>6050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Y79" s="3"/>
      <c r="Z79" s="3"/>
      <c r="AA79" s="3"/>
      <c r="AB79" s="3"/>
      <c r="AC79" s="3"/>
      <c r="AD79" s="3"/>
      <c r="AF79" s="3"/>
      <c r="AG79" s="3"/>
      <c r="AH79" s="3"/>
      <c r="AI79" s="3"/>
      <c r="AJ79" s="3"/>
      <c r="AK79" s="3">
        <f>SUM($F79:AJ79)</f>
        <v>6050</v>
      </c>
      <c r="AL79" s="6" t="s">
        <v>82</v>
      </c>
    </row>
    <row r="80" spans="1:38" x14ac:dyDescent="0.35">
      <c r="A80" s="4" t="s">
        <v>1708</v>
      </c>
      <c r="B80" s="24" t="s">
        <v>1709</v>
      </c>
      <c r="C80" s="5">
        <v>44959</v>
      </c>
      <c r="D80" s="3">
        <v>13488</v>
      </c>
      <c r="E80" s="153" t="s">
        <v>1704</v>
      </c>
      <c r="F80" s="3" t="s">
        <v>13</v>
      </c>
      <c r="G80" s="3">
        <v>13488</v>
      </c>
      <c r="H80" s="3" t="s">
        <v>13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Y80" s="3"/>
      <c r="Z80" s="3"/>
      <c r="AA80" s="3"/>
      <c r="AB80" s="3"/>
      <c r="AC80" s="3"/>
      <c r="AD80" s="3"/>
      <c r="AF80" s="3"/>
      <c r="AG80" s="3"/>
      <c r="AH80" s="3"/>
      <c r="AI80" s="3"/>
      <c r="AJ80" s="3"/>
      <c r="AK80" s="3">
        <f>SUM($F80:AJ80)</f>
        <v>13488</v>
      </c>
      <c r="AL80" s="6" t="s">
        <v>1846</v>
      </c>
    </row>
    <row r="81" spans="1:38" x14ac:dyDescent="0.35">
      <c r="A81" s="4" t="s">
        <v>1710</v>
      </c>
      <c r="B81" s="24" t="s">
        <v>1711</v>
      </c>
      <c r="C81" s="5">
        <v>44959</v>
      </c>
      <c r="D81" s="3">
        <v>154700</v>
      </c>
      <c r="E81" s="15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Y81" s="3"/>
      <c r="Z81" s="3"/>
      <c r="AA81" s="3"/>
      <c r="AB81" s="3"/>
      <c r="AC81" s="3"/>
      <c r="AD81" s="3"/>
      <c r="AF81" s="3"/>
      <c r="AG81" s="3"/>
      <c r="AH81" s="3"/>
      <c r="AI81" s="3"/>
      <c r="AJ81" s="3"/>
      <c r="AK81" s="3">
        <f>SUM($F81:AJ81)</f>
        <v>0</v>
      </c>
      <c r="AL81" s="6" t="s">
        <v>83</v>
      </c>
    </row>
    <row r="82" spans="1:38" x14ac:dyDescent="0.35">
      <c r="A82" s="4" t="s">
        <v>1712</v>
      </c>
      <c r="B82" s="24" t="s">
        <v>1753</v>
      </c>
      <c r="C82" s="5">
        <v>44959</v>
      </c>
      <c r="D82" s="3">
        <v>171360</v>
      </c>
      <c r="E82" s="153"/>
      <c r="F82" s="3"/>
      <c r="G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Y82" s="3"/>
      <c r="Z82" s="3"/>
      <c r="AA82" s="3"/>
      <c r="AB82" s="3"/>
      <c r="AC82" s="3"/>
      <c r="AD82" s="3"/>
      <c r="AF82" s="3"/>
      <c r="AG82" s="3"/>
      <c r="AH82" s="3"/>
      <c r="AI82" s="3"/>
      <c r="AJ82" s="3"/>
      <c r="AK82" s="3">
        <f>SUM($F82:AJ82)</f>
        <v>0</v>
      </c>
      <c r="AL82" s="6" t="s">
        <v>83</v>
      </c>
    </row>
    <row r="83" spans="1:38" x14ac:dyDescent="0.35">
      <c r="A83" s="4" t="s">
        <v>1161</v>
      </c>
      <c r="B83" s="24" t="s">
        <v>1713</v>
      </c>
      <c r="C83" s="5">
        <v>44959</v>
      </c>
      <c r="D83" s="3">
        <v>39350</v>
      </c>
      <c r="E83" s="153" t="s">
        <v>1704</v>
      </c>
      <c r="F83" s="3"/>
      <c r="H83" s="3">
        <v>39350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Y83" s="3"/>
      <c r="Z83" s="3"/>
      <c r="AA83" s="3"/>
      <c r="AB83" s="3"/>
      <c r="AC83" s="3"/>
      <c r="AD83" s="3"/>
      <c r="AF83" s="3"/>
      <c r="AG83" s="3"/>
      <c r="AH83" s="3"/>
      <c r="AI83" s="3"/>
      <c r="AJ83" s="3"/>
      <c r="AK83" s="3">
        <f>SUM($F83:AJ83)</f>
        <v>39350</v>
      </c>
      <c r="AL83" s="6" t="s">
        <v>83</v>
      </c>
    </row>
    <row r="84" spans="1:38" x14ac:dyDescent="0.35">
      <c r="A84" s="4" t="s">
        <v>1725</v>
      </c>
      <c r="B84" s="24" t="s">
        <v>1726</v>
      </c>
      <c r="C84" s="5">
        <v>44960</v>
      </c>
      <c r="D84" s="3">
        <v>1550</v>
      </c>
      <c r="E84" s="153" t="s">
        <v>1704</v>
      </c>
      <c r="F84" s="3"/>
      <c r="G84" s="3"/>
      <c r="I84" s="3"/>
      <c r="J84" s="3"/>
      <c r="K84" s="7">
        <v>1550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Y84" s="3"/>
      <c r="Z84" s="3"/>
      <c r="AA84" s="3"/>
      <c r="AB84" s="3"/>
      <c r="AC84" s="3"/>
      <c r="AD84" s="3"/>
      <c r="AF84" s="3"/>
      <c r="AG84" s="3"/>
      <c r="AH84" s="3"/>
      <c r="AI84" s="3"/>
      <c r="AJ84" s="3"/>
      <c r="AK84" s="3">
        <f>SUM($F84:AJ84)</f>
        <v>1550</v>
      </c>
      <c r="AL84" s="6" t="s">
        <v>83</v>
      </c>
    </row>
    <row r="85" spans="1:38" x14ac:dyDescent="0.35">
      <c r="A85" s="4" t="s">
        <v>1730</v>
      </c>
      <c r="C85" s="67">
        <v>44963</v>
      </c>
      <c r="D85" s="3">
        <v>13905</v>
      </c>
      <c r="E85" s="153"/>
      <c r="F85" s="3"/>
      <c r="G85" s="3"/>
      <c r="H85" s="3"/>
      <c r="I85" s="3" t="s">
        <v>13</v>
      </c>
      <c r="J85" s="3"/>
      <c r="K85" s="7">
        <v>13905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Y85" s="3"/>
      <c r="Z85" s="3"/>
      <c r="AA85" s="3"/>
      <c r="AB85" s="3"/>
      <c r="AC85" s="3"/>
      <c r="AD85" s="3"/>
      <c r="AF85" s="3"/>
      <c r="AG85" s="3"/>
      <c r="AH85" s="3"/>
      <c r="AI85" s="3"/>
      <c r="AJ85" s="3"/>
      <c r="AK85" s="3">
        <f>SUM($F85:AJ85)</f>
        <v>13905</v>
      </c>
      <c r="AL85" s="6" t="s">
        <v>1557</v>
      </c>
    </row>
    <row r="86" spans="1:38" x14ac:dyDescent="0.35">
      <c r="A86" s="4" t="s">
        <v>1731</v>
      </c>
      <c r="B86" s="24"/>
      <c r="C86" s="5">
        <v>44963</v>
      </c>
      <c r="D86" s="3">
        <v>15430</v>
      </c>
      <c r="E86" s="153" t="s">
        <v>503</v>
      </c>
      <c r="F86" s="3"/>
      <c r="G86" s="3"/>
      <c r="H86" s="3" t="s">
        <v>13</v>
      </c>
      <c r="I86" s="3"/>
      <c r="J86" s="3"/>
      <c r="K86" s="7">
        <v>15430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Y86" s="3"/>
      <c r="Z86" s="3"/>
      <c r="AA86" s="3"/>
      <c r="AB86" s="3"/>
      <c r="AC86" s="3"/>
      <c r="AD86" s="3"/>
      <c r="AF86" s="3"/>
      <c r="AG86" s="3"/>
      <c r="AH86" s="3"/>
      <c r="AI86" s="3"/>
      <c r="AJ86" s="3"/>
      <c r="AK86" s="3">
        <f>SUM($F86:AJ86)</f>
        <v>15430</v>
      </c>
      <c r="AL86" s="6" t="s">
        <v>1846</v>
      </c>
    </row>
    <row r="87" spans="1:38" x14ac:dyDescent="0.35">
      <c r="A87" s="4" t="s">
        <v>1734</v>
      </c>
      <c r="B87" s="24"/>
      <c r="C87" s="5">
        <v>44963</v>
      </c>
      <c r="D87" s="3">
        <v>33392</v>
      </c>
      <c r="E87" s="153" t="s">
        <v>503</v>
      </c>
      <c r="F87" s="3"/>
      <c r="G87" s="3"/>
      <c r="H87" s="3" t="s">
        <v>13</v>
      </c>
      <c r="I87" s="3"/>
      <c r="J87" s="3"/>
      <c r="K87" s="7">
        <v>33392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Y87" s="3"/>
      <c r="Z87" s="3"/>
      <c r="AA87" s="3"/>
      <c r="AB87" s="3"/>
      <c r="AC87" s="3"/>
      <c r="AD87" s="3"/>
      <c r="AF87" s="3"/>
      <c r="AG87" s="3"/>
      <c r="AH87" s="3"/>
      <c r="AI87" s="3"/>
      <c r="AJ87" s="3"/>
      <c r="AK87" s="3">
        <f>SUM($F87:AJ87)</f>
        <v>33392</v>
      </c>
      <c r="AL87" s="6" t="s">
        <v>1846</v>
      </c>
    </row>
    <row r="88" spans="1:38" x14ac:dyDescent="0.35">
      <c r="A88" s="4" t="s">
        <v>1161</v>
      </c>
      <c r="B88" s="24" t="s">
        <v>1735</v>
      </c>
      <c r="C88" s="5">
        <v>44961</v>
      </c>
      <c r="D88" s="3">
        <v>5170</v>
      </c>
      <c r="E88" s="153" t="s">
        <v>1704</v>
      </c>
      <c r="F88" s="3"/>
      <c r="G88" s="3"/>
      <c r="H88" s="3"/>
      <c r="I88" s="3"/>
      <c r="J88" s="3"/>
      <c r="K88" s="7">
        <v>5170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Y88" s="3"/>
      <c r="Z88" s="3"/>
      <c r="AA88" s="3"/>
      <c r="AB88" s="3"/>
      <c r="AC88" s="3"/>
      <c r="AD88" s="3"/>
      <c r="AF88" s="3"/>
      <c r="AG88" s="3"/>
      <c r="AH88" s="3"/>
      <c r="AI88" s="3"/>
      <c r="AJ88" s="3"/>
      <c r="AK88" s="3">
        <f>SUM($F88:AJ88)</f>
        <v>5170</v>
      </c>
      <c r="AL88" s="6" t="s">
        <v>83</v>
      </c>
    </row>
    <row r="89" spans="1:38" x14ac:dyDescent="0.35">
      <c r="A89" s="4" t="s">
        <v>1734</v>
      </c>
      <c r="B89" s="24"/>
      <c r="C89" s="5">
        <v>44963</v>
      </c>
      <c r="D89" s="3">
        <v>7430</v>
      </c>
      <c r="E89" s="153" t="s">
        <v>503</v>
      </c>
      <c r="F89" s="3"/>
      <c r="G89" s="3"/>
      <c r="H89" s="3"/>
      <c r="I89" s="3"/>
      <c r="J89" s="3"/>
      <c r="K89" s="7">
        <v>7430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Y89" s="3"/>
      <c r="Z89" s="3"/>
      <c r="AA89" s="3"/>
      <c r="AB89" s="3"/>
      <c r="AC89" s="3"/>
      <c r="AD89" s="3"/>
      <c r="AF89" s="3"/>
      <c r="AG89" s="3"/>
      <c r="AH89" s="3"/>
      <c r="AI89" s="3"/>
      <c r="AJ89" s="3"/>
      <c r="AK89" s="3">
        <f>SUM($F89:AJ89)</f>
        <v>7430</v>
      </c>
      <c r="AL89" s="6" t="s">
        <v>1846</v>
      </c>
    </row>
    <row r="90" spans="1:38" x14ac:dyDescent="0.35">
      <c r="A90" s="4" t="s">
        <v>1736</v>
      </c>
      <c r="B90" s="24" t="s">
        <v>1754</v>
      </c>
      <c r="C90" s="5">
        <v>44963</v>
      </c>
      <c r="D90" s="3">
        <v>6870</v>
      </c>
      <c r="E90" s="153" t="s">
        <v>4</v>
      </c>
      <c r="F90" s="3"/>
      <c r="G90" s="3"/>
      <c r="H90" s="3"/>
      <c r="I90" s="3"/>
      <c r="J90" s="3"/>
      <c r="K90" s="3" t="s">
        <v>13</v>
      </c>
      <c r="L90" s="3"/>
      <c r="M90" s="3"/>
      <c r="N90" s="3"/>
      <c r="O90" s="3"/>
      <c r="P90" s="3"/>
      <c r="Q90" s="3"/>
      <c r="R90" s="3"/>
      <c r="S90" s="3"/>
      <c r="T90" s="3">
        <v>6870</v>
      </c>
      <c r="U90" s="3"/>
      <c r="V90" s="3"/>
      <c r="Y90" s="3"/>
      <c r="Z90" s="3"/>
      <c r="AA90" s="3"/>
      <c r="AB90" s="3"/>
      <c r="AC90" s="3"/>
      <c r="AD90" s="3"/>
      <c r="AF90" s="3"/>
      <c r="AG90" s="3"/>
      <c r="AH90" s="3"/>
      <c r="AI90" s="3"/>
      <c r="AJ90" s="3"/>
      <c r="AK90" s="3">
        <f>SUM($F90:AJ90)</f>
        <v>6870</v>
      </c>
      <c r="AL90" s="6" t="s">
        <v>83</v>
      </c>
    </row>
    <row r="91" spans="1:38" x14ac:dyDescent="0.35">
      <c r="A91" s="4" t="s">
        <v>1751</v>
      </c>
      <c r="B91" s="24"/>
      <c r="C91" s="5">
        <v>45267</v>
      </c>
      <c r="D91" s="3">
        <v>51388</v>
      </c>
      <c r="E91" s="153" t="s">
        <v>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>
        <v>51388</v>
      </c>
      <c r="U91" s="3"/>
      <c r="V91" s="3"/>
      <c r="Y91" s="3"/>
      <c r="Z91" s="3"/>
      <c r="AA91" s="3"/>
      <c r="AB91" s="3"/>
      <c r="AC91" s="3"/>
      <c r="AD91" s="3"/>
      <c r="AF91" s="3"/>
      <c r="AG91" s="3"/>
      <c r="AH91" s="3"/>
      <c r="AI91" s="3"/>
      <c r="AJ91" s="3"/>
      <c r="AK91" s="3">
        <f>SUM($F91:AJ91)</f>
        <v>51388</v>
      </c>
      <c r="AL91" s="6" t="s">
        <v>13</v>
      </c>
    </row>
    <row r="92" spans="1:38" x14ac:dyDescent="0.35">
      <c r="A92" s="4" t="s">
        <v>1752</v>
      </c>
      <c r="B92" s="24"/>
      <c r="C92" s="5">
        <v>44964</v>
      </c>
      <c r="D92" s="3">
        <f>4999*2</f>
        <v>9998</v>
      </c>
      <c r="E92" s="153" t="s">
        <v>4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>
        <f>4999*2</f>
        <v>9998</v>
      </c>
      <c r="U92" s="3"/>
      <c r="V92" s="3"/>
      <c r="Y92" s="3"/>
      <c r="Z92" s="3"/>
      <c r="AA92" s="3"/>
      <c r="AB92" s="3"/>
      <c r="AC92" s="3"/>
      <c r="AD92" s="3"/>
      <c r="AF92" s="3"/>
      <c r="AG92" s="3"/>
      <c r="AH92" s="3"/>
      <c r="AI92" s="3"/>
      <c r="AJ92" s="3"/>
      <c r="AK92" s="3">
        <f>SUM($F92:AJ92)</f>
        <v>9998</v>
      </c>
      <c r="AL92" s="6" t="s">
        <v>81</v>
      </c>
    </row>
    <row r="93" spans="1:38" x14ac:dyDescent="0.35">
      <c r="A93" s="4" t="s">
        <v>1161</v>
      </c>
      <c r="B93" s="24" t="s">
        <v>1766</v>
      </c>
      <c r="C93" s="5">
        <v>44966</v>
      </c>
      <c r="D93" s="3">
        <v>40540</v>
      </c>
      <c r="E93" s="153" t="s">
        <v>1704</v>
      </c>
      <c r="F93" s="3"/>
      <c r="G93" s="3"/>
      <c r="H93" s="3"/>
      <c r="I93" s="3"/>
      <c r="J93" s="3"/>
      <c r="K93" s="3"/>
      <c r="L93" s="3"/>
      <c r="M93" s="3"/>
      <c r="N93" s="3">
        <v>40540</v>
      </c>
      <c r="O93" s="3"/>
      <c r="P93" s="3"/>
      <c r="Q93" s="3"/>
      <c r="R93" s="3"/>
      <c r="S93" s="3"/>
      <c r="T93" s="3"/>
      <c r="U93" s="3"/>
      <c r="V93" s="3"/>
      <c r="Y93" s="3"/>
      <c r="Z93" s="3"/>
      <c r="AA93" s="3"/>
      <c r="AB93" s="3"/>
      <c r="AC93" s="3"/>
      <c r="AD93" s="3"/>
      <c r="AF93" s="3"/>
      <c r="AG93" s="3"/>
      <c r="AH93" s="3"/>
      <c r="AI93" s="3"/>
      <c r="AJ93" s="3"/>
      <c r="AK93" s="3">
        <f>SUM($F93:AJ93)</f>
        <v>40540</v>
      </c>
      <c r="AL93" s="6" t="s">
        <v>83</v>
      </c>
    </row>
    <row r="94" spans="1:38" x14ac:dyDescent="0.35">
      <c r="A94" s="4" t="s">
        <v>1544</v>
      </c>
      <c r="B94" s="24" t="s">
        <v>1770</v>
      </c>
      <c r="C94" s="5">
        <v>44967</v>
      </c>
      <c r="D94" s="3">
        <v>162784</v>
      </c>
      <c r="E94" s="153" t="s">
        <v>4</v>
      </c>
      <c r="F94" s="3"/>
      <c r="G94" s="3"/>
      <c r="H94" s="3"/>
      <c r="I94" s="3"/>
      <c r="J94" s="3"/>
      <c r="K94" s="3"/>
      <c r="L94" s="3"/>
      <c r="M94" s="3"/>
      <c r="O94" s="3"/>
      <c r="P94" s="3"/>
      <c r="Q94" s="3"/>
      <c r="R94" s="3"/>
      <c r="S94" s="3"/>
      <c r="T94" s="3">
        <v>162784</v>
      </c>
      <c r="U94" s="3"/>
      <c r="V94" s="3"/>
      <c r="Y94" s="3"/>
      <c r="Z94" s="3"/>
      <c r="AA94" s="3"/>
      <c r="AB94" s="3"/>
      <c r="AC94" s="3"/>
      <c r="AD94" s="3"/>
      <c r="AF94" s="3"/>
      <c r="AG94" s="3"/>
      <c r="AH94" s="3"/>
      <c r="AI94" s="3"/>
      <c r="AJ94" s="3"/>
      <c r="AK94" s="3">
        <f>SUM($F94:AJ94)</f>
        <v>162784</v>
      </c>
      <c r="AL94" s="6" t="s">
        <v>83</v>
      </c>
    </row>
    <row r="95" spans="1:38" x14ac:dyDescent="0.35">
      <c r="A95" s="4" t="s">
        <v>1161</v>
      </c>
      <c r="B95" s="24" t="s">
        <v>1771</v>
      </c>
      <c r="C95" s="5">
        <v>44968</v>
      </c>
      <c r="D95" s="3">
        <v>9100</v>
      </c>
      <c r="E95" s="153" t="s">
        <v>1704</v>
      </c>
      <c r="F95" s="3"/>
      <c r="G95" s="3"/>
      <c r="H95" s="3"/>
      <c r="I95" s="3"/>
      <c r="J95" s="3"/>
      <c r="K95" s="3"/>
      <c r="L95" s="3"/>
      <c r="M95" s="3"/>
      <c r="O95" s="3"/>
      <c r="Q95" s="3"/>
      <c r="R95" s="3">
        <v>9100</v>
      </c>
      <c r="S95" s="3"/>
      <c r="T95" s="3"/>
      <c r="U95" s="3"/>
      <c r="V95" s="3"/>
      <c r="Y95" s="3"/>
      <c r="Z95" s="3"/>
      <c r="AA95" s="3"/>
      <c r="AB95" s="3"/>
      <c r="AC95" s="3"/>
      <c r="AD95" s="3"/>
      <c r="AF95" s="3"/>
      <c r="AG95" s="3"/>
      <c r="AH95" s="3"/>
      <c r="AI95" s="3"/>
      <c r="AJ95" s="3"/>
      <c r="AK95" s="3">
        <f>SUM($F95:AJ95)</f>
        <v>9100</v>
      </c>
      <c r="AL95" s="6" t="s">
        <v>83</v>
      </c>
    </row>
    <row r="96" spans="1:38" x14ac:dyDescent="0.35">
      <c r="A96" s="4" t="s">
        <v>1772</v>
      </c>
      <c r="B96" s="24"/>
      <c r="C96" s="5">
        <v>44970</v>
      </c>
      <c r="D96" s="3">
        <v>50542</v>
      </c>
      <c r="E96" s="153" t="s">
        <v>503</v>
      </c>
      <c r="F96" s="3"/>
      <c r="G96" s="3"/>
      <c r="H96" s="3"/>
      <c r="I96" s="3"/>
      <c r="J96" s="3"/>
      <c r="K96" s="3"/>
      <c r="L96" s="3"/>
      <c r="M96" s="3"/>
      <c r="O96" s="3"/>
      <c r="P96" s="3"/>
      <c r="Q96" s="3"/>
      <c r="R96" s="3">
        <v>50542</v>
      </c>
      <c r="S96" s="3"/>
      <c r="T96" s="3"/>
      <c r="U96" s="3"/>
      <c r="V96" s="3"/>
      <c r="Y96" s="3"/>
      <c r="Z96" s="3"/>
      <c r="AA96" s="3"/>
      <c r="AB96" s="3"/>
      <c r="AC96" s="3"/>
      <c r="AD96" s="3"/>
      <c r="AF96" s="3"/>
      <c r="AG96" s="3"/>
      <c r="AH96" s="3"/>
      <c r="AI96" s="3"/>
      <c r="AJ96" s="3"/>
      <c r="AK96" s="3">
        <f>SUM($F96:AJ96)</f>
        <v>50542</v>
      </c>
      <c r="AL96" s="6" t="s">
        <v>1846</v>
      </c>
    </row>
    <row r="97" spans="1:48" x14ac:dyDescent="0.35">
      <c r="A97" s="4" t="s">
        <v>1161</v>
      </c>
      <c r="B97" s="24" t="s">
        <v>1777</v>
      </c>
      <c r="C97" s="5">
        <v>44970</v>
      </c>
      <c r="D97" s="3">
        <v>16780</v>
      </c>
      <c r="E97" s="153" t="s">
        <v>1704</v>
      </c>
      <c r="F97" s="3"/>
      <c r="G97" s="3"/>
      <c r="H97" s="3"/>
      <c r="I97" s="3"/>
      <c r="J97" s="3"/>
      <c r="K97" s="3"/>
      <c r="L97" s="3"/>
      <c r="M97" s="3"/>
      <c r="O97" s="3"/>
      <c r="P97" s="3"/>
      <c r="Q97" s="3"/>
      <c r="R97" s="3"/>
      <c r="S97" s="3">
        <v>16780</v>
      </c>
      <c r="T97" s="3"/>
      <c r="U97" s="3"/>
      <c r="V97" s="3"/>
      <c r="Y97" s="3"/>
      <c r="Z97" s="3"/>
      <c r="AA97" s="3"/>
      <c r="AB97" s="3"/>
      <c r="AC97" s="3"/>
      <c r="AD97" s="3"/>
      <c r="AF97" s="3"/>
      <c r="AG97" s="3"/>
      <c r="AH97" s="3"/>
      <c r="AI97" s="3"/>
      <c r="AJ97" s="3"/>
      <c r="AK97" s="3">
        <f>SUM($F97:AJ97)</f>
        <v>16780</v>
      </c>
      <c r="AL97" s="6" t="s">
        <v>83</v>
      </c>
    </row>
    <row r="98" spans="1:48" x14ac:dyDescent="0.35">
      <c r="A98" s="4" t="s">
        <v>1161</v>
      </c>
      <c r="B98" s="24" t="s">
        <v>1781</v>
      </c>
      <c r="C98" s="5">
        <v>44971</v>
      </c>
      <c r="D98" s="3">
        <v>3980</v>
      </c>
      <c r="E98" s="153" t="s">
        <v>1704</v>
      </c>
      <c r="F98" s="3"/>
      <c r="G98" s="3"/>
      <c r="H98" s="3"/>
      <c r="I98" s="3"/>
      <c r="J98" s="3"/>
      <c r="K98" s="3"/>
      <c r="L98" s="3"/>
      <c r="M98" s="3"/>
      <c r="O98" s="3"/>
      <c r="P98" s="3"/>
      <c r="Q98" s="3"/>
      <c r="R98" s="3"/>
      <c r="S98" s="3">
        <v>3980</v>
      </c>
      <c r="T98" s="3"/>
      <c r="U98" s="3"/>
      <c r="V98" s="3"/>
      <c r="Y98" s="3"/>
      <c r="Z98" s="3"/>
      <c r="AA98" s="3"/>
      <c r="AB98" s="3"/>
      <c r="AC98" s="3"/>
      <c r="AD98" s="3"/>
      <c r="AF98" s="3"/>
      <c r="AG98" s="3"/>
      <c r="AH98" s="3"/>
      <c r="AI98" s="3"/>
      <c r="AJ98" s="3"/>
      <c r="AK98" s="3">
        <f>SUM($F98:AJ98)</f>
        <v>3980</v>
      </c>
      <c r="AL98" s="6" t="s">
        <v>83</v>
      </c>
    </row>
    <row r="99" spans="1:48" x14ac:dyDescent="0.35">
      <c r="A99" s="4" t="s">
        <v>1161</v>
      </c>
      <c r="B99" s="291" t="s">
        <v>1806</v>
      </c>
      <c r="C99" s="5">
        <v>44975</v>
      </c>
      <c r="D99" s="3">
        <v>8520</v>
      </c>
      <c r="E99" s="153" t="s">
        <v>1704</v>
      </c>
      <c r="F99" s="3"/>
      <c r="G99" s="3"/>
      <c r="H99" s="3"/>
      <c r="I99" s="3"/>
      <c r="J99" s="3"/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W99" s="3" t="s">
        <v>13</v>
      </c>
      <c r="Y99" s="3">
        <v>8520</v>
      </c>
      <c r="Z99" s="3"/>
      <c r="AA99" s="3"/>
      <c r="AB99" s="3"/>
      <c r="AC99" s="3"/>
      <c r="AD99" s="3"/>
      <c r="AF99" s="3"/>
      <c r="AG99" s="3"/>
      <c r="AH99" s="3"/>
      <c r="AI99" s="3"/>
      <c r="AJ99" s="3"/>
      <c r="AK99" s="3">
        <f>SUM($F99:AJ99)</f>
        <v>8520</v>
      </c>
      <c r="AL99" s="6" t="s">
        <v>83</v>
      </c>
    </row>
    <row r="100" spans="1:48" x14ac:dyDescent="0.35">
      <c r="A100" s="4" t="s">
        <v>1161</v>
      </c>
      <c r="B100" s="24" t="s">
        <v>1791</v>
      </c>
      <c r="C100" s="5">
        <v>44975</v>
      </c>
      <c r="D100" s="3">
        <v>3550</v>
      </c>
      <c r="E100" s="153" t="s">
        <v>1704</v>
      </c>
      <c r="F100" s="3"/>
      <c r="G100" s="3"/>
      <c r="H100" s="3"/>
      <c r="I100" s="3"/>
      <c r="J100" s="3"/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W100" s="3" t="s">
        <v>13</v>
      </c>
      <c r="Y100" s="3">
        <v>3550</v>
      </c>
      <c r="Z100" s="3"/>
      <c r="AA100" s="3"/>
      <c r="AB100" s="3"/>
      <c r="AC100" s="3"/>
      <c r="AD100" s="3"/>
      <c r="AF100" s="3"/>
      <c r="AG100" s="3"/>
      <c r="AH100" s="3"/>
      <c r="AI100" s="3"/>
      <c r="AJ100" s="3"/>
      <c r="AK100" s="3">
        <f>SUM($F100:AJ100)</f>
        <v>3550</v>
      </c>
      <c r="AL100" s="6" t="s">
        <v>83</v>
      </c>
    </row>
    <row r="101" spans="1:48" x14ac:dyDescent="0.35">
      <c r="A101" s="4" t="s">
        <v>1161</v>
      </c>
      <c r="B101" s="24" t="s">
        <v>1790</v>
      </c>
      <c r="C101" s="5">
        <v>44977</v>
      </c>
      <c r="D101" s="3">
        <v>8260</v>
      </c>
      <c r="E101" s="153" t="s">
        <v>1704</v>
      </c>
      <c r="F101" s="3"/>
      <c r="G101" s="3"/>
      <c r="H101" s="3"/>
      <c r="I101" s="3"/>
      <c r="J101" s="3"/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W101" s="3"/>
      <c r="Y101" s="3">
        <v>8260</v>
      </c>
      <c r="Z101" s="3"/>
      <c r="AA101" s="3"/>
      <c r="AB101" s="3"/>
      <c r="AC101" s="3"/>
      <c r="AD101" s="3"/>
      <c r="AF101" s="3"/>
      <c r="AG101" s="3"/>
      <c r="AH101" s="3"/>
      <c r="AI101" s="3"/>
      <c r="AJ101" s="3"/>
      <c r="AK101" s="3">
        <f>SUM($F101:AJ101)</f>
        <v>8260</v>
      </c>
      <c r="AL101" s="6" t="s">
        <v>83</v>
      </c>
    </row>
    <row r="102" spans="1:48" x14ac:dyDescent="0.35">
      <c r="A102" s="4" t="s">
        <v>1792</v>
      </c>
      <c r="B102" s="24"/>
      <c r="C102" s="5">
        <v>44978</v>
      </c>
      <c r="D102" s="3">
        <f>82*2*1290/9+(700+700+800+800+1500)*2+(303+615)*2+3245+2686</f>
        <v>40273.666666666672</v>
      </c>
      <c r="E102" s="153" t="s">
        <v>13</v>
      </c>
      <c r="F102" s="3"/>
      <c r="G102" s="3"/>
      <c r="H102" s="3"/>
      <c r="I102" s="3"/>
      <c r="J102" s="3"/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W102" s="3"/>
      <c r="Y102" s="3"/>
      <c r="Z102" s="3"/>
      <c r="AA102" s="3"/>
      <c r="AB102" s="3"/>
      <c r="AC102" s="3"/>
      <c r="AD102" s="3"/>
      <c r="AF102" s="3"/>
      <c r="AG102" s="3"/>
      <c r="AH102" s="3"/>
      <c r="AI102" s="3"/>
      <c r="AJ102" s="3"/>
      <c r="AK102" s="3">
        <f>SUM($F102:AJ102)</f>
        <v>0</v>
      </c>
      <c r="AL102" s="6" t="s">
        <v>1846</v>
      </c>
    </row>
    <row r="103" spans="1:48" x14ac:dyDescent="0.35">
      <c r="A103" s="4" t="s">
        <v>1793</v>
      </c>
      <c r="B103" s="24" t="s">
        <v>1816</v>
      </c>
      <c r="C103" s="5">
        <v>44978</v>
      </c>
      <c r="D103" s="3">
        <v>152320</v>
      </c>
      <c r="E103" s="153"/>
      <c r="F103" s="3"/>
      <c r="G103" s="3"/>
      <c r="H103" s="3"/>
      <c r="I103" s="3"/>
      <c r="J103" s="3"/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W103" s="3"/>
      <c r="Y103" s="3"/>
      <c r="Z103" s="3"/>
      <c r="AA103" s="3"/>
      <c r="AB103" s="3"/>
      <c r="AC103" s="3"/>
      <c r="AD103" s="3"/>
      <c r="AF103" s="3"/>
      <c r="AG103" s="3"/>
      <c r="AH103" s="3"/>
      <c r="AI103" s="3"/>
      <c r="AJ103" s="3"/>
      <c r="AK103" s="3">
        <f>SUM($F103:AJ103)</f>
        <v>0</v>
      </c>
      <c r="AL103" s="6" t="s">
        <v>83</v>
      </c>
    </row>
    <row r="104" spans="1:48" x14ac:dyDescent="0.35">
      <c r="A104" s="4" t="s">
        <v>1782</v>
      </c>
      <c r="B104" s="24"/>
      <c r="C104" s="5">
        <v>44978</v>
      </c>
      <c r="D104" s="3">
        <v>636184</v>
      </c>
      <c r="E104" s="153" t="s">
        <v>503</v>
      </c>
      <c r="F104" s="3"/>
      <c r="G104" s="3"/>
      <c r="H104" s="3"/>
      <c r="I104" s="3"/>
      <c r="J104" s="3"/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W104" s="3"/>
      <c r="Y104" s="3"/>
      <c r="Z104" s="3"/>
      <c r="AA104" s="3">
        <v>636184</v>
      </c>
      <c r="AB104" s="3"/>
      <c r="AC104" s="3"/>
      <c r="AD104" s="3"/>
      <c r="AF104" s="3"/>
      <c r="AG104" s="3"/>
      <c r="AH104" s="3"/>
      <c r="AI104" s="3"/>
      <c r="AJ104" s="3"/>
      <c r="AK104" s="3">
        <f>SUM($F104:AJ104)</f>
        <v>636184</v>
      </c>
      <c r="AL104" s="6" t="s">
        <v>13</v>
      </c>
    </row>
    <row r="105" spans="1:48" x14ac:dyDescent="0.35">
      <c r="A105" s="4" t="s">
        <v>1815</v>
      </c>
      <c r="B105" s="24" t="s">
        <v>1821</v>
      </c>
      <c r="C105" s="5">
        <v>44979</v>
      </c>
      <c r="D105" s="3">
        <v>73437</v>
      </c>
      <c r="E105" s="153" t="s">
        <v>503</v>
      </c>
      <c r="F105" s="3"/>
      <c r="G105" s="3"/>
      <c r="H105" s="3"/>
      <c r="I105" s="3"/>
      <c r="J105" s="3"/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W105" s="3"/>
      <c r="Y105" s="3"/>
      <c r="Z105" s="3"/>
      <c r="AA105" s="3">
        <v>73437</v>
      </c>
      <c r="AB105" s="3"/>
      <c r="AC105" s="3"/>
      <c r="AD105" s="3"/>
      <c r="AF105" s="3"/>
      <c r="AG105" s="3"/>
      <c r="AH105" s="3"/>
      <c r="AI105" s="3"/>
      <c r="AJ105" s="3"/>
      <c r="AK105" s="3">
        <f>SUM($F105:AJ105)</f>
        <v>73437</v>
      </c>
      <c r="AL105" s="6" t="s">
        <v>83</v>
      </c>
      <c r="AO105" s="6"/>
    </row>
    <row r="106" spans="1:48" x14ac:dyDescent="0.35">
      <c r="A106" s="4" t="s">
        <v>1161</v>
      </c>
      <c r="B106" s="291" t="s">
        <v>1823</v>
      </c>
      <c r="C106" s="5">
        <v>44981</v>
      </c>
      <c r="D106" s="3">
        <v>10840</v>
      </c>
      <c r="E106" s="153" t="s">
        <v>1704</v>
      </c>
      <c r="F106" s="3"/>
      <c r="G106" s="3"/>
      <c r="H106" s="3"/>
      <c r="I106" s="3"/>
      <c r="J106" s="3"/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W106" s="3"/>
      <c r="Y106" s="3"/>
      <c r="Z106" s="3"/>
      <c r="AA106" s="3"/>
      <c r="AB106" s="3"/>
      <c r="AC106" s="3">
        <v>10840</v>
      </c>
      <c r="AD106" s="3"/>
      <c r="AF106" s="3"/>
      <c r="AG106" s="3"/>
      <c r="AH106" s="3"/>
      <c r="AI106" s="3"/>
      <c r="AJ106" s="3"/>
      <c r="AK106" s="3">
        <f>SUM($F106:AJ106)</f>
        <v>10840</v>
      </c>
      <c r="AL106" s="6" t="s">
        <v>83</v>
      </c>
      <c r="AO106" s="6"/>
    </row>
    <row r="107" spans="1:48" x14ac:dyDescent="0.35">
      <c r="A107" s="4" t="s">
        <v>1161</v>
      </c>
      <c r="B107" s="24" t="s">
        <v>1820</v>
      </c>
      <c r="C107" s="5">
        <v>44981</v>
      </c>
      <c r="D107" s="3">
        <v>13940</v>
      </c>
      <c r="E107" s="153" t="s">
        <v>1704</v>
      </c>
      <c r="F107" s="3"/>
      <c r="G107" s="3" t="s">
        <v>13</v>
      </c>
      <c r="H107" s="3"/>
      <c r="I107" s="3"/>
      <c r="J107" s="3"/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W107" s="3"/>
      <c r="Y107" s="3"/>
      <c r="Z107" s="3"/>
      <c r="AA107" s="3"/>
      <c r="AB107" s="3"/>
      <c r="AC107" s="3">
        <v>13940</v>
      </c>
      <c r="AD107" s="3"/>
      <c r="AF107" s="3"/>
      <c r="AG107" s="3"/>
      <c r="AH107" s="3"/>
      <c r="AI107" s="3"/>
      <c r="AJ107" s="3"/>
      <c r="AK107" s="3">
        <f>SUM($F107:AJ107)</f>
        <v>13940</v>
      </c>
      <c r="AL107" s="6" t="s">
        <v>83</v>
      </c>
      <c r="AQ107" s="51" t="s">
        <v>1675</v>
      </c>
      <c r="AR107" s="51" t="s">
        <v>2257</v>
      </c>
      <c r="AS107" s="6" t="s">
        <v>13</v>
      </c>
      <c r="AT107" s="51" t="s">
        <v>2258</v>
      </c>
    </row>
    <row r="108" spans="1:48" ht="15" thickBot="1" x14ac:dyDescent="0.4">
      <c r="A108" s="4" t="s">
        <v>1161</v>
      </c>
      <c r="B108" s="24" t="s">
        <v>1819</v>
      </c>
      <c r="C108" s="5">
        <v>44982</v>
      </c>
      <c r="D108" s="3">
        <v>1550</v>
      </c>
      <c r="E108" s="153" t="s">
        <v>1704</v>
      </c>
      <c r="F108" s="3"/>
      <c r="G108" s="3"/>
      <c r="H108" s="3"/>
      <c r="I108" s="3"/>
      <c r="J108" s="3"/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W108" s="3"/>
      <c r="Y108" s="3"/>
      <c r="Z108" s="3"/>
      <c r="AA108" s="3"/>
      <c r="AB108" s="3"/>
      <c r="AC108" s="3"/>
      <c r="AD108" s="3">
        <v>1550</v>
      </c>
      <c r="AF108" s="3"/>
      <c r="AG108" s="3"/>
      <c r="AH108" s="3"/>
      <c r="AI108" s="3"/>
      <c r="AJ108" s="3"/>
      <c r="AK108" s="3">
        <f>SUM($F108:AJ108)</f>
        <v>1550</v>
      </c>
      <c r="AL108" s="6" t="s">
        <v>83</v>
      </c>
      <c r="AP108" s="64" t="e">
        <f>+[2]Hoja1!$L$192+[3]Hoja1!#REF!</f>
        <v>#REF!</v>
      </c>
      <c r="AQ108" s="378" t="e">
        <f>+[3]Hoja1!#REF!</f>
        <v>#REF!</v>
      </c>
      <c r="AR108" s="378" t="e">
        <f>+'Ene-23'!AQ107+AQ108</f>
        <v>#REF!</v>
      </c>
      <c r="AT108" s="378" t="e">
        <f>+AR108+'Dic-22'!AR121</f>
        <v>#REF!</v>
      </c>
      <c r="AV108" s="6" t="s">
        <v>1849</v>
      </c>
    </row>
    <row r="109" spans="1:48" x14ac:dyDescent="0.35">
      <c r="A109" s="4" t="s">
        <v>1822</v>
      </c>
      <c r="B109" s="24"/>
      <c r="C109" s="5">
        <v>44983</v>
      </c>
      <c r="D109" s="3">
        <v>58165</v>
      </c>
      <c r="E109" s="153" t="s">
        <v>503</v>
      </c>
      <c r="F109" s="3"/>
      <c r="G109" s="3"/>
      <c r="H109" s="3"/>
      <c r="I109" s="3"/>
      <c r="J109" s="3"/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W109" s="3"/>
      <c r="Y109" s="3"/>
      <c r="Z109" s="3"/>
      <c r="AA109" s="3"/>
      <c r="AB109" s="3"/>
      <c r="AC109" s="3"/>
      <c r="AD109" s="3"/>
      <c r="AE109" s="3">
        <v>58165</v>
      </c>
      <c r="AF109" s="3"/>
      <c r="AG109" s="3"/>
      <c r="AH109" s="3"/>
      <c r="AI109" s="3"/>
      <c r="AJ109" s="3"/>
      <c r="AK109" s="3">
        <f>SUM($F109:AJ109)</f>
        <v>58165</v>
      </c>
      <c r="AL109" s="6" t="s">
        <v>1846</v>
      </c>
      <c r="AO109" s="11" t="s">
        <v>91</v>
      </c>
      <c r="AP109" s="53">
        <f>+D56/1.19</f>
        <v>3282917.50789916</v>
      </c>
      <c r="AQ109" s="212">
        <f>+(SUMIF(E22:E55,"MD",D22:D55)+SUMIF(E22:E55,"MK",D22:D55))/1.19</f>
        <v>2066958.684369748</v>
      </c>
      <c r="AR109" s="212">
        <f>+'Ene-23'!AQ108+AQ109</f>
        <v>3972886.4154621852</v>
      </c>
      <c r="AT109" s="10">
        <f>+AR109+'Dic-22'!AR122</f>
        <v>8155458.3818487395</v>
      </c>
      <c r="AU109" s="3" t="s">
        <v>13</v>
      </c>
    </row>
    <row r="110" spans="1:48" x14ac:dyDescent="0.35">
      <c r="A110" s="4"/>
      <c r="B110" s="24"/>
      <c r="C110" s="5"/>
      <c r="D110" s="3" t="s">
        <v>13</v>
      </c>
      <c r="E110" s="153"/>
      <c r="F110" s="3"/>
      <c r="G110" s="3"/>
      <c r="H110" s="3"/>
      <c r="I110" s="3"/>
      <c r="J110" s="3"/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W110" s="3"/>
      <c r="Y110" s="3"/>
      <c r="Z110" s="3"/>
      <c r="AA110" s="3"/>
      <c r="AB110" s="3"/>
      <c r="AC110" s="3"/>
      <c r="AD110" s="3"/>
      <c r="AF110" s="3"/>
      <c r="AG110" s="3"/>
      <c r="AH110" s="3"/>
      <c r="AI110" s="3"/>
      <c r="AJ110" s="3"/>
      <c r="AK110" s="3" t="s">
        <v>13</v>
      </c>
      <c r="AO110" s="14" t="s">
        <v>1558</v>
      </c>
      <c r="AP110" s="15">
        <f>+SUMIF(AL76:AL115,"CD",D76:D115)/1.19</f>
        <v>759168.90756302525</v>
      </c>
      <c r="AQ110" s="15" t="e">
        <f>+AP110*AQ$108/AP$108</f>
        <v>#REF!</v>
      </c>
      <c r="AR110" s="15" t="e">
        <f>+'Ene-23'!AQ109+AQ110</f>
        <v>#REF!</v>
      </c>
      <c r="AT110" s="10" t="e">
        <f>+AR110+'Dic-22'!AR123</f>
        <v>#REF!</v>
      </c>
    </row>
    <row r="111" spans="1:48" x14ac:dyDescent="0.35">
      <c r="E111" s="153"/>
      <c r="F111" s="3"/>
      <c r="G111" s="3"/>
      <c r="H111" s="3"/>
      <c r="I111" s="3"/>
      <c r="J111" s="3"/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Y111" s="3"/>
      <c r="Z111" s="3"/>
      <c r="AB111" s="3"/>
      <c r="AC111" s="3"/>
      <c r="AD111" s="3"/>
      <c r="AF111" s="3"/>
      <c r="AG111" s="3"/>
      <c r="AH111" s="3"/>
      <c r="AI111" s="3"/>
      <c r="AJ111" s="3"/>
      <c r="AK111" s="3" t="s">
        <v>13</v>
      </c>
      <c r="AO111" s="14" t="s">
        <v>1559</v>
      </c>
      <c r="AP111" s="15">
        <f>+AP109-AP110</f>
        <v>2523748.6003361349</v>
      </c>
      <c r="AQ111" s="15" t="e">
        <f>+AQ109-AQ110</f>
        <v>#REF!</v>
      </c>
      <c r="AR111" s="15" t="e">
        <f>+AR109-AR110</f>
        <v>#REF!</v>
      </c>
      <c r="AT111" s="10" t="e">
        <f>+AT109-AT110</f>
        <v>#REF!</v>
      </c>
    </row>
    <row r="112" spans="1:48" x14ac:dyDescent="0.35">
      <c r="A112" s="4"/>
      <c r="B112" s="24"/>
      <c r="C112" s="5"/>
      <c r="D112" s="3"/>
      <c r="E112" s="15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Y112" s="3"/>
      <c r="Z112" s="3"/>
      <c r="AA112" s="3"/>
      <c r="AB112" s="3"/>
      <c r="AC112" s="3"/>
      <c r="AD112" s="3"/>
      <c r="AF112" s="3"/>
      <c r="AG112" s="3"/>
      <c r="AH112" s="3"/>
      <c r="AI112" s="3"/>
      <c r="AJ112" s="3"/>
      <c r="AK112" s="3" t="s">
        <v>13</v>
      </c>
      <c r="AO112" s="14" t="s">
        <v>1560</v>
      </c>
      <c r="AP112" s="327">
        <f>+AP111/AP109</f>
        <v>0.76875175640680637</v>
      </c>
      <c r="AQ112" s="327" t="e">
        <f>+AQ111/AQ109</f>
        <v>#REF!</v>
      </c>
      <c r="AR112" s="327" t="e">
        <f>+AR111/AR109</f>
        <v>#REF!</v>
      </c>
      <c r="AT112" s="377" t="e">
        <f>+AT111/AT109</f>
        <v>#REF!</v>
      </c>
    </row>
    <row r="113" spans="1:48" x14ac:dyDescent="0.35">
      <c r="A113" s="4" t="s">
        <v>1615</v>
      </c>
      <c r="B113" s="24">
        <f>92.58/8</f>
        <v>11.5725</v>
      </c>
      <c r="C113" s="67">
        <v>44958</v>
      </c>
      <c r="D113" s="3">
        <f>+B113*C114</f>
        <v>408364.59375</v>
      </c>
      <c r="E113" s="153"/>
      <c r="F113" s="3">
        <f>+D113</f>
        <v>408364.59375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Y113" s="3"/>
      <c r="Z113" s="3"/>
      <c r="AA113" s="3"/>
      <c r="AB113" s="3"/>
      <c r="AC113" s="3"/>
      <c r="AD113" s="3"/>
      <c r="AF113" s="3"/>
      <c r="AG113" s="3"/>
      <c r="AH113" s="3"/>
      <c r="AI113" s="3"/>
      <c r="AJ113" s="3"/>
      <c r="AK113" s="3">
        <f>SUM($F113:AJ113)</f>
        <v>408364.59375</v>
      </c>
      <c r="AO113" s="14" t="s">
        <v>81</v>
      </c>
      <c r="AP113" s="15">
        <f>+SUMIF(AL76:AL115,"GAV",D76:D115)/1.19+SUMIF(AL60:AL115,"REM",D60:D115)</f>
        <v>851396.48918693559</v>
      </c>
      <c r="AQ113" s="386" t="e">
        <f>+AP113*AQ$108/AP$108+(600000+300000)*5/10</f>
        <v>#REF!</v>
      </c>
      <c r="AR113" s="15" t="e">
        <f>+'Ene-23'!AQ112+AQ113</f>
        <v>#REF!</v>
      </c>
      <c r="AT113" s="10" t="e">
        <f>+AR113+'Dic-22'!AR126</f>
        <v>#REF!</v>
      </c>
    </row>
    <row r="114" spans="1:48" x14ac:dyDescent="0.35">
      <c r="A114" s="4"/>
      <c r="B114" s="67" t="s">
        <v>933</v>
      </c>
      <c r="C114" s="236">
        <v>35287.5</v>
      </c>
      <c r="E114" s="15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 t="s">
        <v>13</v>
      </c>
      <c r="AJ114" s="3"/>
      <c r="AK114" s="3" t="s">
        <v>13</v>
      </c>
      <c r="AO114" s="14" t="s">
        <v>1561</v>
      </c>
      <c r="AP114" s="15">
        <f>+AP111-AP113</f>
        <v>1672352.1111491993</v>
      </c>
      <c r="AQ114" s="375" t="e">
        <f>+AQ111-AQ113</f>
        <v>#REF!</v>
      </c>
      <c r="AR114" s="15" t="e">
        <f>+AR111-AR113</f>
        <v>#REF!</v>
      </c>
      <c r="AT114" s="10" t="e">
        <f>+AT111-AT113</f>
        <v>#REF!</v>
      </c>
      <c r="AU114" s="385" t="e">
        <f>+AQ114/AQ109</f>
        <v>#REF!</v>
      </c>
      <c r="AV114" s="3" t="e">
        <f>+AR114*0.65</f>
        <v>#REF!</v>
      </c>
    </row>
    <row r="115" spans="1:48" x14ac:dyDescent="0.35">
      <c r="A115" s="4" t="s">
        <v>1701</v>
      </c>
      <c r="B115" s="24">
        <f>92.58/8</f>
        <v>11.5725</v>
      </c>
      <c r="C115" s="67">
        <v>44985</v>
      </c>
      <c r="D115" s="3">
        <f>+B115*C116</f>
        <v>408364.59375</v>
      </c>
      <c r="E115" s="15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Y115" s="3"/>
      <c r="Z115" s="3"/>
      <c r="AA115" s="3"/>
      <c r="AB115" s="3"/>
      <c r="AC115" s="3"/>
      <c r="AD115" s="3"/>
      <c r="AE115" s="3"/>
      <c r="AF115" s="3"/>
      <c r="AG115" s="3" t="s">
        <v>13</v>
      </c>
      <c r="AH115" s="3" t="s">
        <v>13</v>
      </c>
      <c r="AI115" s="3"/>
      <c r="AJ115" s="3" t="s">
        <v>13</v>
      </c>
      <c r="AK115" s="3">
        <f>SUM($F115:AJ115)</f>
        <v>0</v>
      </c>
      <c r="AL115" s="22" t="s">
        <v>13</v>
      </c>
      <c r="AO115" s="14" t="s">
        <v>1563</v>
      </c>
      <c r="AP115" s="15">
        <f>+SUMIF(AL76:AL115,"GF",D76:D115)</f>
        <v>13905</v>
      </c>
      <c r="AQ115" s="15">
        <v>0</v>
      </c>
      <c r="AR115" s="15">
        <f>+'Ene-23'!AQ114+AQ115</f>
        <v>0</v>
      </c>
      <c r="AT115" s="10">
        <f>+AR115+'Dic-22'!AR128</f>
        <v>0</v>
      </c>
    </row>
    <row r="116" spans="1:48" x14ac:dyDescent="0.35">
      <c r="A116" s="4"/>
      <c r="B116" s="67" t="s">
        <v>933</v>
      </c>
      <c r="C116" s="236">
        <v>35287.5</v>
      </c>
      <c r="D116" s="3"/>
      <c r="E116" s="15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22"/>
      <c r="AO116" s="14" t="s">
        <v>82</v>
      </c>
      <c r="AP116" s="15">
        <f>+SUMIF(AL76:AL115,"AF",D76:D115)/1.19</f>
        <v>5084.0336134453783</v>
      </c>
      <c r="AQ116" s="15" t="e">
        <f>+AP116*AQ$108/AP$108</f>
        <v>#REF!</v>
      </c>
      <c r="AR116" s="15" t="e">
        <f>+'Ene-23'!AQ115+AQ116</f>
        <v>#REF!</v>
      </c>
      <c r="AT116" s="10" t="e">
        <f>+AR116+'Dic-22'!AR129</f>
        <v>#REF!</v>
      </c>
    </row>
    <row r="117" spans="1:48" ht="15" thickBot="1" x14ac:dyDescent="0.4">
      <c r="A117" s="4"/>
      <c r="B117" s="24"/>
      <c r="C117" s="67"/>
      <c r="D117" s="3"/>
      <c r="E117" s="15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22"/>
      <c r="AO117" s="16"/>
      <c r="AP117" s="19">
        <f>+AP114-AP115-AP116</f>
        <v>1653363.0775357538</v>
      </c>
      <c r="AQ117" s="19" t="e">
        <f>+AQ114-AQ115-AQ116</f>
        <v>#REF!</v>
      </c>
      <c r="AR117" s="19" t="e">
        <f>+AR114-AR115-AR116</f>
        <v>#REF!</v>
      </c>
      <c r="AT117" s="10" t="e">
        <f>+AT114-AT115-AT116</f>
        <v>#REF!</v>
      </c>
    </row>
    <row r="118" spans="1:48" x14ac:dyDescent="0.35">
      <c r="A118" s="4"/>
      <c r="B118" s="67"/>
      <c r="C118" s="236"/>
      <c r="E118" s="15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Y118" s="3"/>
      <c r="AJ118" s="3"/>
      <c r="AK118" s="3"/>
      <c r="AL118" s="22" t="s">
        <v>1388</v>
      </c>
      <c r="AM118" s="6" t="s">
        <v>1430</v>
      </c>
      <c r="AO118" t="s">
        <v>1961</v>
      </c>
      <c r="AP118" s="26">
        <f>+AP117+'Ene-23'!AP116</f>
        <v>3703597.2737017209</v>
      </c>
      <c r="AQ118" s="3" t="e">
        <f>+AQ117+'Ene-23'!AQ116</f>
        <v>#REF!</v>
      </c>
    </row>
    <row r="119" spans="1:48" x14ac:dyDescent="0.35">
      <c r="A119" s="2" t="s">
        <v>9</v>
      </c>
      <c r="D119" s="72">
        <f ca="1">SUM(D60:D120)-D66-D67</f>
        <v>5771983.3448146656</v>
      </c>
      <c r="F119" s="3">
        <f t="shared" ref="F119:AG119" si="2">SUM(F60:F118)</f>
        <v>613593.59375</v>
      </c>
      <c r="G119" s="3">
        <f t="shared" si="2"/>
        <v>19538</v>
      </c>
      <c r="H119" s="3">
        <f t="shared" si="2"/>
        <v>27861</v>
      </c>
      <c r="I119" s="3">
        <f t="shared" si="2"/>
        <v>0</v>
      </c>
      <c r="J119" s="3">
        <f t="shared" si="2"/>
        <v>0</v>
      </c>
      <c r="K119" s="3">
        <f t="shared" si="2"/>
        <v>76877</v>
      </c>
      <c r="L119" s="3">
        <f t="shared" si="2"/>
        <v>900000</v>
      </c>
      <c r="M119" s="3">
        <f t="shared" si="2"/>
        <v>361116</v>
      </c>
      <c r="N119" s="3">
        <f t="shared" si="2"/>
        <v>40540</v>
      </c>
      <c r="O119" s="3">
        <f t="shared" si="2"/>
        <v>0</v>
      </c>
      <c r="P119" s="3">
        <f t="shared" si="2"/>
        <v>0</v>
      </c>
      <c r="Q119" s="3">
        <f t="shared" si="2"/>
        <v>0</v>
      </c>
      <c r="R119" s="3">
        <f t="shared" si="2"/>
        <v>59642</v>
      </c>
      <c r="S119" s="3">
        <f t="shared" si="2"/>
        <v>291837</v>
      </c>
      <c r="T119" s="3">
        <f t="shared" si="2"/>
        <v>499770</v>
      </c>
      <c r="U119" s="3">
        <f t="shared" si="2"/>
        <v>0</v>
      </c>
      <c r="V119" s="3">
        <f t="shared" si="2"/>
        <v>0</v>
      </c>
      <c r="W119" s="3">
        <f t="shared" si="2"/>
        <v>0</v>
      </c>
      <c r="X119" s="3">
        <f t="shared" si="2"/>
        <v>0</v>
      </c>
      <c r="Y119" s="3">
        <f t="shared" si="2"/>
        <v>20330</v>
      </c>
      <c r="Z119" s="3">
        <f t="shared" si="2"/>
        <v>0</v>
      </c>
      <c r="AA119" s="3">
        <f t="shared" si="2"/>
        <v>709621</v>
      </c>
      <c r="AB119" s="3">
        <f t="shared" si="2"/>
        <v>0</v>
      </c>
      <c r="AC119" s="3">
        <f t="shared" si="2"/>
        <v>24780</v>
      </c>
      <c r="AD119" s="3">
        <f t="shared" si="2"/>
        <v>1550</v>
      </c>
      <c r="AE119" s="3">
        <f t="shared" si="2"/>
        <v>58165</v>
      </c>
      <c r="AF119" s="3">
        <f t="shared" si="2"/>
        <v>0</v>
      </c>
      <c r="AG119" s="3">
        <f t="shared" si="2"/>
        <v>500000</v>
      </c>
      <c r="AH119" s="3" t="s">
        <v>13</v>
      </c>
      <c r="AI119" s="3" t="s">
        <v>13</v>
      </c>
      <c r="AJ119" s="3" t="s">
        <v>13</v>
      </c>
      <c r="AK119" s="72">
        <f ca="1">SUM(AK60:AK120)-AK66-AK67</f>
        <v>4205220.59375</v>
      </c>
      <c r="AL119" s="324">
        <f ca="1">+D119-AK119</f>
        <v>1566762.7510646656</v>
      </c>
      <c r="AM119" s="72">
        <f ca="1">+AG120+AL56-AL119</f>
        <v>1620008.4541339693</v>
      </c>
      <c r="AO119" t="s">
        <v>1960</v>
      </c>
      <c r="AP119" s="3">
        <f>+AP117+'Ene-23'!AP118</f>
        <v>5299735.1760794288</v>
      </c>
      <c r="AQ119" s="3" t="e">
        <f>+AQ117+'Ene-23'!AQ118</f>
        <v>#REF!</v>
      </c>
    </row>
    <row r="120" spans="1:48" x14ac:dyDescent="0.35">
      <c r="A120" t="s">
        <v>8</v>
      </c>
      <c r="F120" s="3">
        <f t="shared" ref="F120:AG120" si="3">+F56+F3-F119</f>
        <v>858241.37079863483</v>
      </c>
      <c r="G120" s="3">
        <f t="shared" si="3"/>
        <v>838703.37079863483</v>
      </c>
      <c r="H120" s="3">
        <f t="shared" si="3"/>
        <v>810842.37079863483</v>
      </c>
      <c r="I120" s="3">
        <f t="shared" si="3"/>
        <v>810842.37079863483</v>
      </c>
      <c r="J120" s="3">
        <f t="shared" si="3"/>
        <v>810842.37079863483</v>
      </c>
      <c r="K120" s="3">
        <f t="shared" si="3"/>
        <v>999009.37079863483</v>
      </c>
      <c r="L120" s="3">
        <f t="shared" si="3"/>
        <v>489098.37079863483</v>
      </c>
      <c r="M120" s="3">
        <f t="shared" si="3"/>
        <v>127982.37079863483</v>
      </c>
      <c r="N120" s="3">
        <f t="shared" si="3"/>
        <v>87442.370798634831</v>
      </c>
      <c r="O120" s="3">
        <f t="shared" si="3"/>
        <v>87442.370798634831</v>
      </c>
      <c r="P120" s="3">
        <f t="shared" si="3"/>
        <v>87442.370798634831</v>
      </c>
      <c r="Q120" s="3">
        <f t="shared" si="3"/>
        <v>87442.370798634831</v>
      </c>
      <c r="R120" s="3">
        <f t="shared" si="3"/>
        <v>430079.20519863482</v>
      </c>
      <c r="S120" s="3">
        <f t="shared" si="3"/>
        <v>1496594.2051986349</v>
      </c>
      <c r="T120" s="3">
        <f t="shared" si="3"/>
        <v>996824.20519863488</v>
      </c>
      <c r="U120" s="3">
        <f t="shared" si="3"/>
        <v>996824.20519863488</v>
      </c>
      <c r="V120" s="3">
        <f t="shared" si="3"/>
        <v>996824.20519863488</v>
      </c>
      <c r="W120" s="3">
        <f t="shared" si="3"/>
        <v>996824.20519863488</v>
      </c>
      <c r="X120" s="3">
        <f t="shared" si="3"/>
        <v>996824.20519863488</v>
      </c>
      <c r="Y120" s="3">
        <f t="shared" si="3"/>
        <v>1239131.2051986349</v>
      </c>
      <c r="Z120" s="3">
        <f t="shared" si="3"/>
        <v>1239131.2051986349</v>
      </c>
      <c r="AA120" s="3">
        <f t="shared" si="3"/>
        <v>529510.20519863488</v>
      </c>
      <c r="AB120" s="3">
        <f t="shared" si="3"/>
        <v>529510.20519863488</v>
      </c>
      <c r="AC120" s="3">
        <f t="shared" si="3"/>
        <v>504730.20519863488</v>
      </c>
      <c r="AD120" s="3">
        <f t="shared" si="3"/>
        <v>503180.20519863488</v>
      </c>
      <c r="AE120" s="3">
        <f t="shared" si="3"/>
        <v>445015.20519863488</v>
      </c>
      <c r="AF120" s="3">
        <f t="shared" si="3"/>
        <v>1007392.2051986349</v>
      </c>
      <c r="AG120" s="3">
        <f t="shared" si="3"/>
        <v>507392.20519863488</v>
      </c>
      <c r="AH120" s="3" t="s">
        <v>13</v>
      </c>
      <c r="AI120" s="3" t="s">
        <v>13</v>
      </c>
      <c r="AJ120" s="3" t="s">
        <v>13</v>
      </c>
      <c r="AK120" s="3" t="s">
        <v>13</v>
      </c>
    </row>
    <row r="124" spans="1:48" x14ac:dyDescent="0.35">
      <c r="F124" s="3"/>
      <c r="G124" s="3"/>
      <c r="H124" s="3"/>
      <c r="I124" s="3" t="s">
        <v>13</v>
      </c>
      <c r="J124" s="3"/>
      <c r="K124" s="3" t="s">
        <v>13</v>
      </c>
      <c r="L124" s="3"/>
      <c r="M124" s="3"/>
      <c r="N124" s="3"/>
      <c r="O124" s="3"/>
      <c r="P124" s="3" t="s">
        <v>13</v>
      </c>
      <c r="Q124" s="3"/>
      <c r="R124" s="3"/>
      <c r="S124" s="3"/>
      <c r="T124" s="3" t="s">
        <v>13</v>
      </c>
      <c r="U124" s="3"/>
      <c r="V124" s="3"/>
      <c r="W124" s="3"/>
      <c r="Y124" s="3" t="s">
        <v>13</v>
      </c>
      <c r="Z124" s="3" t="s">
        <v>13</v>
      </c>
      <c r="AA124" s="3" t="s">
        <v>13</v>
      </c>
      <c r="AB124" s="3" t="s">
        <v>13</v>
      </c>
    </row>
    <row r="125" spans="1:48" x14ac:dyDescent="0.35">
      <c r="F125" s="3" t="s">
        <v>13</v>
      </c>
      <c r="G125" s="3" t="s">
        <v>13</v>
      </c>
      <c r="H125" s="3" t="s">
        <v>13</v>
      </c>
      <c r="I125" s="3"/>
      <c r="J125" s="3"/>
      <c r="K125" s="3"/>
      <c r="L125" s="3"/>
      <c r="M125" s="3"/>
      <c r="N125" s="3"/>
      <c r="O125" s="3"/>
      <c r="P125" s="3" t="s">
        <v>13</v>
      </c>
      <c r="Q125" s="3" t="s">
        <v>13</v>
      </c>
      <c r="R125" s="3" t="s">
        <v>13</v>
      </c>
      <c r="S125" s="3"/>
      <c r="T125" s="3"/>
      <c r="U125" s="3" t="s">
        <v>13</v>
      </c>
      <c r="V125" s="3"/>
      <c r="W125" s="3"/>
      <c r="AB125" s="3" t="s">
        <v>13</v>
      </c>
      <c r="AG125" s="3" t="s">
        <v>13</v>
      </c>
      <c r="AJ125" s="3" t="s">
        <v>13</v>
      </c>
    </row>
    <row r="126" spans="1:48" x14ac:dyDescent="0.35">
      <c r="A126" s="27" t="s">
        <v>13</v>
      </c>
      <c r="B126" t="s">
        <v>1825</v>
      </c>
      <c r="D126" s="236" t="s">
        <v>13</v>
      </c>
      <c r="E126" s="6" t="s">
        <v>13</v>
      </c>
      <c r="F126" s="3"/>
      <c r="G126" s="3" t="s">
        <v>13</v>
      </c>
      <c r="H126" s="3" t="s">
        <v>13</v>
      </c>
      <c r="I126" s="3"/>
      <c r="J126" s="3"/>
      <c r="K126" s="3"/>
      <c r="L126" s="3"/>
      <c r="M126" s="3"/>
      <c r="N126" s="3"/>
      <c r="O126" s="3"/>
      <c r="W126" s="3"/>
      <c r="AB126" s="3" t="s">
        <v>13</v>
      </c>
      <c r="AG126" s="3" t="s">
        <v>13</v>
      </c>
      <c r="AJ126" s="3" t="s">
        <v>13</v>
      </c>
    </row>
    <row r="127" spans="1:48" x14ac:dyDescent="0.35">
      <c r="A127" s="27" t="s">
        <v>1794</v>
      </c>
      <c r="B127" t="s">
        <v>1795</v>
      </c>
      <c r="C127" t="s">
        <v>1796</v>
      </c>
      <c r="F127" s="3"/>
      <c r="G127" s="3" t="s">
        <v>13</v>
      </c>
      <c r="H127" s="3"/>
      <c r="I127" s="3"/>
      <c r="J127" s="3"/>
      <c r="K127" s="3"/>
      <c r="L127" s="3"/>
      <c r="M127" s="3"/>
      <c r="N127" s="3"/>
      <c r="O127" s="3"/>
      <c r="W127" s="3" t="s">
        <v>13</v>
      </c>
      <c r="AB127" s="3" t="s">
        <v>13</v>
      </c>
      <c r="AG127" s="3" t="s">
        <v>13</v>
      </c>
      <c r="AJ127" s="3" t="s">
        <v>13</v>
      </c>
    </row>
    <row r="128" spans="1:48" x14ac:dyDescent="0.35">
      <c r="A128" s="27" t="s">
        <v>1797</v>
      </c>
      <c r="B128" s="24" t="s">
        <v>1798</v>
      </c>
      <c r="C128" t="s">
        <v>1799</v>
      </c>
      <c r="D128" s="236" t="s">
        <v>13</v>
      </c>
      <c r="F128" s="3" t="s">
        <v>13</v>
      </c>
      <c r="G128" s="3" t="s">
        <v>13</v>
      </c>
      <c r="H128" s="3"/>
      <c r="I128" s="3"/>
      <c r="J128" s="3"/>
      <c r="K128" s="3"/>
      <c r="L128" s="3"/>
      <c r="M128" s="3"/>
      <c r="N128" s="3"/>
      <c r="O128" s="3"/>
      <c r="W128" s="3"/>
      <c r="AB128" s="3" t="s">
        <v>13</v>
      </c>
      <c r="AG128" s="3" t="s">
        <v>13</v>
      </c>
      <c r="AJ128" s="3" t="s">
        <v>13</v>
      </c>
      <c r="AL128"/>
    </row>
    <row r="129" spans="1:38" x14ac:dyDescent="0.35">
      <c r="A129" s="27" t="s">
        <v>1805</v>
      </c>
      <c r="B129" s="236" t="s">
        <v>1800</v>
      </c>
      <c r="C129" s="236" t="s">
        <v>13</v>
      </c>
      <c r="D129" s="286" t="s">
        <v>13</v>
      </c>
      <c r="F129" s="3" t="s">
        <v>13</v>
      </c>
      <c r="G129" s="3" t="s">
        <v>13</v>
      </c>
      <c r="H129" s="3"/>
      <c r="I129" s="3"/>
      <c r="J129" s="3"/>
      <c r="K129" s="3"/>
      <c r="L129" s="3"/>
      <c r="M129" s="3"/>
      <c r="N129" s="3"/>
      <c r="O129" s="3"/>
      <c r="W129" s="3"/>
      <c r="AB129" s="3" t="s">
        <v>13</v>
      </c>
      <c r="AG129" s="3" t="s">
        <v>13</v>
      </c>
      <c r="AJ129" s="3" t="s">
        <v>13</v>
      </c>
      <c r="AL129"/>
    </row>
    <row r="130" spans="1:38" x14ac:dyDescent="0.35">
      <c r="A130" s="27" t="s">
        <v>1801</v>
      </c>
      <c r="B130" t="s">
        <v>13</v>
      </c>
      <c r="C130" t="s">
        <v>13</v>
      </c>
      <c r="D130" t="s">
        <v>13</v>
      </c>
      <c r="F130" s="3"/>
      <c r="G130" s="3" t="s">
        <v>13</v>
      </c>
      <c r="H130" s="3"/>
      <c r="I130" s="3"/>
      <c r="J130" s="3"/>
      <c r="K130" s="3"/>
      <c r="L130" s="3"/>
      <c r="M130" s="3"/>
      <c r="AG130" s="3" t="s">
        <v>13</v>
      </c>
      <c r="AJ130" s="3" t="s">
        <v>13</v>
      </c>
      <c r="AL130"/>
    </row>
    <row r="131" spans="1:38" x14ac:dyDescent="0.35">
      <c r="A131" s="27" t="s">
        <v>1802</v>
      </c>
      <c r="B131" t="s">
        <v>1803</v>
      </c>
      <c r="C131" s="236" t="s">
        <v>1804</v>
      </c>
      <c r="D131" t="s">
        <v>13</v>
      </c>
      <c r="F131" s="3"/>
      <c r="G131" s="3" t="s">
        <v>13</v>
      </c>
      <c r="H131" s="3"/>
      <c r="I131" s="3"/>
      <c r="J131" s="3"/>
      <c r="K131" s="3"/>
      <c r="L131" s="3"/>
      <c r="AB131" t="s">
        <v>13</v>
      </c>
      <c r="AG131" s="3" t="s">
        <v>13</v>
      </c>
      <c r="AJ131" s="3" t="s">
        <v>13</v>
      </c>
      <c r="AL131"/>
    </row>
    <row r="132" spans="1:38" x14ac:dyDescent="0.35">
      <c r="A132" s="27" t="s">
        <v>1824</v>
      </c>
      <c r="B132" t="s">
        <v>1826</v>
      </c>
      <c r="C132" t="s">
        <v>13</v>
      </c>
      <c r="F132" s="3"/>
      <c r="G132" s="3" t="s">
        <v>13</v>
      </c>
      <c r="H132" s="3"/>
      <c r="I132" s="3"/>
      <c r="J132" s="3"/>
      <c r="K132" s="3"/>
      <c r="L132" s="3"/>
      <c r="AG132" s="3" t="s">
        <v>13</v>
      </c>
      <c r="AJ132" s="3" t="s">
        <v>13</v>
      </c>
      <c r="AL132"/>
    </row>
    <row r="133" spans="1:38" x14ac:dyDescent="0.35">
      <c r="B133" t="s">
        <v>13</v>
      </c>
      <c r="F133" s="3"/>
      <c r="G133" s="3" t="s">
        <v>13</v>
      </c>
      <c r="H133" s="3"/>
      <c r="I133" s="3"/>
      <c r="J133" s="3"/>
      <c r="K133" s="3"/>
      <c r="L133" s="3"/>
      <c r="AG133" s="3" t="s">
        <v>13</v>
      </c>
      <c r="AJ133" s="3" t="s">
        <v>13</v>
      </c>
      <c r="AL133"/>
    </row>
    <row r="134" spans="1:38" x14ac:dyDescent="0.35">
      <c r="B134" t="s">
        <v>13</v>
      </c>
      <c r="F134" s="3"/>
      <c r="G134" s="3" t="s">
        <v>13</v>
      </c>
      <c r="H134" s="3"/>
      <c r="I134" s="3"/>
      <c r="J134" s="3"/>
      <c r="K134" s="3"/>
      <c r="L134" s="3"/>
      <c r="AG134" s="3" t="s">
        <v>13</v>
      </c>
      <c r="AJ134" s="3" t="s">
        <v>13</v>
      </c>
      <c r="AL134"/>
    </row>
    <row r="135" spans="1:38" x14ac:dyDescent="0.35">
      <c r="B135" t="s">
        <v>13</v>
      </c>
      <c r="F135" s="3"/>
      <c r="G135" s="3" t="s">
        <v>13</v>
      </c>
      <c r="H135" s="3"/>
      <c r="I135" s="3"/>
      <c r="J135" s="3"/>
      <c r="K135" s="3"/>
      <c r="L135" s="3"/>
      <c r="AG135" s="3" t="s">
        <v>13</v>
      </c>
      <c r="AJ135" s="3" t="s">
        <v>13</v>
      </c>
      <c r="AL135"/>
    </row>
    <row r="136" spans="1:38" x14ac:dyDescent="0.35">
      <c r="B136" t="s">
        <v>13</v>
      </c>
      <c r="F136" s="3"/>
      <c r="G136" s="3" t="s">
        <v>13</v>
      </c>
      <c r="H136" s="3"/>
      <c r="I136" s="3"/>
      <c r="J136" s="3"/>
      <c r="K136" s="3"/>
      <c r="L136" s="3"/>
      <c r="AG136" s="3" t="s">
        <v>13</v>
      </c>
      <c r="AJ136" s="3" t="s">
        <v>13</v>
      </c>
      <c r="AL136"/>
    </row>
    <row r="137" spans="1:38" x14ac:dyDescent="0.35">
      <c r="B137" t="s">
        <v>13</v>
      </c>
      <c r="F137" s="3"/>
      <c r="G137" s="3" t="s">
        <v>13</v>
      </c>
      <c r="H137" s="3"/>
      <c r="I137" s="3"/>
      <c r="J137" s="3"/>
      <c r="K137" s="3"/>
      <c r="L137" s="3"/>
      <c r="AG137" s="3" t="s">
        <v>13</v>
      </c>
      <c r="AJ137" s="3" t="s">
        <v>13</v>
      </c>
      <c r="AL137"/>
    </row>
    <row r="138" spans="1:38" x14ac:dyDescent="0.35">
      <c r="B138" t="s">
        <v>13</v>
      </c>
      <c r="F138" s="3"/>
      <c r="G138" s="3" t="s">
        <v>13</v>
      </c>
      <c r="H138" s="3"/>
      <c r="I138" s="3"/>
      <c r="J138" s="3"/>
      <c r="K138" s="3"/>
      <c r="L138" s="3"/>
      <c r="AG138" s="3" t="s">
        <v>13</v>
      </c>
      <c r="AJ138" s="3" t="s">
        <v>13</v>
      </c>
      <c r="AL138"/>
    </row>
    <row r="139" spans="1:38" x14ac:dyDescent="0.35">
      <c r="B139" t="s">
        <v>13</v>
      </c>
      <c r="F139" s="3"/>
      <c r="G139" s="3" t="s">
        <v>13</v>
      </c>
      <c r="H139" s="3"/>
      <c r="I139" s="3"/>
      <c r="J139" s="3"/>
      <c r="K139" s="3"/>
      <c r="L139" s="3"/>
      <c r="AG139" s="3" t="s">
        <v>13</v>
      </c>
      <c r="AJ139" s="3" t="s">
        <v>13</v>
      </c>
      <c r="AL139"/>
    </row>
    <row r="140" spans="1:38" x14ac:dyDescent="0.35">
      <c r="B140" t="s">
        <v>13</v>
      </c>
      <c r="F140" s="3"/>
      <c r="G140" s="3" t="s">
        <v>13</v>
      </c>
      <c r="H140" s="3"/>
      <c r="I140" s="3"/>
      <c r="J140" s="3"/>
      <c r="K140" s="3"/>
      <c r="L140" s="3"/>
      <c r="AG140" s="3" t="s">
        <v>13</v>
      </c>
      <c r="AJ140" s="3" t="s">
        <v>13</v>
      </c>
      <c r="AL140"/>
    </row>
    <row r="141" spans="1:38" x14ac:dyDescent="0.35">
      <c r="B141" t="s">
        <v>13</v>
      </c>
      <c r="F141" s="3"/>
      <c r="G141" s="3" t="s">
        <v>13</v>
      </c>
      <c r="H141" s="3"/>
      <c r="I141" s="3"/>
      <c r="J141" s="3"/>
      <c r="K141" s="3"/>
      <c r="L141" s="3"/>
      <c r="AG141" s="3" t="s">
        <v>13</v>
      </c>
      <c r="AJ141" s="3" t="s">
        <v>13</v>
      </c>
      <c r="AL141"/>
    </row>
    <row r="142" spans="1:38" x14ac:dyDescent="0.35">
      <c r="B142" t="s">
        <v>13</v>
      </c>
      <c r="F142" s="3"/>
      <c r="G142" s="3" t="s">
        <v>13</v>
      </c>
      <c r="H142" s="3"/>
      <c r="I142" s="3"/>
      <c r="J142" s="3"/>
      <c r="K142" s="3"/>
      <c r="L142" s="3"/>
      <c r="AG142" s="3" t="s">
        <v>13</v>
      </c>
      <c r="AJ142" s="3" t="s">
        <v>13</v>
      </c>
      <c r="AL142"/>
    </row>
    <row r="143" spans="1:38" x14ac:dyDescent="0.35">
      <c r="B143" t="s">
        <v>13</v>
      </c>
      <c r="F143" s="3"/>
      <c r="G143" s="3" t="s">
        <v>13</v>
      </c>
      <c r="H143" s="3"/>
      <c r="I143" s="3"/>
      <c r="J143" s="3"/>
      <c r="K143" s="3"/>
      <c r="L143" s="3"/>
      <c r="AL143"/>
    </row>
    <row r="144" spans="1:38" x14ac:dyDescent="0.35">
      <c r="B144" t="s">
        <v>13</v>
      </c>
      <c r="F144" s="3"/>
      <c r="G144" s="3" t="s">
        <v>13</v>
      </c>
      <c r="H144" s="3"/>
      <c r="I144" s="3"/>
      <c r="J144" s="3"/>
      <c r="K144" s="3"/>
      <c r="L144" s="3"/>
      <c r="AL144"/>
    </row>
    <row r="145" spans="2:38" x14ac:dyDescent="0.35">
      <c r="B145" t="s">
        <v>13</v>
      </c>
      <c r="AL145"/>
    </row>
    <row r="146" spans="2:38" x14ac:dyDescent="0.35">
      <c r="B146" t="s">
        <v>13</v>
      </c>
      <c r="AL146"/>
    </row>
    <row r="147" spans="2:38" x14ac:dyDescent="0.35">
      <c r="B147" t="s">
        <v>13</v>
      </c>
      <c r="AL147"/>
    </row>
    <row r="148" spans="2:38" x14ac:dyDescent="0.35">
      <c r="B148" t="s">
        <v>13</v>
      </c>
      <c r="AL148"/>
    </row>
    <row r="149" spans="2:38" x14ac:dyDescent="0.35">
      <c r="B149" t="s">
        <v>13</v>
      </c>
      <c r="AL149"/>
    </row>
    <row r="150" spans="2:38" x14ac:dyDescent="0.35">
      <c r="B150" t="s">
        <v>13</v>
      </c>
      <c r="AL150"/>
    </row>
    <row r="151" spans="2:38" x14ac:dyDescent="0.35">
      <c r="B151" t="s">
        <v>13</v>
      </c>
      <c r="AL151"/>
    </row>
    <row r="152" spans="2:38" x14ac:dyDescent="0.35">
      <c r="B152" t="s">
        <v>13</v>
      </c>
      <c r="AL152"/>
    </row>
    <row r="153" spans="2:38" x14ac:dyDescent="0.35">
      <c r="B153" t="s">
        <v>13</v>
      </c>
      <c r="AL153"/>
    </row>
    <row r="154" spans="2:38" x14ac:dyDescent="0.35">
      <c r="B154" t="s">
        <v>13</v>
      </c>
      <c r="AL154"/>
    </row>
    <row r="155" spans="2:38" x14ac:dyDescent="0.35">
      <c r="B155" t="s">
        <v>13</v>
      </c>
      <c r="AL155"/>
    </row>
    <row r="156" spans="2:38" x14ac:dyDescent="0.35">
      <c r="B156" t="s">
        <v>13</v>
      </c>
      <c r="AL156"/>
    </row>
    <row r="157" spans="2:38" x14ac:dyDescent="0.35">
      <c r="B157" t="s">
        <v>13</v>
      </c>
      <c r="AL157"/>
    </row>
    <row r="158" spans="2:38" x14ac:dyDescent="0.35">
      <c r="B158" t="s">
        <v>13</v>
      </c>
      <c r="AL158"/>
    </row>
    <row r="159" spans="2:38" x14ac:dyDescent="0.35">
      <c r="B159" t="s">
        <v>13</v>
      </c>
      <c r="AL159"/>
    </row>
    <row r="160" spans="2:38" x14ac:dyDescent="0.35">
      <c r="B160" t="s">
        <v>13</v>
      </c>
      <c r="E160"/>
      <c r="AL160"/>
    </row>
    <row r="161" spans="2:38" x14ac:dyDescent="0.35">
      <c r="B161" t="s">
        <v>13</v>
      </c>
      <c r="E161"/>
      <c r="AL161"/>
    </row>
    <row r="162" spans="2:38" x14ac:dyDescent="0.35">
      <c r="B162" t="s">
        <v>13</v>
      </c>
      <c r="E162"/>
      <c r="AL162"/>
    </row>
    <row r="163" spans="2:38" x14ac:dyDescent="0.35">
      <c r="B163" t="s">
        <v>13</v>
      </c>
      <c r="E163"/>
      <c r="AL163"/>
    </row>
    <row r="164" spans="2:38" x14ac:dyDescent="0.35">
      <c r="B164" t="s">
        <v>13</v>
      </c>
      <c r="E164"/>
      <c r="AL164"/>
    </row>
    <row r="165" spans="2:38" x14ac:dyDescent="0.35">
      <c r="B165" t="s">
        <v>13</v>
      </c>
      <c r="E165"/>
      <c r="AL165"/>
    </row>
    <row r="166" spans="2:38" x14ac:dyDescent="0.35">
      <c r="B166" t="s">
        <v>13</v>
      </c>
      <c r="E166"/>
      <c r="AL166"/>
    </row>
    <row r="167" spans="2:38" x14ac:dyDescent="0.35">
      <c r="B167" t="s">
        <v>13</v>
      </c>
      <c r="E167"/>
      <c r="AL167"/>
    </row>
    <row r="168" spans="2:38" x14ac:dyDescent="0.35">
      <c r="B168" t="s">
        <v>13</v>
      </c>
      <c r="E168"/>
      <c r="AL168"/>
    </row>
    <row r="169" spans="2:38" x14ac:dyDescent="0.35">
      <c r="B169" t="s">
        <v>13</v>
      </c>
      <c r="E169"/>
      <c r="AL169"/>
    </row>
    <row r="170" spans="2:38" x14ac:dyDescent="0.35">
      <c r="B170" t="s">
        <v>13</v>
      </c>
      <c r="E170"/>
      <c r="AL170"/>
    </row>
    <row r="171" spans="2:38" x14ac:dyDescent="0.35">
      <c r="B171" t="s">
        <v>13</v>
      </c>
      <c r="E171"/>
      <c r="AL171"/>
    </row>
    <row r="172" spans="2:38" x14ac:dyDescent="0.35">
      <c r="B172" t="s">
        <v>13</v>
      </c>
      <c r="E172"/>
      <c r="AL172"/>
    </row>
    <row r="173" spans="2:38" x14ac:dyDescent="0.35">
      <c r="B173" t="s">
        <v>13</v>
      </c>
      <c r="E173"/>
      <c r="AL173"/>
    </row>
    <row r="174" spans="2:38" x14ac:dyDescent="0.35">
      <c r="B174" t="s">
        <v>13</v>
      </c>
      <c r="E174"/>
      <c r="AL174"/>
    </row>
    <row r="175" spans="2:38" x14ac:dyDescent="0.35">
      <c r="B175" t="s">
        <v>13</v>
      </c>
      <c r="E175"/>
      <c r="AL175"/>
    </row>
    <row r="176" spans="2:38" x14ac:dyDescent="0.35">
      <c r="B176" t="s">
        <v>13</v>
      </c>
      <c r="E176"/>
      <c r="AL176"/>
    </row>
    <row r="177" spans="2:38" x14ac:dyDescent="0.35">
      <c r="B177" t="s">
        <v>13</v>
      </c>
      <c r="E177"/>
      <c r="AL177"/>
    </row>
  </sheetData>
  <sortState xmlns:xlrd2="http://schemas.microsoft.com/office/spreadsheetml/2017/richdata2" ref="A44:AM53">
    <sortCondition ref="C44:C53"/>
  </sortState>
  <pageMargins left="0.7" right="0.7" top="0.75" bottom="0.75" header="0.3" footer="0.3"/>
  <pageSetup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U157"/>
  <sheetViews>
    <sheetView topLeftCell="A70" workbookViewId="0">
      <selection activeCell="A83" sqref="A83"/>
    </sheetView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6328125" customWidth="1"/>
    <col min="41" max="41" width="12.26953125" customWidth="1"/>
    <col min="43" max="44" width="14.179687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44986</v>
      </c>
      <c r="G2" s="1">
        <v>44987</v>
      </c>
      <c r="H2" s="1">
        <v>44988</v>
      </c>
      <c r="I2" s="1">
        <v>44989</v>
      </c>
      <c r="J2" s="1">
        <v>44990</v>
      </c>
      <c r="K2" s="1">
        <v>44991</v>
      </c>
      <c r="L2" s="1">
        <v>44992</v>
      </c>
      <c r="M2" s="1">
        <v>44993</v>
      </c>
      <c r="N2" s="1">
        <v>44994</v>
      </c>
      <c r="O2" s="1">
        <v>44995</v>
      </c>
      <c r="P2" s="1">
        <v>44996</v>
      </c>
      <c r="Q2" s="1">
        <v>44997</v>
      </c>
      <c r="R2" s="1">
        <v>44998</v>
      </c>
      <c r="S2" s="1">
        <v>44999</v>
      </c>
      <c r="T2" s="1">
        <v>45000</v>
      </c>
      <c r="U2" s="1">
        <v>45001</v>
      </c>
      <c r="V2" s="1">
        <v>45002</v>
      </c>
      <c r="W2" s="1">
        <v>45003</v>
      </c>
      <c r="X2" s="1">
        <v>45004</v>
      </c>
      <c r="Y2" s="1">
        <v>45005</v>
      </c>
      <c r="Z2" s="1">
        <v>45006</v>
      </c>
      <c r="AA2" s="1">
        <v>45007</v>
      </c>
      <c r="AB2" s="1">
        <v>45008</v>
      </c>
      <c r="AC2" s="1">
        <v>45009</v>
      </c>
      <c r="AD2" s="1">
        <v>45010</v>
      </c>
      <c r="AE2" s="1">
        <v>45011</v>
      </c>
      <c r="AF2" s="1">
        <v>45012</v>
      </c>
      <c r="AG2" s="1">
        <v>45013</v>
      </c>
      <c r="AH2" s="1">
        <v>45014</v>
      </c>
      <c r="AI2" s="1">
        <v>45015</v>
      </c>
      <c r="AJ2" s="1">
        <v>45016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+'Feb-23'!AG120</f>
        <v>507392.20519863488</v>
      </c>
      <c r="G3" s="3">
        <f t="shared" ref="G3:AJ3" si="0">+F102</f>
        <v>1387624.2051986349</v>
      </c>
      <c r="H3" s="3">
        <f t="shared" si="0"/>
        <v>1372166.2051986349</v>
      </c>
      <c r="I3" s="3">
        <f t="shared" si="0"/>
        <v>1367776.2051986349</v>
      </c>
      <c r="J3" s="3">
        <f t="shared" si="0"/>
        <v>1441060.2051986349</v>
      </c>
      <c r="K3" s="3">
        <f t="shared" si="0"/>
        <v>216786.06335063488</v>
      </c>
      <c r="L3" s="3">
        <f t="shared" si="0"/>
        <v>216786.06335063488</v>
      </c>
      <c r="M3" s="3">
        <f t="shared" si="0"/>
        <v>216786.06335063488</v>
      </c>
      <c r="N3" s="3">
        <f t="shared" si="0"/>
        <v>216786.06335063488</v>
      </c>
      <c r="O3" s="3">
        <f t="shared" si="0"/>
        <v>216786.06335063488</v>
      </c>
      <c r="P3" s="3">
        <f t="shared" si="0"/>
        <v>187946.06335063488</v>
      </c>
      <c r="Q3" s="3">
        <f t="shared" si="0"/>
        <v>187946.06335063488</v>
      </c>
      <c r="R3" s="3">
        <f t="shared" si="0"/>
        <v>187946.06335063488</v>
      </c>
      <c r="S3" s="3">
        <f t="shared" si="0"/>
        <v>187946.06335063488</v>
      </c>
      <c r="T3" s="3">
        <f t="shared" si="0"/>
        <v>807994.06335063488</v>
      </c>
      <c r="U3" s="3">
        <f t="shared" si="0"/>
        <v>655192.06335063488</v>
      </c>
      <c r="V3" s="3">
        <f t="shared" si="0"/>
        <v>630701.86335063493</v>
      </c>
      <c r="W3" s="3">
        <f t="shared" si="0"/>
        <v>1412497.0033506351</v>
      </c>
      <c r="X3" s="3">
        <f t="shared" si="0"/>
        <v>1412497.0033506351</v>
      </c>
      <c r="Y3" s="3">
        <f t="shared" si="0"/>
        <v>933659.00335063506</v>
      </c>
      <c r="Z3" s="3">
        <f t="shared" si="0"/>
        <v>933659.00335063506</v>
      </c>
      <c r="AA3" s="3">
        <f t="shared" si="0"/>
        <v>933659.00335063506</v>
      </c>
      <c r="AB3" s="3">
        <f t="shared" si="0"/>
        <v>933659.00335063506</v>
      </c>
      <c r="AC3" s="3">
        <f t="shared" si="0"/>
        <v>918769.00335063506</v>
      </c>
      <c r="AD3" s="3">
        <f t="shared" si="0"/>
        <v>694544.00335063506</v>
      </c>
      <c r="AE3" s="3">
        <f t="shared" si="0"/>
        <v>879462.00335063506</v>
      </c>
      <c r="AF3" s="3">
        <f t="shared" si="0"/>
        <v>879462.00335063506</v>
      </c>
      <c r="AG3" s="3">
        <f t="shared" si="0"/>
        <v>942161.00335063506</v>
      </c>
      <c r="AH3" s="3">
        <f t="shared" si="0"/>
        <v>939161.00335063506</v>
      </c>
      <c r="AI3" s="3">
        <f t="shared" si="0"/>
        <v>939161.00335063506</v>
      </c>
      <c r="AJ3" s="3">
        <f t="shared" si="0"/>
        <v>939161.00335063506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1702</v>
      </c>
      <c r="B6" s="66" t="s">
        <v>1703</v>
      </c>
      <c r="C6" s="38">
        <v>44958</v>
      </c>
      <c r="D6" s="39">
        <v>264522</v>
      </c>
      <c r="E6" s="40" t="s">
        <v>1441</v>
      </c>
      <c r="F6" s="3">
        <v>264522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264522</v>
      </c>
      <c r="AL6" s="22"/>
      <c r="AM6"/>
    </row>
    <row r="7" spans="1:39" x14ac:dyDescent="0.35">
      <c r="A7" s="41" t="s">
        <v>1714</v>
      </c>
      <c r="B7" t="s">
        <v>1716</v>
      </c>
      <c r="C7" s="5">
        <v>44959</v>
      </c>
      <c r="D7" s="7">
        <v>87189</v>
      </c>
      <c r="E7" s="42" t="s">
        <v>782</v>
      </c>
      <c r="F7" s="3"/>
      <c r="G7" s="3"/>
      <c r="H7" s="3"/>
      <c r="J7" s="3"/>
      <c r="K7" s="3"/>
      <c r="L7" s="3"/>
      <c r="M7" s="3"/>
      <c r="N7" s="3"/>
      <c r="O7" s="3"/>
      <c r="P7" s="3"/>
      <c r="Q7" s="3"/>
      <c r="S7">
        <v>87189</v>
      </c>
      <c r="T7" s="3"/>
      <c r="U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87189</v>
      </c>
      <c r="AL7" s="22"/>
      <c r="AM7"/>
    </row>
    <row r="8" spans="1:39" x14ac:dyDescent="0.35">
      <c r="A8" s="41" t="s">
        <v>1715</v>
      </c>
      <c r="B8" t="s">
        <v>1717</v>
      </c>
      <c r="C8" s="5">
        <v>44959</v>
      </c>
      <c r="D8" s="3">
        <v>45855</v>
      </c>
      <c r="E8" s="42" t="s">
        <v>782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>
        <v>45855</v>
      </c>
      <c r="T8" s="3"/>
      <c r="U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45855</v>
      </c>
      <c r="AL8" s="22"/>
      <c r="AM8"/>
    </row>
    <row r="9" spans="1:39" x14ac:dyDescent="0.35">
      <c r="A9" s="41" t="s">
        <v>1719</v>
      </c>
      <c r="B9" t="s">
        <v>1718</v>
      </c>
      <c r="C9" s="5">
        <v>44959</v>
      </c>
      <c r="D9" s="3">
        <v>437855</v>
      </c>
      <c r="E9" s="42" t="s">
        <v>1441</v>
      </c>
      <c r="F9" s="3">
        <v>437855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T9" s="3"/>
      <c r="U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437855</v>
      </c>
      <c r="AL9" s="22"/>
      <c r="AM9"/>
    </row>
    <row r="10" spans="1:39" x14ac:dyDescent="0.35">
      <c r="A10" s="41" t="s">
        <v>1721</v>
      </c>
      <c r="B10" t="s">
        <v>1742</v>
      </c>
      <c r="C10" s="5">
        <v>44960</v>
      </c>
      <c r="D10" s="3">
        <v>87189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S10">
        <v>87189</v>
      </c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87189</v>
      </c>
      <c r="AL10" s="22"/>
      <c r="AM10"/>
    </row>
    <row r="11" spans="1:39" x14ac:dyDescent="0.35">
      <c r="A11" s="41" t="s">
        <v>1722</v>
      </c>
      <c r="B11" t="s">
        <v>1743</v>
      </c>
      <c r="C11" s="5">
        <v>44960</v>
      </c>
      <c r="D11" s="3">
        <v>87189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S11">
        <v>87189</v>
      </c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87189</v>
      </c>
      <c r="AL11" s="22"/>
      <c r="AM11"/>
    </row>
    <row r="12" spans="1:39" x14ac:dyDescent="0.35">
      <c r="A12" s="41" t="s">
        <v>1723</v>
      </c>
      <c r="B12" t="s">
        <v>1724</v>
      </c>
      <c r="C12" s="5">
        <v>44960</v>
      </c>
      <c r="D12" s="3">
        <v>87189</v>
      </c>
      <c r="E12" s="42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S12">
        <v>87189</v>
      </c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87189</v>
      </c>
      <c r="AL12" s="22"/>
      <c r="AM12"/>
    </row>
    <row r="13" spans="1:39" x14ac:dyDescent="0.35">
      <c r="A13" s="41" t="s">
        <v>1733</v>
      </c>
      <c r="B13" t="s">
        <v>1732</v>
      </c>
      <c r="C13" s="5">
        <v>44961</v>
      </c>
      <c r="D13" s="3">
        <v>177855</v>
      </c>
      <c r="E13" s="42" t="s">
        <v>1441</v>
      </c>
      <c r="F13" s="3">
        <v>177855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177855</v>
      </c>
      <c r="AL13" s="22"/>
      <c r="AM13"/>
    </row>
    <row r="14" spans="1:39" x14ac:dyDescent="0.35">
      <c r="A14" s="41" t="s">
        <v>1749</v>
      </c>
      <c r="B14" t="s">
        <v>1746</v>
      </c>
      <c r="C14" s="5">
        <v>44964</v>
      </c>
      <c r="D14" s="3">
        <v>43371</v>
      </c>
      <c r="E14" s="42" t="s">
        <v>1441</v>
      </c>
      <c r="F14" s="3"/>
      <c r="G14" s="3"/>
      <c r="H14" s="3"/>
      <c r="I14" s="3"/>
      <c r="J14" s="3"/>
      <c r="K14" s="3" t="s">
        <v>13</v>
      </c>
      <c r="L14" s="3"/>
      <c r="M14" s="3"/>
      <c r="N14" s="3"/>
      <c r="O14" s="3"/>
      <c r="P14" s="3"/>
      <c r="Q14" s="3"/>
      <c r="S14" t="s">
        <v>13</v>
      </c>
      <c r="T14" s="3"/>
      <c r="U14" s="3"/>
      <c r="V14" s="3">
        <v>43371</v>
      </c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43371</v>
      </c>
      <c r="AL14" s="22"/>
      <c r="AM14"/>
    </row>
    <row r="15" spans="1:39" x14ac:dyDescent="0.35">
      <c r="A15" s="41" t="s">
        <v>1761</v>
      </c>
      <c r="B15" t="s">
        <v>1757</v>
      </c>
      <c r="C15" s="5">
        <v>44966</v>
      </c>
      <c r="D15" s="3">
        <v>45855</v>
      </c>
      <c r="E15" s="42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S15">
        <v>45855</v>
      </c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45855</v>
      </c>
      <c r="AL15" s="22"/>
      <c r="AM15"/>
    </row>
    <row r="16" spans="1:39" x14ac:dyDescent="0.35">
      <c r="A16" s="41" t="s">
        <v>1763</v>
      </c>
      <c r="B16" t="s">
        <v>1759</v>
      </c>
      <c r="C16" s="5">
        <v>44966</v>
      </c>
      <c r="D16" s="3">
        <v>45855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S16">
        <v>45855</v>
      </c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45855</v>
      </c>
      <c r="AL16" s="22"/>
      <c r="AM16"/>
    </row>
    <row r="17" spans="1:39" x14ac:dyDescent="0.35">
      <c r="A17" s="41" t="s">
        <v>1764</v>
      </c>
      <c r="B17" t="s">
        <v>1765</v>
      </c>
      <c r="C17" s="5">
        <v>44966</v>
      </c>
      <c r="D17" s="3">
        <v>87189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S17">
        <v>87189</v>
      </c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87189</v>
      </c>
      <c r="AL17" s="22"/>
      <c r="AM17"/>
    </row>
    <row r="18" spans="1:39" x14ac:dyDescent="0.35">
      <c r="A18" s="41" t="s">
        <v>1767</v>
      </c>
      <c r="B18" t="s">
        <v>1769</v>
      </c>
      <c r="C18" s="5">
        <v>44968</v>
      </c>
      <c r="D18" s="71">
        <v>87189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S18">
        <f>624298-573510</f>
        <v>50788</v>
      </c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50788</v>
      </c>
      <c r="AL18" s="22"/>
      <c r="AM18"/>
    </row>
    <row r="19" spans="1:39" x14ac:dyDescent="0.35">
      <c r="A19" s="41" t="s">
        <v>1768</v>
      </c>
      <c r="B19" t="s">
        <v>780</v>
      </c>
      <c r="C19" s="5">
        <v>44968</v>
      </c>
      <c r="D19" s="3">
        <v>87189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t="s">
        <v>13</v>
      </c>
      <c r="AK19" s="3">
        <f>SUM($F19:AJ19)</f>
        <v>0</v>
      </c>
      <c r="AL19" s="22"/>
      <c r="AM19"/>
    </row>
    <row r="20" spans="1:39" x14ac:dyDescent="0.35">
      <c r="A20" s="41" t="s">
        <v>1773</v>
      </c>
      <c r="B20" t="s">
        <v>1774</v>
      </c>
      <c r="C20" s="5">
        <v>44970</v>
      </c>
      <c r="D20" s="3">
        <v>87189</v>
      </c>
      <c r="E20" s="42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  <c r="AM20"/>
    </row>
    <row r="21" spans="1:39" x14ac:dyDescent="0.35">
      <c r="A21" s="41" t="s">
        <v>1775</v>
      </c>
      <c r="B21" t="s">
        <v>1776</v>
      </c>
      <c r="C21" s="5">
        <v>44970</v>
      </c>
      <c r="D21" s="3">
        <v>45855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  <c r="AM21"/>
    </row>
    <row r="22" spans="1:39" x14ac:dyDescent="0.35">
      <c r="A22" s="41" t="s">
        <v>1785</v>
      </c>
      <c r="B22" t="s">
        <v>1784</v>
      </c>
      <c r="C22" s="5">
        <v>44971</v>
      </c>
      <c r="D22" s="3">
        <v>87189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  <c r="AM22"/>
    </row>
    <row r="23" spans="1:39" x14ac:dyDescent="0.35">
      <c r="A23" s="41" t="s">
        <v>1786</v>
      </c>
      <c r="B23" t="s">
        <v>1787</v>
      </c>
      <c r="C23" s="5">
        <v>44974</v>
      </c>
      <c r="D23" s="3">
        <v>264522</v>
      </c>
      <c r="E23" s="42" t="s">
        <v>1441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264522</v>
      </c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264522</v>
      </c>
      <c r="AL23" s="22"/>
      <c r="AM23"/>
    </row>
    <row r="24" spans="1:39" x14ac:dyDescent="0.35">
      <c r="A24" s="41" t="s">
        <v>1789</v>
      </c>
      <c r="B24" t="s">
        <v>1788</v>
      </c>
      <c r="C24" s="5">
        <v>44975</v>
      </c>
      <c r="D24" s="3">
        <v>128522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  <c r="AM24"/>
    </row>
    <row r="25" spans="1:39" x14ac:dyDescent="0.35">
      <c r="A25" s="41" t="s">
        <v>1808</v>
      </c>
      <c r="B25" t="s">
        <v>1807</v>
      </c>
      <c r="C25" s="5">
        <v>44980</v>
      </c>
      <c r="D25" s="3">
        <v>87189</v>
      </c>
      <c r="E25" s="42" t="s">
        <v>1441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87189</v>
      </c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87189</v>
      </c>
      <c r="AL25" s="22"/>
      <c r="AM25"/>
    </row>
    <row r="26" spans="1:39" x14ac:dyDescent="0.35">
      <c r="A26" s="41" t="s">
        <v>1809</v>
      </c>
      <c r="B26" t="s">
        <v>1810</v>
      </c>
      <c r="C26" s="5">
        <v>44980</v>
      </c>
      <c r="D26" s="3">
        <v>87189</v>
      </c>
      <c r="E26" s="42" t="s">
        <v>1345</v>
      </c>
      <c r="F26" s="3"/>
      <c r="G26" s="3"/>
      <c r="H26" s="3"/>
      <c r="I26" s="3">
        <v>87189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87189</v>
      </c>
      <c r="AL26" s="22"/>
      <c r="AM26"/>
    </row>
    <row r="27" spans="1:39" x14ac:dyDescent="0.35">
      <c r="A27" s="41" t="s">
        <v>1811</v>
      </c>
      <c r="B27" t="s">
        <v>1813</v>
      </c>
      <c r="C27" s="5">
        <v>44981</v>
      </c>
      <c r="D27" s="3">
        <v>87189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  <c r="AM27"/>
    </row>
    <row r="28" spans="1:39" x14ac:dyDescent="0.35">
      <c r="A28" s="41" t="s">
        <v>1812</v>
      </c>
      <c r="B28" t="s">
        <v>1814</v>
      </c>
      <c r="C28" s="5">
        <v>44981</v>
      </c>
      <c r="D28" s="3">
        <v>45855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  <c r="AM28"/>
    </row>
    <row r="29" spans="1:39" ht="15" thickBot="1" x14ac:dyDescent="0.4">
      <c r="A29" s="41" t="s">
        <v>1817</v>
      </c>
      <c r="B29" t="s">
        <v>1818</v>
      </c>
      <c r="C29" s="5">
        <v>44982</v>
      </c>
      <c r="D29" s="3">
        <v>87189</v>
      </c>
      <c r="E29" s="42" t="s">
        <v>782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0</v>
      </c>
      <c r="AL29" s="22"/>
      <c r="AM29"/>
    </row>
    <row r="30" spans="1:39" x14ac:dyDescent="0.35">
      <c r="A30" s="36" t="s">
        <v>1829</v>
      </c>
      <c r="B30" s="66" t="s">
        <v>1828</v>
      </c>
      <c r="C30" s="38">
        <v>44987</v>
      </c>
      <c r="D30" s="39">
        <v>184918</v>
      </c>
      <c r="E30" s="40" t="s">
        <v>1345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>
        <v>184918</v>
      </c>
      <c r="AE30" s="3"/>
      <c r="AF30" s="3"/>
      <c r="AG30" s="3"/>
      <c r="AH30" s="3"/>
      <c r="AI30" s="3"/>
      <c r="AK30" s="3">
        <f>SUM($F30:AJ30)</f>
        <v>184918</v>
      </c>
      <c r="AL30" s="22"/>
      <c r="AM30"/>
    </row>
    <row r="31" spans="1:39" x14ac:dyDescent="0.35">
      <c r="A31" s="41" t="s">
        <v>1831</v>
      </c>
      <c r="B31" t="s">
        <v>1832</v>
      </c>
      <c r="C31" s="5">
        <v>44988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">
        <f>SUM($F31:AJ31)</f>
        <v>0</v>
      </c>
      <c r="AL31" s="22"/>
      <c r="AM31"/>
    </row>
    <row r="32" spans="1:39" x14ac:dyDescent="0.35">
      <c r="A32" s="41" t="s">
        <v>1833</v>
      </c>
      <c r="B32" t="s">
        <v>1834</v>
      </c>
      <c r="C32" s="5">
        <v>44988</v>
      </c>
      <c r="D32" s="3">
        <v>87189</v>
      </c>
      <c r="E32" s="42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0</v>
      </c>
      <c r="AL32" s="22"/>
      <c r="AM32"/>
    </row>
    <row r="33" spans="1:39" x14ac:dyDescent="0.35">
      <c r="A33" s="41" t="s">
        <v>1835</v>
      </c>
      <c r="B33" t="s">
        <v>1836</v>
      </c>
      <c r="C33" s="5">
        <v>44989</v>
      </c>
      <c r="D33" s="3">
        <v>87189</v>
      </c>
      <c r="E33" s="42" t="s">
        <v>782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>
        <f>SUM($F33:AJ33)</f>
        <v>0</v>
      </c>
      <c r="AL33" s="22"/>
      <c r="AM33"/>
    </row>
    <row r="34" spans="1:39" x14ac:dyDescent="0.35">
      <c r="A34" s="41" t="s">
        <v>1837</v>
      </c>
      <c r="B34" t="s">
        <v>1838</v>
      </c>
      <c r="C34" s="5">
        <v>44989</v>
      </c>
      <c r="D34" s="3">
        <v>45855</v>
      </c>
      <c r="E34" s="42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>
        <f>SUM($F34:AJ34)</f>
        <v>0</v>
      </c>
      <c r="AL34" s="22"/>
      <c r="AM34"/>
    </row>
    <row r="35" spans="1:39" x14ac:dyDescent="0.35">
      <c r="A35" s="41" t="s">
        <v>1851</v>
      </c>
      <c r="B35" t="s">
        <v>1852</v>
      </c>
      <c r="C35" s="5">
        <v>44995</v>
      </c>
      <c r="D35" s="3">
        <f>35601*2*3*1.19</f>
        <v>254191.13999999998</v>
      </c>
      <c r="E35" s="42" t="s">
        <v>1345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f>35601*2*3*1.19</f>
        <v>254191.13999999998</v>
      </c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">
        <f>SUM($F35:AJ35)</f>
        <v>254191.13999999998</v>
      </c>
      <c r="AL35" s="22"/>
      <c r="AM35"/>
    </row>
    <row r="36" spans="1:39" x14ac:dyDescent="0.35">
      <c r="A36" s="41" t="s">
        <v>1853</v>
      </c>
      <c r="B36" t="s">
        <v>1854</v>
      </c>
      <c r="C36" s="5">
        <v>44988</v>
      </c>
      <c r="D36" s="3">
        <v>45855</v>
      </c>
      <c r="E36" s="42" t="s">
        <v>782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>
        <v>45855</v>
      </c>
      <c r="AG36" s="3"/>
      <c r="AH36" s="3"/>
      <c r="AI36" s="3"/>
      <c r="AK36" s="3">
        <f>SUM($F36:AJ36)</f>
        <v>45855</v>
      </c>
      <c r="AL36" s="22"/>
      <c r="AM36"/>
    </row>
    <row r="37" spans="1:39" x14ac:dyDescent="0.35">
      <c r="A37" s="41" t="s">
        <v>1855</v>
      </c>
      <c r="B37" t="s">
        <v>1856</v>
      </c>
      <c r="C37" s="5">
        <v>44988</v>
      </c>
      <c r="D37" s="3">
        <v>45855</v>
      </c>
      <c r="E37" s="42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>
        <v>45855</v>
      </c>
      <c r="AG37" s="3"/>
      <c r="AH37" s="3"/>
      <c r="AI37" s="3"/>
      <c r="AK37" s="3">
        <f>SUM($F37:AJ37)</f>
        <v>45855</v>
      </c>
      <c r="AL37" s="22"/>
      <c r="AM37"/>
    </row>
    <row r="38" spans="1:39" x14ac:dyDescent="0.35">
      <c r="A38" s="41" t="s">
        <v>1857</v>
      </c>
      <c r="B38" t="s">
        <v>1858</v>
      </c>
      <c r="C38" s="5">
        <v>44995</v>
      </c>
      <c r="D38" s="3">
        <v>132522</v>
      </c>
      <c r="E38" s="42" t="s">
        <v>1345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>
        <v>132522</v>
      </c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132522</v>
      </c>
      <c r="AL38" s="22"/>
      <c r="AM38"/>
    </row>
    <row r="39" spans="1:39" x14ac:dyDescent="0.35">
      <c r="A39" s="41" t="s">
        <v>1859</v>
      </c>
      <c r="B39" t="s">
        <v>1860</v>
      </c>
      <c r="C39" s="5">
        <v>44995</v>
      </c>
      <c r="D39" s="3">
        <v>177855</v>
      </c>
      <c r="E39" s="42" t="s">
        <v>1441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  <c r="AL39" s="22"/>
      <c r="AM39"/>
    </row>
    <row r="40" spans="1:39" x14ac:dyDescent="0.35">
      <c r="A40" s="41" t="s">
        <v>1861</v>
      </c>
      <c r="B40" t="s">
        <v>1864</v>
      </c>
      <c r="C40" s="5">
        <v>44995</v>
      </c>
      <c r="D40" s="3">
        <v>169461</v>
      </c>
      <c r="E40" s="42" t="s">
        <v>1441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0</v>
      </c>
      <c r="AL40" s="22"/>
      <c r="AM40"/>
    </row>
    <row r="41" spans="1:39" x14ac:dyDescent="0.35">
      <c r="A41" s="41" t="s">
        <v>1863</v>
      </c>
      <c r="B41" t="s">
        <v>1862</v>
      </c>
      <c r="C41" s="5">
        <v>44989</v>
      </c>
      <c r="D41" s="3">
        <v>169856</v>
      </c>
      <c r="E41" s="42" t="s">
        <v>782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>
        <v>169856</v>
      </c>
      <c r="AG41" s="3"/>
      <c r="AH41" s="3"/>
      <c r="AI41" s="3"/>
      <c r="AK41" s="3">
        <f>SUM($F41:AJ41)</f>
        <v>169856</v>
      </c>
      <c r="AL41" s="22"/>
      <c r="AM41"/>
    </row>
    <row r="42" spans="1:39" x14ac:dyDescent="0.35">
      <c r="A42" s="41" t="s">
        <v>1872</v>
      </c>
      <c r="B42" t="s">
        <v>1873</v>
      </c>
      <c r="C42" s="5">
        <v>44999</v>
      </c>
      <c r="D42" s="3">
        <v>45855</v>
      </c>
      <c r="E42" s="42" t="s">
        <v>782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>
        <v>45855</v>
      </c>
      <c r="AG42" s="3" t="s">
        <v>13</v>
      </c>
      <c r="AH42" s="3"/>
      <c r="AI42" s="3"/>
      <c r="AK42" s="3">
        <f>SUM($F42:AJ42)</f>
        <v>45855</v>
      </c>
      <c r="AL42" s="22"/>
      <c r="AM42"/>
    </row>
    <row r="43" spans="1:39" x14ac:dyDescent="0.35">
      <c r="A43" s="41" t="s">
        <v>1874</v>
      </c>
      <c r="B43" t="s">
        <v>1876</v>
      </c>
      <c r="C43" s="5">
        <v>45000</v>
      </c>
      <c r="D43" s="3">
        <v>87189</v>
      </c>
      <c r="E43" s="42" t="s">
        <v>782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K43" s="3">
        <f>SUM($F43:AJ43)</f>
        <v>0</v>
      </c>
      <c r="AL43" s="22"/>
      <c r="AM43"/>
    </row>
    <row r="44" spans="1:39" x14ac:dyDescent="0.35">
      <c r="A44" s="41" t="s">
        <v>1875</v>
      </c>
      <c r="B44" t="s">
        <v>1877</v>
      </c>
      <c r="C44" s="5">
        <v>45000</v>
      </c>
      <c r="D44" s="3">
        <v>87189</v>
      </c>
      <c r="E44" s="42" t="s">
        <v>782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K44" s="3">
        <f>SUM($F44:AJ44)</f>
        <v>0</v>
      </c>
      <c r="AL44" s="22"/>
      <c r="AM44"/>
    </row>
    <row r="45" spans="1:39" x14ac:dyDescent="0.35">
      <c r="A45" s="41" t="s">
        <v>1880</v>
      </c>
      <c r="B45" t="s">
        <v>1881</v>
      </c>
      <c r="C45" s="5">
        <v>45002</v>
      </c>
      <c r="D45" s="3">
        <v>91189</v>
      </c>
      <c r="E45" s="42" t="s">
        <v>1441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K45" s="3">
        <f>SUM($F45:AJ45)</f>
        <v>0</v>
      </c>
      <c r="AL45" s="22"/>
      <c r="AM45"/>
    </row>
    <row r="46" spans="1:39" x14ac:dyDescent="0.35">
      <c r="A46" s="41" t="s">
        <v>1882</v>
      </c>
      <c r="B46" t="s">
        <v>1883</v>
      </c>
      <c r="C46" s="5">
        <v>45002</v>
      </c>
      <c r="D46" s="3">
        <v>45855</v>
      </c>
      <c r="E46" s="42" t="s">
        <v>782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0</v>
      </c>
      <c r="AL46" s="22"/>
      <c r="AM46"/>
    </row>
    <row r="47" spans="1:39" x14ac:dyDescent="0.35">
      <c r="A47" s="41" t="s">
        <v>1884</v>
      </c>
      <c r="B47" t="s">
        <v>1885</v>
      </c>
      <c r="C47" s="5">
        <v>45002</v>
      </c>
      <c r="D47" s="3">
        <v>45855</v>
      </c>
      <c r="E47" s="42" t="s">
        <v>782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K47" s="3">
        <f>SUM($F47:AJ47)</f>
        <v>0</v>
      </c>
      <c r="AL47" s="22"/>
      <c r="AM47"/>
    </row>
    <row r="48" spans="1:39" x14ac:dyDescent="0.35">
      <c r="A48" s="41" t="s">
        <v>1888</v>
      </c>
      <c r="B48" t="s">
        <v>1889</v>
      </c>
      <c r="C48" s="5">
        <v>45006</v>
      </c>
      <c r="D48" s="3">
        <v>87189</v>
      </c>
      <c r="E48" s="42" t="s">
        <v>1345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K48" s="3">
        <f>SUM($F48:AJ48)</f>
        <v>0</v>
      </c>
      <c r="AL48" s="22"/>
      <c r="AM48"/>
    </row>
    <row r="49" spans="1:39" x14ac:dyDescent="0.35">
      <c r="A49" s="41" t="s">
        <v>1890</v>
      </c>
      <c r="B49" t="s">
        <v>1891</v>
      </c>
      <c r="C49" s="5">
        <v>45008</v>
      </c>
      <c r="D49" s="3">
        <v>128522</v>
      </c>
      <c r="E49" s="42" t="s">
        <v>782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K49" s="3">
        <f>SUM($F49:AJ49)</f>
        <v>0</v>
      </c>
      <c r="AL49" s="22"/>
      <c r="AM49"/>
    </row>
    <row r="50" spans="1:39" x14ac:dyDescent="0.35">
      <c r="A50" s="41" t="s">
        <v>1892</v>
      </c>
      <c r="B50" t="s">
        <v>1894</v>
      </c>
      <c r="C50" s="5">
        <v>45009</v>
      </c>
      <c r="D50" s="3">
        <v>45855</v>
      </c>
      <c r="E50" s="42" t="s">
        <v>782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K50" s="3">
        <f>SUM($F50:AJ50)</f>
        <v>0</v>
      </c>
      <c r="AL50" s="22"/>
      <c r="AM50"/>
    </row>
    <row r="51" spans="1:39" x14ac:dyDescent="0.35">
      <c r="A51" s="41" t="s">
        <v>1893</v>
      </c>
      <c r="B51" t="s">
        <v>1895</v>
      </c>
      <c r="C51" s="5">
        <v>45009</v>
      </c>
      <c r="D51" s="3">
        <v>53709</v>
      </c>
      <c r="E51" s="42" t="s">
        <v>782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K51" s="3">
        <f>SUM($F51:AJ51)</f>
        <v>0</v>
      </c>
      <c r="AL51" s="22"/>
      <c r="AM51"/>
    </row>
    <row r="52" spans="1:39" x14ac:dyDescent="0.35">
      <c r="A52" s="41" t="s">
        <v>1898</v>
      </c>
      <c r="B52" t="s">
        <v>1900</v>
      </c>
      <c r="C52" s="5">
        <v>45012</v>
      </c>
      <c r="D52" s="3">
        <v>87189</v>
      </c>
      <c r="E52" s="42" t="s">
        <v>782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K52" s="3">
        <f>SUM($F52:AJ52)</f>
        <v>0</v>
      </c>
      <c r="AL52" s="22"/>
      <c r="AM52"/>
    </row>
    <row r="53" spans="1:39" x14ac:dyDescent="0.35">
      <c r="A53" s="41" t="s">
        <v>1899</v>
      </c>
      <c r="B53" t="s">
        <v>1901</v>
      </c>
      <c r="C53" s="5">
        <v>45012</v>
      </c>
      <c r="D53" s="3">
        <v>87189</v>
      </c>
      <c r="E53" s="42" t="s">
        <v>782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K53" s="3">
        <f>SUM($F53:AJ53)</f>
        <v>0</v>
      </c>
      <c r="AL53" s="22"/>
      <c r="AM53"/>
    </row>
    <row r="54" spans="1:39" x14ac:dyDescent="0.35">
      <c r="A54" s="41" t="s">
        <v>1908</v>
      </c>
      <c r="B54" t="s">
        <v>1909</v>
      </c>
      <c r="C54" s="5">
        <v>45013</v>
      </c>
      <c r="D54" s="3">
        <v>87189</v>
      </c>
      <c r="E54" s="42" t="s">
        <v>1345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K54" s="3">
        <f>SUM($F54:AJ54)</f>
        <v>0</v>
      </c>
      <c r="AL54" s="22"/>
      <c r="AM54"/>
    </row>
    <row r="55" spans="1:39" x14ac:dyDescent="0.35">
      <c r="A55" s="41"/>
      <c r="C55" s="5"/>
      <c r="D55" s="3"/>
      <c r="E55" s="4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K55" s="3">
        <f>SUM($F55:AJ55)</f>
        <v>0</v>
      </c>
      <c r="AL55" s="22"/>
      <c r="AM55"/>
    </row>
    <row r="56" spans="1:39" x14ac:dyDescent="0.35">
      <c r="A56" s="41"/>
      <c r="C56" s="5"/>
      <c r="D56" s="3"/>
      <c r="E56" s="4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K56" s="3">
        <f>SUM($F56:AJ56)</f>
        <v>0</v>
      </c>
      <c r="AL56" s="22"/>
      <c r="AM56"/>
    </row>
    <row r="57" spans="1:39" ht="15" thickBot="1" x14ac:dyDescent="0.4">
      <c r="A57" s="43"/>
      <c r="B57" s="76"/>
      <c r="C57" s="45"/>
      <c r="D57" s="46"/>
      <c r="E57" s="4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K57" s="3">
        <f>SUM($F57:AJ57)</f>
        <v>0</v>
      </c>
      <c r="AL57" s="22"/>
      <c r="AM57"/>
    </row>
    <row r="58" spans="1:39" x14ac:dyDescent="0.35"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K58" s="324" t="s">
        <v>105</v>
      </c>
      <c r="AL58" s="22" t="s">
        <v>1352</v>
      </c>
      <c r="AM58"/>
    </row>
    <row r="59" spans="1:39" x14ac:dyDescent="0.35">
      <c r="A59" s="2" t="s">
        <v>1676</v>
      </c>
      <c r="D59" s="3">
        <f>SUM(D30:D57)</f>
        <v>2467909.14</v>
      </c>
      <c r="F59" s="3">
        <f t="shared" ref="F59:U59" si="1">SUM(F5:F58)</f>
        <v>880232</v>
      </c>
      <c r="G59" s="3">
        <f t="shared" si="1"/>
        <v>0</v>
      </c>
      <c r="H59" s="3">
        <f t="shared" si="1"/>
        <v>0</v>
      </c>
      <c r="I59" s="3">
        <f t="shared" si="1"/>
        <v>87189</v>
      </c>
      <c r="J59" s="3">
        <f t="shared" si="1"/>
        <v>0</v>
      </c>
      <c r="K59" s="3">
        <f t="shared" si="1"/>
        <v>0</v>
      </c>
      <c r="L59" s="3">
        <f t="shared" si="1"/>
        <v>0</v>
      </c>
      <c r="M59" s="3">
        <f t="shared" si="1"/>
        <v>0</v>
      </c>
      <c r="N59" s="3">
        <f t="shared" si="1"/>
        <v>0</v>
      </c>
      <c r="O59" s="3">
        <f t="shared" si="1"/>
        <v>0</v>
      </c>
      <c r="P59" s="3">
        <f t="shared" si="1"/>
        <v>0</v>
      </c>
      <c r="Q59" s="3">
        <f t="shared" si="1"/>
        <v>0</v>
      </c>
      <c r="R59" s="3">
        <f t="shared" si="1"/>
        <v>0</v>
      </c>
      <c r="S59" s="3">
        <f t="shared" si="1"/>
        <v>624298</v>
      </c>
      <c r="T59" s="3">
        <f t="shared" si="1"/>
        <v>0</v>
      </c>
      <c r="U59" s="3">
        <f t="shared" si="1"/>
        <v>0</v>
      </c>
      <c r="V59" s="3">
        <f>SUM(V6:V58)</f>
        <v>781795.14</v>
      </c>
      <c r="W59" s="3">
        <f t="shared" ref="W59:AJ59" si="2">SUM(W5:W58)</f>
        <v>0</v>
      </c>
      <c r="X59" s="3">
        <f t="shared" si="2"/>
        <v>0</v>
      </c>
      <c r="Y59" s="3">
        <f t="shared" si="2"/>
        <v>0</v>
      </c>
      <c r="Z59" s="3">
        <f t="shared" si="2"/>
        <v>0</v>
      </c>
      <c r="AA59" s="3">
        <f t="shared" si="2"/>
        <v>0</v>
      </c>
      <c r="AB59" s="3">
        <f t="shared" si="2"/>
        <v>0</v>
      </c>
      <c r="AC59" s="3">
        <f t="shared" si="2"/>
        <v>0</v>
      </c>
      <c r="AD59" s="3">
        <f t="shared" si="2"/>
        <v>184918</v>
      </c>
      <c r="AE59" s="3">
        <f t="shared" si="2"/>
        <v>0</v>
      </c>
      <c r="AF59" s="3">
        <f t="shared" si="2"/>
        <v>307421</v>
      </c>
      <c r="AG59" s="3">
        <f t="shared" si="2"/>
        <v>0</v>
      </c>
      <c r="AH59" s="3">
        <f t="shared" si="2"/>
        <v>0</v>
      </c>
      <c r="AI59" s="3">
        <f t="shared" si="2"/>
        <v>0</v>
      </c>
      <c r="AJ59" s="3">
        <f t="shared" si="2"/>
        <v>0</v>
      </c>
      <c r="AK59" s="72">
        <f>SUM(AK6:AK57)</f>
        <v>2865853.14</v>
      </c>
      <c r="AL59" s="22">
        <f>+D60-AK59</f>
        <v>2281435.0000000005</v>
      </c>
      <c r="AM59"/>
    </row>
    <row r="60" spans="1:39" x14ac:dyDescent="0.35">
      <c r="A60" s="2" t="s">
        <v>1780</v>
      </c>
      <c r="B60" t="s">
        <v>13</v>
      </c>
      <c r="C60" s="3" t="s">
        <v>13</v>
      </c>
      <c r="D60" s="3">
        <f>SUM(D6:D57)</f>
        <v>5147288.1400000006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M60"/>
    </row>
    <row r="61" spans="1:39" x14ac:dyDescent="0.35">
      <c r="A61" s="2" t="s">
        <v>2</v>
      </c>
      <c r="F61" s="3"/>
      <c r="G61" s="3"/>
      <c r="H61" s="3"/>
      <c r="I61" s="3"/>
      <c r="J61" s="3"/>
      <c r="K61" s="3"/>
      <c r="L61" s="3" t="s">
        <v>13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M61"/>
    </row>
    <row r="62" spans="1:39" ht="15" thickBot="1" x14ac:dyDescent="0.4">
      <c r="A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M62"/>
    </row>
    <row r="63" spans="1:39" x14ac:dyDescent="0.35">
      <c r="A63" s="358" t="s">
        <v>1847</v>
      </c>
      <c r="B63" s="37" t="s">
        <v>337</v>
      </c>
      <c r="C63" s="38"/>
      <c r="D63" s="39">
        <v>600000</v>
      </c>
      <c r="E63" s="40"/>
      <c r="F63" s="3"/>
      <c r="G63" s="3"/>
      <c r="H63" s="3" t="s">
        <v>13</v>
      </c>
      <c r="I63" s="3"/>
      <c r="J63" s="3">
        <v>600000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K63" s="3">
        <f>SUM($F63:AJ63)</f>
        <v>600000</v>
      </c>
      <c r="AM63"/>
    </row>
    <row r="64" spans="1:39" x14ac:dyDescent="0.35">
      <c r="A64" s="343" t="s">
        <v>1848</v>
      </c>
      <c r="B64" s="24" t="s">
        <v>337</v>
      </c>
      <c r="C64" s="5"/>
      <c r="D64" s="3">
        <v>1800000</v>
      </c>
      <c r="E64" s="4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K64" s="3">
        <f>SUM($F64:AJ64)</f>
        <v>0</v>
      </c>
      <c r="AM64"/>
    </row>
    <row r="65" spans="1:43" x14ac:dyDescent="0.35">
      <c r="A65" s="343" t="s">
        <v>1008</v>
      </c>
      <c r="B65" s="24" t="s">
        <v>337</v>
      </c>
      <c r="C65" s="5"/>
      <c r="D65" s="3">
        <v>2400000</v>
      </c>
      <c r="E65" s="42"/>
      <c r="F65" s="3"/>
      <c r="G65" s="3"/>
      <c r="H65" s="3" t="s">
        <v>13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K65" s="3">
        <f>SUM($F65:AJ65)</f>
        <v>0</v>
      </c>
    </row>
    <row r="66" spans="1:43" ht="15" thickBot="1" x14ac:dyDescent="0.4">
      <c r="A66" s="43" t="s">
        <v>1840</v>
      </c>
      <c r="B66" s="76" t="s">
        <v>337</v>
      </c>
      <c r="C66" s="45"/>
      <c r="D66" s="46">
        <f>+'Feb-23'!D64</f>
        <v>624274.141848</v>
      </c>
      <c r="E66" s="47"/>
      <c r="F66" s="3"/>
      <c r="G66" s="3"/>
      <c r="H66" s="3"/>
      <c r="I66" s="3"/>
      <c r="J66" s="3">
        <v>624274.141848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K66" s="3">
        <f>SUM($F66:AJ66)</f>
        <v>624274.141848</v>
      </c>
    </row>
    <row r="67" spans="1:43" x14ac:dyDescent="0.35">
      <c r="A67" s="343" t="s">
        <v>1710</v>
      </c>
      <c r="B67" s="24" t="s">
        <v>1711</v>
      </c>
      <c r="C67" s="5">
        <v>44959</v>
      </c>
      <c r="D67" s="3">
        <v>154700</v>
      </c>
      <c r="E67" s="34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Y67" s="3"/>
      <c r="Z67" s="3"/>
      <c r="AA67" s="3"/>
      <c r="AB67" s="3"/>
      <c r="AC67" s="3"/>
      <c r="AD67" s="3"/>
      <c r="AF67" s="3"/>
      <c r="AG67" s="3"/>
      <c r="AH67" s="3"/>
      <c r="AI67" s="3"/>
      <c r="AJ67" s="3"/>
      <c r="AK67" s="3">
        <f>SUM($F67:AJ67)</f>
        <v>0</v>
      </c>
      <c r="AL67" s="6" t="s">
        <v>13</v>
      </c>
      <c r="AM67" s="6" t="s">
        <v>13</v>
      </c>
    </row>
    <row r="68" spans="1:43" x14ac:dyDescent="0.35">
      <c r="A68" s="343" t="s">
        <v>1712</v>
      </c>
      <c r="B68" s="24" t="s">
        <v>1753</v>
      </c>
      <c r="C68" s="5">
        <v>44959</v>
      </c>
      <c r="D68" s="3">
        <v>171360</v>
      </c>
      <c r="E68" s="344"/>
      <c r="F68" s="3"/>
      <c r="G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Y68" s="3"/>
      <c r="Z68" s="3"/>
      <c r="AA68" s="3"/>
      <c r="AB68" s="3"/>
      <c r="AC68" s="3"/>
      <c r="AD68" s="3"/>
      <c r="AF68" s="3"/>
      <c r="AG68" s="3"/>
      <c r="AH68" s="3"/>
      <c r="AI68" s="3"/>
      <c r="AJ68" s="3"/>
      <c r="AK68" s="3">
        <f>SUM($F68:AJ68)</f>
        <v>0</v>
      </c>
      <c r="AL68" s="6" t="s">
        <v>13</v>
      </c>
      <c r="AM68" s="6" t="s">
        <v>13</v>
      </c>
    </row>
    <row r="69" spans="1:43" x14ac:dyDescent="0.35">
      <c r="A69" s="343" t="s">
        <v>1792</v>
      </c>
      <c r="B69" s="24"/>
      <c r="C69" s="5">
        <v>44978</v>
      </c>
      <c r="D69" s="3">
        <f>82*2*1290/9+(700+700+800+800+1500)*2+(303+615)*2+3245+2686</f>
        <v>40273.666666666672</v>
      </c>
      <c r="E69" s="344" t="s">
        <v>503</v>
      </c>
      <c r="F69" s="3"/>
      <c r="G69" s="3"/>
      <c r="H69" s="3"/>
      <c r="I69" s="3"/>
      <c r="J69" s="3"/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W69" s="3"/>
      <c r="Y69" s="3"/>
      <c r="Z69" s="3"/>
      <c r="AA69" s="3"/>
      <c r="AB69" s="3"/>
      <c r="AC69" s="3"/>
      <c r="AD69" s="3"/>
      <c r="AF69" s="3">
        <v>40274</v>
      </c>
      <c r="AG69" s="3"/>
      <c r="AH69" s="3"/>
      <c r="AI69" s="3"/>
      <c r="AJ69" s="3"/>
      <c r="AK69" s="3">
        <f>SUM($F69:AJ69)</f>
        <v>40274</v>
      </c>
      <c r="AL69" s="6" t="s">
        <v>13</v>
      </c>
      <c r="AM69" s="6" t="s">
        <v>13</v>
      </c>
    </row>
    <row r="70" spans="1:43" ht="15" thickBot="1" x14ac:dyDescent="0.4">
      <c r="A70" s="345" t="s">
        <v>1793</v>
      </c>
      <c r="B70" s="44" t="s">
        <v>1816</v>
      </c>
      <c r="C70" s="45">
        <v>44978</v>
      </c>
      <c r="D70" s="46">
        <v>152320</v>
      </c>
      <c r="E70" s="347"/>
      <c r="F70" s="3"/>
      <c r="G70" s="3"/>
      <c r="H70" s="3"/>
      <c r="I70" s="3"/>
      <c r="J70" s="3"/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W70" s="3"/>
      <c r="Y70" s="3"/>
      <c r="Z70" s="3"/>
      <c r="AA70" s="3"/>
      <c r="AB70" s="3"/>
      <c r="AC70" s="3"/>
      <c r="AD70" s="3"/>
      <c r="AF70" s="3"/>
      <c r="AG70" s="3"/>
      <c r="AH70" s="3"/>
      <c r="AI70" s="3"/>
      <c r="AJ70" s="3"/>
      <c r="AK70" s="3">
        <f>SUM($F70:AJ70)</f>
        <v>0</v>
      </c>
      <c r="AL70" s="6" t="s">
        <v>13</v>
      </c>
      <c r="AM70" s="6" t="s">
        <v>13</v>
      </c>
    </row>
    <row r="71" spans="1:43" x14ac:dyDescent="0.35">
      <c r="A71" s="358" t="s">
        <v>1827</v>
      </c>
      <c r="B71" s="37" t="s">
        <v>1830</v>
      </c>
      <c r="C71" s="38">
        <v>44987</v>
      </c>
      <c r="D71" s="39">
        <v>15458</v>
      </c>
      <c r="E71" s="361"/>
      <c r="F71" s="3"/>
      <c r="G71" s="3">
        <v>15458</v>
      </c>
      <c r="H71" s="3"/>
      <c r="I71" s="3"/>
      <c r="J71" s="3"/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W71" s="3"/>
      <c r="Y71" s="3"/>
      <c r="Z71" s="3"/>
      <c r="AA71" s="3"/>
      <c r="AB71" s="3"/>
      <c r="AC71" s="3"/>
      <c r="AD71" s="3"/>
      <c r="AF71" s="3"/>
      <c r="AG71" s="3"/>
      <c r="AH71" s="3"/>
      <c r="AI71" s="3"/>
      <c r="AJ71" s="3"/>
      <c r="AK71" s="3">
        <f>SUM($F71:AJ71)</f>
        <v>15458</v>
      </c>
      <c r="AL71" s="6" t="s">
        <v>81</v>
      </c>
    </row>
    <row r="72" spans="1:43" x14ac:dyDescent="0.35">
      <c r="A72" s="343" t="s">
        <v>1161</v>
      </c>
      <c r="B72" s="24" t="s">
        <v>1867</v>
      </c>
      <c r="C72" s="5">
        <v>44987</v>
      </c>
      <c r="D72" s="3">
        <v>11100</v>
      </c>
      <c r="E72" s="344" t="s">
        <v>1293</v>
      </c>
      <c r="F72" s="3"/>
      <c r="G72" s="3"/>
      <c r="H72" s="3"/>
      <c r="I72" s="3"/>
      <c r="J72" s="3"/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W72" s="3"/>
      <c r="Y72" s="3"/>
      <c r="Z72" s="3"/>
      <c r="AA72" s="3"/>
      <c r="AB72" s="3"/>
      <c r="AC72" s="3"/>
      <c r="AD72" s="3"/>
      <c r="AF72" s="3"/>
      <c r="AG72" s="3"/>
      <c r="AH72" s="3"/>
      <c r="AI72" s="3"/>
      <c r="AJ72" s="3"/>
      <c r="AK72" s="3">
        <v>11100</v>
      </c>
      <c r="AL72" s="6" t="s">
        <v>83</v>
      </c>
    </row>
    <row r="73" spans="1:43" x14ac:dyDescent="0.35">
      <c r="A73" s="343" t="s">
        <v>1161</v>
      </c>
      <c r="B73" s="24" t="s">
        <v>1681</v>
      </c>
      <c r="C73" s="5">
        <v>44988</v>
      </c>
      <c r="D73" s="3">
        <v>4390</v>
      </c>
      <c r="E73" s="344" t="s">
        <v>1704</v>
      </c>
      <c r="F73" s="3"/>
      <c r="G73" s="3"/>
      <c r="H73" s="3">
        <v>4390</v>
      </c>
      <c r="I73" s="3"/>
      <c r="J73" s="3"/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Y73" s="3"/>
      <c r="Z73" s="3"/>
      <c r="AB73" s="3"/>
      <c r="AC73" s="3"/>
      <c r="AD73" s="3"/>
      <c r="AF73" s="3"/>
      <c r="AG73" s="3"/>
      <c r="AH73" s="3"/>
      <c r="AI73" s="3"/>
      <c r="AJ73" s="3"/>
      <c r="AK73" s="3">
        <f>SUM($F73:AJ73)</f>
        <v>4390</v>
      </c>
      <c r="AL73" s="6" t="s">
        <v>83</v>
      </c>
      <c r="AM73" s="6" t="s">
        <v>13</v>
      </c>
    </row>
    <row r="74" spans="1:43" x14ac:dyDescent="0.35">
      <c r="A74" s="343" t="s">
        <v>1161</v>
      </c>
      <c r="B74" s="24" t="s">
        <v>1959</v>
      </c>
      <c r="C74" s="5">
        <v>44989</v>
      </c>
      <c r="D74" s="3">
        <v>7080</v>
      </c>
      <c r="E74" s="344" t="s">
        <v>4</v>
      </c>
      <c r="F74" s="3"/>
      <c r="G74" s="3"/>
      <c r="H74" s="3"/>
      <c r="I74" s="3" t="s">
        <v>13</v>
      </c>
      <c r="J74" s="3"/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Y74" s="3"/>
      <c r="Z74" s="3"/>
      <c r="AB74" s="3"/>
      <c r="AC74" s="3"/>
      <c r="AD74" s="3"/>
      <c r="AF74" s="3"/>
      <c r="AG74" s="3"/>
      <c r="AH74" s="3"/>
      <c r="AI74" s="3"/>
      <c r="AJ74" s="3"/>
      <c r="AK74" s="3">
        <f>SUM($F74:AJ74)</f>
        <v>0</v>
      </c>
      <c r="AL74" s="6" t="s">
        <v>83</v>
      </c>
    </row>
    <row r="75" spans="1:43" x14ac:dyDescent="0.35">
      <c r="A75" s="343" t="s">
        <v>1839</v>
      </c>
      <c r="B75" s="24"/>
      <c r="C75" s="5">
        <v>44989</v>
      </c>
      <c r="D75" s="3">
        <v>13905</v>
      </c>
      <c r="E75" s="344"/>
      <c r="F75" s="3"/>
      <c r="G75" s="3"/>
      <c r="H75" s="3"/>
      <c r="I75" s="3">
        <v>13905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Y75" s="3"/>
      <c r="Z75" s="3"/>
      <c r="AA75" s="3"/>
      <c r="AB75" s="3"/>
      <c r="AC75" s="3"/>
      <c r="AD75" s="3"/>
      <c r="AF75" s="3"/>
      <c r="AG75" s="3"/>
      <c r="AH75" s="3"/>
      <c r="AI75" s="3"/>
      <c r="AJ75" s="3"/>
      <c r="AK75" s="3">
        <f>SUM($F75:AJ75)</f>
        <v>13905</v>
      </c>
      <c r="AL75" s="6" t="s">
        <v>1557</v>
      </c>
    </row>
    <row r="76" spans="1:43" x14ac:dyDescent="0.35">
      <c r="A76" s="343" t="s">
        <v>1850</v>
      </c>
      <c r="B76" s="24"/>
      <c r="C76" s="5">
        <v>44992</v>
      </c>
      <c r="D76" s="3">
        <v>4999</v>
      </c>
      <c r="E76" s="344" t="s">
        <v>4</v>
      </c>
      <c r="F76" s="3"/>
      <c r="G76" s="3"/>
      <c r="H76" s="3"/>
      <c r="I76" s="3"/>
      <c r="J76" s="3"/>
      <c r="K76" s="3"/>
      <c r="L76" s="3" t="s">
        <v>13</v>
      </c>
      <c r="M76" s="3"/>
      <c r="N76" s="3"/>
      <c r="O76" s="3"/>
      <c r="P76" s="3"/>
      <c r="Q76" s="3"/>
      <c r="R76" s="3"/>
      <c r="S76" s="3"/>
      <c r="T76" s="3"/>
      <c r="U76" s="3"/>
      <c r="V76" s="3"/>
      <c r="Y76" s="3"/>
      <c r="Z76" s="3"/>
      <c r="AA76" s="3"/>
      <c r="AB76" s="3"/>
      <c r="AC76" s="3"/>
      <c r="AD76" s="3"/>
      <c r="AF76" s="3">
        <v>4999</v>
      </c>
      <c r="AG76" s="3"/>
      <c r="AH76" s="3"/>
      <c r="AI76" s="3"/>
      <c r="AJ76" s="3"/>
      <c r="AK76" s="3">
        <f>SUM($F76:AJ76)</f>
        <v>4999</v>
      </c>
      <c r="AL76" s="6" t="s">
        <v>81</v>
      </c>
      <c r="AM76" s="6" t="s">
        <v>13</v>
      </c>
      <c r="AN76" s="26"/>
      <c r="AO76" s="3"/>
    </row>
    <row r="77" spans="1:43" x14ac:dyDescent="0.35">
      <c r="A77" s="343" t="s">
        <v>1161</v>
      </c>
      <c r="B77" s="24" t="s">
        <v>1865</v>
      </c>
      <c r="C77" s="5">
        <v>44995</v>
      </c>
      <c r="D77" s="3">
        <v>21630</v>
      </c>
      <c r="E77" s="344" t="s">
        <v>1704</v>
      </c>
      <c r="F77" s="3"/>
      <c r="G77" s="3"/>
      <c r="H77" s="3"/>
      <c r="I77" s="3"/>
      <c r="J77" s="3"/>
      <c r="K77" s="3"/>
      <c r="L77" s="3"/>
      <c r="M77" s="3"/>
      <c r="N77" s="3"/>
      <c r="O77" s="3">
        <v>21630</v>
      </c>
      <c r="P77" s="3"/>
      <c r="Q77" s="3"/>
      <c r="R77" s="3"/>
      <c r="S77" s="3"/>
      <c r="T77" s="3"/>
      <c r="U77" s="3"/>
      <c r="V77" s="3"/>
      <c r="X77" t="s">
        <v>13</v>
      </c>
      <c r="Y77" s="3"/>
      <c r="Z77" s="3"/>
      <c r="AA77" s="3"/>
      <c r="AB77" s="3"/>
      <c r="AC77" s="3"/>
      <c r="AD77" s="3"/>
      <c r="AF77" s="3"/>
      <c r="AG77" s="3"/>
      <c r="AH77" s="3"/>
      <c r="AI77" s="3"/>
      <c r="AJ77" s="3"/>
      <c r="AK77" s="3">
        <f>SUM($F77:AJ77)</f>
        <v>21630</v>
      </c>
      <c r="AL77" s="6" t="s">
        <v>83</v>
      </c>
      <c r="AN77" s="26"/>
      <c r="AO77" s="3"/>
      <c r="AQ77" t="s">
        <v>13</v>
      </c>
    </row>
    <row r="78" spans="1:43" x14ac:dyDescent="0.35">
      <c r="A78" s="343" t="s">
        <v>1161</v>
      </c>
      <c r="B78" s="24" t="s">
        <v>1866</v>
      </c>
      <c r="C78" s="5">
        <v>44995</v>
      </c>
      <c r="D78" s="3">
        <v>7210</v>
      </c>
      <c r="E78" s="344" t="s">
        <v>1704</v>
      </c>
      <c r="F78" s="3"/>
      <c r="G78" s="3"/>
      <c r="H78" s="3"/>
      <c r="I78" s="3"/>
      <c r="J78" s="3"/>
      <c r="K78" s="3"/>
      <c r="L78" s="3"/>
      <c r="M78" s="3"/>
      <c r="N78" s="3"/>
      <c r="O78" s="3">
        <v>7210</v>
      </c>
      <c r="P78" s="3"/>
      <c r="Q78" s="3"/>
      <c r="R78" s="3"/>
      <c r="S78" s="3"/>
      <c r="T78" s="3"/>
      <c r="U78" s="3"/>
      <c r="V78" s="3"/>
      <c r="Y78" s="3"/>
      <c r="Z78" s="3"/>
      <c r="AA78" s="3"/>
      <c r="AB78" s="3"/>
      <c r="AC78" s="3"/>
      <c r="AD78" s="3"/>
      <c r="AF78" s="3"/>
      <c r="AG78" s="3"/>
      <c r="AH78" s="3"/>
      <c r="AI78" s="3"/>
      <c r="AJ78" s="3"/>
      <c r="AK78" s="3">
        <f>SUM($F78:AJ78)</f>
        <v>7210</v>
      </c>
      <c r="AL78" s="6" t="s">
        <v>83</v>
      </c>
      <c r="AN78" s="26"/>
      <c r="AO78" s="3"/>
      <c r="AQ78" t="s">
        <v>13</v>
      </c>
    </row>
    <row r="79" spans="1:43" x14ac:dyDescent="0.35">
      <c r="A79" s="343" t="s">
        <v>1161</v>
      </c>
      <c r="B79" s="291" t="s">
        <v>1903</v>
      </c>
      <c r="C79" s="5">
        <v>44999</v>
      </c>
      <c r="D79" s="3">
        <v>4250</v>
      </c>
      <c r="E79" s="344" t="s">
        <v>1704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>
        <v>4250</v>
      </c>
      <c r="T79" s="3"/>
      <c r="U79" s="3"/>
      <c r="V79" s="3"/>
      <c r="Y79" s="3"/>
      <c r="Z79" s="3"/>
      <c r="AA79" s="3"/>
      <c r="AB79" s="3"/>
      <c r="AC79" s="3"/>
      <c r="AD79" s="3"/>
      <c r="AF79" s="3"/>
      <c r="AG79" s="3"/>
      <c r="AH79" s="3"/>
      <c r="AI79" s="3"/>
      <c r="AJ79" s="3"/>
      <c r="AK79" s="3">
        <f>SUM($F79:AJ79)</f>
        <v>4250</v>
      </c>
      <c r="AL79" s="6" t="s">
        <v>83</v>
      </c>
      <c r="AN79" s="26"/>
      <c r="AO79" s="3"/>
      <c r="AQ79" t="s">
        <v>13</v>
      </c>
    </row>
    <row r="80" spans="1:43" x14ac:dyDescent="0.35">
      <c r="A80" s="343" t="s">
        <v>1869</v>
      </c>
      <c r="B80" s="291" t="s">
        <v>1868</v>
      </c>
      <c r="C80" s="67">
        <v>44999</v>
      </c>
      <c r="D80" s="3">
        <f>88069-11100</f>
        <v>76969</v>
      </c>
      <c r="E80" s="344" t="s">
        <v>503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>
        <v>88069</v>
      </c>
      <c r="U80" s="3"/>
      <c r="V80" s="3"/>
      <c r="Y80" s="3"/>
      <c r="Z80" s="3"/>
      <c r="AA80" s="3"/>
      <c r="AB80" s="3"/>
      <c r="AC80" s="3"/>
      <c r="AD80" s="3"/>
      <c r="AF80" s="3"/>
      <c r="AG80" s="3"/>
      <c r="AH80" s="3"/>
      <c r="AI80" s="3"/>
      <c r="AJ80" s="3"/>
      <c r="AK80" s="3">
        <v>76969</v>
      </c>
      <c r="AL80" s="6" t="s">
        <v>81</v>
      </c>
      <c r="AN80" s="26"/>
      <c r="AO80" s="3"/>
    </row>
    <row r="81" spans="1:46" x14ac:dyDescent="0.35">
      <c r="A81" s="343" t="s">
        <v>1870</v>
      </c>
      <c r="B81" s="291" t="s">
        <v>1871</v>
      </c>
      <c r="C81" s="5">
        <v>45000</v>
      </c>
      <c r="D81" s="3">
        <v>54563</v>
      </c>
      <c r="E81" s="344" t="s">
        <v>503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>
        <v>54563</v>
      </c>
      <c r="U81" s="3"/>
      <c r="V81" s="3"/>
      <c r="Y81" s="3"/>
      <c r="Z81" s="3"/>
      <c r="AA81" s="3"/>
      <c r="AB81" s="3"/>
      <c r="AC81" s="3"/>
      <c r="AD81" s="3"/>
      <c r="AF81" s="3"/>
      <c r="AG81" s="3"/>
      <c r="AH81" s="3"/>
      <c r="AI81" s="3"/>
      <c r="AJ81" s="3"/>
      <c r="AK81" s="3">
        <f>SUM($F81:AJ81)</f>
        <v>54563</v>
      </c>
      <c r="AL81" s="6" t="s">
        <v>81</v>
      </c>
      <c r="AN81" s="26"/>
      <c r="AO81" s="3"/>
    </row>
    <row r="82" spans="1:46" x14ac:dyDescent="0.35">
      <c r="A82" s="343" t="s">
        <v>1161</v>
      </c>
      <c r="B82" s="291" t="s">
        <v>1904</v>
      </c>
      <c r="C82" s="5">
        <v>45000</v>
      </c>
      <c r="D82" s="3">
        <v>10170</v>
      </c>
      <c r="E82" s="344" t="s">
        <v>1704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>
        <v>10170</v>
      </c>
      <c r="U82" s="3"/>
      <c r="V82" s="3"/>
      <c r="Y82" s="3"/>
      <c r="Z82" s="3"/>
      <c r="AA82" s="3"/>
      <c r="AB82" s="3"/>
      <c r="AC82" s="3"/>
      <c r="AD82" s="3"/>
      <c r="AF82" s="3"/>
      <c r="AG82" s="3"/>
      <c r="AH82" s="3"/>
      <c r="AI82" s="3"/>
      <c r="AJ82" s="3"/>
      <c r="AK82" s="3">
        <f>SUM($F82:AJ82)</f>
        <v>10170</v>
      </c>
      <c r="AL82" s="6" t="s">
        <v>83</v>
      </c>
      <c r="AN82" s="26"/>
      <c r="AO82" s="3"/>
    </row>
    <row r="83" spans="1:46" x14ac:dyDescent="0.35">
      <c r="A83" s="343" t="s">
        <v>1879</v>
      </c>
      <c r="B83" s="291" t="s">
        <v>1878</v>
      </c>
      <c r="C83" s="5">
        <v>45001</v>
      </c>
      <c r="D83" s="3">
        <f>+(1620*9+3000*2)*1.19</f>
        <v>24490.199999999997</v>
      </c>
      <c r="E83" s="344" t="s">
        <v>503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>
        <f>+(1620*9+3000*2)*1.19</f>
        <v>24490.199999999997</v>
      </c>
      <c r="V83" s="3"/>
      <c r="Y83" s="3"/>
      <c r="Z83" s="3"/>
      <c r="AA83" s="3"/>
      <c r="AB83" s="3"/>
      <c r="AC83" s="3"/>
      <c r="AD83" s="3"/>
      <c r="AF83" s="3"/>
      <c r="AG83" s="3"/>
      <c r="AH83" s="3"/>
      <c r="AI83" s="3"/>
      <c r="AJ83" s="3"/>
      <c r="AK83" s="3">
        <f>SUM($F83:AJ83)</f>
        <v>24490.199999999997</v>
      </c>
      <c r="AL83" s="6" t="s">
        <v>81</v>
      </c>
      <c r="AM83" s="6" t="s">
        <v>13</v>
      </c>
      <c r="AN83" s="26"/>
      <c r="AO83" s="3"/>
    </row>
    <row r="84" spans="1:46" x14ac:dyDescent="0.35">
      <c r="A84" s="343" t="s">
        <v>1161</v>
      </c>
      <c r="B84" s="291" t="s">
        <v>1886</v>
      </c>
      <c r="C84" s="5">
        <v>45001</v>
      </c>
      <c r="D84" s="3">
        <v>10170</v>
      </c>
      <c r="E84" s="344" t="s">
        <v>1291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Y84" s="3"/>
      <c r="Z84" s="3"/>
      <c r="AA84" s="3"/>
      <c r="AB84" s="3"/>
      <c r="AC84" s="3"/>
      <c r="AD84" s="3"/>
      <c r="AF84" s="3">
        <v>10170</v>
      </c>
      <c r="AG84" s="3"/>
      <c r="AH84" s="3"/>
      <c r="AI84" s="3"/>
      <c r="AJ84" s="3"/>
      <c r="AK84" s="3">
        <f>SUM($F84:AJ84)</f>
        <v>10170</v>
      </c>
      <c r="AL84" s="6" t="s">
        <v>83</v>
      </c>
      <c r="AM84" s="6" t="s">
        <v>13</v>
      </c>
      <c r="AN84" s="26"/>
      <c r="AO84" s="3"/>
    </row>
    <row r="85" spans="1:46" x14ac:dyDescent="0.35">
      <c r="A85" s="343" t="s">
        <v>1887</v>
      </c>
      <c r="B85" s="291"/>
      <c r="C85" s="5">
        <v>45004</v>
      </c>
      <c r="D85" s="3">
        <v>478838</v>
      </c>
      <c r="E85" s="344" t="s">
        <v>503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X85" s="3">
        <v>478838</v>
      </c>
      <c r="Y85" s="3"/>
      <c r="Z85" s="3"/>
      <c r="AA85" s="3"/>
      <c r="AB85" s="3"/>
      <c r="AC85" s="3"/>
      <c r="AD85" s="3"/>
      <c r="AF85" s="3"/>
      <c r="AG85" s="3"/>
      <c r="AH85" s="3"/>
      <c r="AI85" s="3"/>
      <c r="AJ85" s="3"/>
      <c r="AK85" s="3">
        <f>SUM($F85:AJ85)</f>
        <v>478838</v>
      </c>
      <c r="AN85" s="26"/>
      <c r="AO85" s="3"/>
    </row>
    <row r="86" spans="1:46" x14ac:dyDescent="0.35">
      <c r="A86" s="343" t="s">
        <v>1161</v>
      </c>
      <c r="B86" s="291" t="s">
        <v>1907</v>
      </c>
      <c r="C86" s="5">
        <v>45008</v>
      </c>
      <c r="D86" s="3">
        <v>14890</v>
      </c>
      <c r="E86" s="344" t="s">
        <v>1704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Y86" s="3"/>
      <c r="Z86" s="3"/>
      <c r="AA86" s="3"/>
      <c r="AB86" s="3">
        <v>14890</v>
      </c>
      <c r="AC86" s="3"/>
      <c r="AD86" s="3"/>
      <c r="AF86" s="3"/>
      <c r="AG86" s="3"/>
      <c r="AH86" s="3"/>
      <c r="AI86" s="3"/>
      <c r="AJ86" s="3"/>
      <c r="AK86" s="3">
        <f>SUM($F86:AJ86)</f>
        <v>14890</v>
      </c>
      <c r="AL86" s="6" t="s">
        <v>83</v>
      </c>
      <c r="AN86" s="26" t="s">
        <v>13</v>
      </c>
      <c r="AO86" s="3"/>
    </row>
    <row r="87" spans="1:46" x14ac:dyDescent="0.35">
      <c r="A87" s="343" t="s">
        <v>1755</v>
      </c>
      <c r="B87" s="291" t="s">
        <v>1902</v>
      </c>
      <c r="C87" s="5">
        <v>45009</v>
      </c>
      <c r="D87" s="3">
        <v>224225</v>
      </c>
      <c r="E87" s="344" t="s">
        <v>503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Y87" s="3"/>
      <c r="Z87" s="3"/>
      <c r="AA87" s="3"/>
      <c r="AB87" s="3"/>
      <c r="AC87" s="7">
        <v>224225</v>
      </c>
      <c r="AD87" s="3"/>
      <c r="AF87" s="3"/>
      <c r="AG87" s="3"/>
      <c r="AH87" s="3"/>
      <c r="AI87" s="3"/>
      <c r="AJ87" s="3"/>
      <c r="AK87" s="3">
        <f>SUM($F87:AJ87)</f>
        <v>224225</v>
      </c>
      <c r="AL87" s="6" t="s">
        <v>83</v>
      </c>
      <c r="AN87" s="26"/>
      <c r="AO87" s="3"/>
    </row>
    <row r="88" spans="1:46" x14ac:dyDescent="0.35">
      <c r="A88" s="343" t="s">
        <v>1161</v>
      </c>
      <c r="B88" s="291" t="s">
        <v>1905</v>
      </c>
      <c r="C88" s="5">
        <v>45012</v>
      </c>
      <c r="D88" s="3">
        <v>10790</v>
      </c>
      <c r="E88" s="344" t="s">
        <v>1704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Y88" s="3"/>
      <c r="Z88" s="3"/>
      <c r="AA88" s="3"/>
      <c r="AB88" s="3"/>
      <c r="AC88" s="3"/>
      <c r="AD88" s="3"/>
      <c r="AF88" s="3">
        <v>10790</v>
      </c>
      <c r="AG88" s="3"/>
      <c r="AH88" s="3"/>
      <c r="AI88" s="3"/>
      <c r="AJ88" s="3"/>
      <c r="AK88" s="3">
        <f>SUM($F88:AJ88)</f>
        <v>10790</v>
      </c>
      <c r="AL88" s="6" t="s">
        <v>83</v>
      </c>
      <c r="AN88" s="26"/>
      <c r="AO88" s="3"/>
    </row>
    <row r="89" spans="1:46" x14ac:dyDescent="0.35">
      <c r="A89" s="343" t="s">
        <v>1896</v>
      </c>
      <c r="B89" s="291" t="s">
        <v>1897</v>
      </c>
      <c r="C89" s="5">
        <v>45012</v>
      </c>
      <c r="D89" s="3">
        <v>89990</v>
      </c>
      <c r="E89" s="344" t="s">
        <v>1291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Y89" s="3"/>
      <c r="Z89" s="3"/>
      <c r="AA89" s="3"/>
      <c r="AB89" s="3"/>
      <c r="AC89" s="3"/>
      <c r="AD89" s="3"/>
      <c r="AF89" s="3">
        <v>89990</v>
      </c>
      <c r="AG89" s="3"/>
      <c r="AH89" s="3"/>
      <c r="AI89" s="3"/>
      <c r="AJ89" s="3"/>
      <c r="AK89" s="3">
        <f>SUM($F89:AJ89)</f>
        <v>89990</v>
      </c>
      <c r="AL89" s="6" t="s">
        <v>13</v>
      </c>
      <c r="AM89" s="22" t="s">
        <v>13</v>
      </c>
      <c r="AN89" s="26"/>
      <c r="AO89" s="3"/>
    </row>
    <row r="90" spans="1:46" x14ac:dyDescent="0.35">
      <c r="A90" s="343" t="s">
        <v>1869</v>
      </c>
      <c r="B90" s="291" t="s">
        <v>1906</v>
      </c>
      <c r="C90" s="5">
        <v>45012</v>
      </c>
      <c r="D90" s="3">
        <v>88499</v>
      </c>
      <c r="E90" s="344" t="s">
        <v>503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Y90" s="3"/>
      <c r="Z90" s="3"/>
      <c r="AA90" s="3"/>
      <c r="AB90" s="3"/>
      <c r="AC90" s="3"/>
      <c r="AD90" s="3"/>
      <c r="AF90" s="3">
        <v>88499</v>
      </c>
      <c r="AG90" s="3"/>
      <c r="AH90" s="3"/>
      <c r="AI90" s="3"/>
      <c r="AJ90" s="3"/>
      <c r="AK90" s="3">
        <f>SUM($F90:AJ90)</f>
        <v>88499</v>
      </c>
      <c r="AL90" s="6" t="s">
        <v>81</v>
      </c>
      <c r="AM90" s="22" t="s">
        <v>13</v>
      </c>
      <c r="AN90" s="26"/>
      <c r="AO90" s="3"/>
    </row>
    <row r="91" spans="1:46" x14ac:dyDescent="0.35">
      <c r="A91" s="343" t="s">
        <v>1161</v>
      </c>
      <c r="B91" s="291" t="s">
        <v>782</v>
      </c>
      <c r="C91" s="5">
        <v>45013</v>
      </c>
      <c r="D91" s="3">
        <v>3000</v>
      </c>
      <c r="E91" s="344" t="s">
        <v>1704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Y91" s="3"/>
      <c r="Z91" s="3"/>
      <c r="AA91" s="3"/>
      <c r="AB91" s="3"/>
      <c r="AC91" s="3"/>
      <c r="AD91" s="3"/>
      <c r="AF91" s="3"/>
      <c r="AG91" s="3">
        <v>3000</v>
      </c>
      <c r="AH91" s="3"/>
      <c r="AI91" s="3"/>
      <c r="AJ91" s="3"/>
      <c r="AK91" s="3">
        <f>SUM($F91:AJ91)</f>
        <v>3000</v>
      </c>
      <c r="AL91" s="6" t="s">
        <v>83</v>
      </c>
      <c r="AN91" s="26"/>
      <c r="AO91" s="3"/>
    </row>
    <row r="92" spans="1:46" x14ac:dyDescent="0.35">
      <c r="A92" s="343"/>
      <c r="B92" s="291"/>
      <c r="C92" s="5"/>
      <c r="D92" s="3"/>
      <c r="E92" s="34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Y92" s="3"/>
      <c r="Z92" s="3"/>
      <c r="AA92" s="3"/>
      <c r="AB92" s="3"/>
      <c r="AC92" s="3"/>
      <c r="AD92" s="3"/>
      <c r="AF92" s="3"/>
      <c r="AG92" s="3"/>
      <c r="AH92" s="3"/>
      <c r="AI92" s="3"/>
      <c r="AJ92" s="3"/>
      <c r="AK92" s="3">
        <f>SUM($F92:AJ92)</f>
        <v>0</v>
      </c>
      <c r="AN92" s="26" t="s">
        <v>13</v>
      </c>
      <c r="AO92" s="3"/>
    </row>
    <row r="93" spans="1:46" x14ac:dyDescent="0.35">
      <c r="A93" s="343"/>
      <c r="B93" s="24"/>
      <c r="C93" s="5"/>
      <c r="D93" s="3"/>
      <c r="E93" s="34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Y93" s="3"/>
      <c r="Z93" s="3"/>
      <c r="AA93" s="3"/>
      <c r="AB93" s="3"/>
      <c r="AC93" s="3"/>
      <c r="AD93" s="3"/>
      <c r="AF93" s="3"/>
      <c r="AG93" s="3"/>
      <c r="AH93" s="3"/>
      <c r="AI93" s="3"/>
      <c r="AJ93" s="3"/>
      <c r="AK93" s="3">
        <f>SUM($F93:AJ93)</f>
        <v>0</v>
      </c>
      <c r="AN93" s="26" t="s">
        <v>13</v>
      </c>
      <c r="AO93" s="3"/>
    </row>
    <row r="94" spans="1:46" ht="15" thickBot="1" x14ac:dyDescent="0.4">
      <c r="A94" s="43" t="s">
        <v>1845</v>
      </c>
      <c r="B94" s="76" t="s">
        <v>337</v>
      </c>
      <c r="C94" s="45">
        <v>45015</v>
      </c>
      <c r="D94" s="46">
        <f>+AK59*0.17</f>
        <v>487195.03380000003</v>
      </c>
      <c r="E94" s="47"/>
      <c r="F94" s="3"/>
      <c r="G94" s="3" t="s">
        <v>13</v>
      </c>
      <c r="H94" s="3" t="s">
        <v>13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Y94" s="3"/>
      <c r="Z94" s="3"/>
      <c r="AA94" s="3"/>
      <c r="AB94" s="3"/>
      <c r="AC94" s="3"/>
      <c r="AD94" s="3"/>
      <c r="AF94" s="3"/>
      <c r="AG94" s="3"/>
      <c r="AH94" s="3"/>
      <c r="AI94" s="3"/>
      <c r="AJ94" s="3"/>
      <c r="AK94" s="3">
        <f>SUM($F94:AJ94)</f>
        <v>0</v>
      </c>
      <c r="AL94" s="6" t="s">
        <v>1846</v>
      </c>
      <c r="AM94" s="6" t="s">
        <v>13</v>
      </c>
      <c r="AN94" s="26" t="s">
        <v>13</v>
      </c>
      <c r="AO94" s="3"/>
    </row>
    <row r="95" spans="1:46" x14ac:dyDescent="0.35">
      <c r="A95" s="4" t="s">
        <v>1701</v>
      </c>
      <c r="B95" s="24">
        <f>92.58/8</f>
        <v>11.5725</v>
      </c>
      <c r="C95" s="67">
        <v>44985</v>
      </c>
      <c r="D95" s="3">
        <f>+B95*C96</f>
        <v>411981</v>
      </c>
      <c r="E95" s="15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Y95" s="3"/>
      <c r="Z95" s="3"/>
      <c r="AA95" s="3"/>
      <c r="AB95" s="3"/>
      <c r="AC95" s="3"/>
      <c r="AD95" s="3"/>
      <c r="AE95" s="3"/>
      <c r="AF95" s="3"/>
      <c r="AG95" s="3" t="s">
        <v>13</v>
      </c>
      <c r="AH95" s="3" t="s">
        <v>13</v>
      </c>
      <c r="AI95" s="3"/>
      <c r="AJ95" s="3" t="s">
        <v>13</v>
      </c>
      <c r="AK95" s="3">
        <f>SUM($F95:AJ95)</f>
        <v>0</v>
      </c>
      <c r="AL95" s="22" t="s">
        <v>13</v>
      </c>
      <c r="AO95" s="26" t="s">
        <v>13</v>
      </c>
      <c r="AQ95" s="6" t="s">
        <v>1675</v>
      </c>
      <c r="AR95" s="51" t="s">
        <v>2257</v>
      </c>
      <c r="AT95" s="51" t="s">
        <v>2258</v>
      </c>
    </row>
    <row r="96" spans="1:46" ht="15" thickBot="1" x14ac:dyDescent="0.4">
      <c r="A96" s="4"/>
      <c r="B96" s="67" t="s">
        <v>933</v>
      </c>
      <c r="C96" s="236">
        <v>35600</v>
      </c>
      <c r="D96" s="3"/>
      <c r="E96" s="15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22"/>
      <c r="AP96" s="64" t="e">
        <f>+[2]Hoja1!$L$209+[3]Hoja1!#REF!</f>
        <v>#REF!</v>
      </c>
      <c r="AQ96" s="64" t="e">
        <f>+[3]Hoja1!#REF!</f>
        <v>#REF!</v>
      </c>
      <c r="AR96" s="378" t="e">
        <f>+'Feb-23'!AR108+AQ96</f>
        <v>#REF!</v>
      </c>
      <c r="AT96" s="378" t="e">
        <f>+AR96+'Dic-22'!AR121</f>
        <v>#REF!</v>
      </c>
    </row>
    <row r="97" spans="1:47" x14ac:dyDescent="0.35">
      <c r="A97" s="4"/>
      <c r="B97" s="24"/>
      <c r="C97" s="67"/>
      <c r="D97" s="3"/>
      <c r="E97" s="15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22"/>
      <c r="AO97" s="11" t="s">
        <v>91</v>
      </c>
      <c r="AP97" s="53">
        <f>+D59/1.19</f>
        <v>2073873.2268907565</v>
      </c>
      <c r="AQ97" s="53">
        <f>+(SUMIF(E30:E57,"MD",D30:D57)+SUMIF(E30:E57,"MK",D30:D57))/1.19</f>
        <v>995390.03361344559</v>
      </c>
      <c r="AR97" s="212">
        <f>+'Feb-23'!AR109+AQ97</f>
        <v>4968276.4490756309</v>
      </c>
      <c r="AT97" s="10">
        <f>+AR97+'Dic-22'!AR122</f>
        <v>9150848.4154621847</v>
      </c>
    </row>
    <row r="98" spans="1:47" x14ac:dyDescent="0.35">
      <c r="A98" s="4"/>
      <c r="B98" s="24"/>
      <c r="C98" s="67"/>
      <c r="D98" s="3"/>
      <c r="E98" s="15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22"/>
      <c r="AO98" s="14" t="s">
        <v>1558</v>
      </c>
      <c r="AP98" s="15">
        <f>+SUMIF(AL71:AL94,"CD",D71:D94)/1.19</f>
        <v>276390.75630252104</v>
      </c>
      <c r="AQ98" s="15" t="e">
        <f>+AP98*AQ$96/AP$96</f>
        <v>#REF!</v>
      </c>
      <c r="AR98" s="212" t="e">
        <f>+'Feb-23'!AR110+AQ98</f>
        <v>#REF!</v>
      </c>
      <c r="AT98" s="10" t="e">
        <f>+AR98+'Dic-22'!AR123</f>
        <v>#REF!</v>
      </c>
    </row>
    <row r="99" spans="1:47" x14ac:dyDescent="0.35">
      <c r="A99" s="4"/>
      <c r="B99" s="24"/>
      <c r="C99" s="67"/>
      <c r="D99" s="3"/>
      <c r="E99" s="15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22"/>
      <c r="AO99" s="14" t="s">
        <v>1559</v>
      </c>
      <c r="AP99" s="15">
        <f>+AP97-AP98</f>
        <v>1797482.4705882354</v>
      </c>
      <c r="AQ99" s="15" t="e">
        <f>+AQ97-AQ98</f>
        <v>#REF!</v>
      </c>
      <c r="AR99" s="15" t="e">
        <f>+AR97-AR98</f>
        <v>#REF!</v>
      </c>
      <c r="AT99" s="10" t="e">
        <f>+AT97-AT98</f>
        <v>#REF!</v>
      </c>
    </row>
    <row r="100" spans="1:47" x14ac:dyDescent="0.35">
      <c r="A100" s="4"/>
      <c r="B100" s="67"/>
      <c r="C100" s="236"/>
      <c r="E100" s="15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Y100" s="3"/>
      <c r="AJ100" s="3"/>
      <c r="AK100" s="3"/>
      <c r="AL100" s="22" t="s">
        <v>1388</v>
      </c>
      <c r="AM100" s="6" t="s">
        <v>1430</v>
      </c>
      <c r="AO100" s="14" t="s">
        <v>1560</v>
      </c>
      <c r="AP100" s="327">
        <f>+AP99/AP97</f>
        <v>0.86672726533198052</v>
      </c>
      <c r="AQ100" s="327" t="e">
        <f>+AQ99/AQ97</f>
        <v>#REF!</v>
      </c>
      <c r="AR100" s="327" t="e">
        <f>+AR99/AR97</f>
        <v>#REF!</v>
      </c>
      <c r="AT100" s="377" t="e">
        <f>+AT99/AT97</f>
        <v>#REF!</v>
      </c>
    </row>
    <row r="101" spans="1:47" x14ac:dyDescent="0.35">
      <c r="A101" s="2" t="s">
        <v>9</v>
      </c>
      <c r="D101" s="72">
        <f>SUM(D63:D99)-D64-D65</f>
        <v>3818720.0423146673</v>
      </c>
      <c r="F101" s="3">
        <f t="shared" ref="F101:AJ101" si="3">SUM(F63:F100)</f>
        <v>0</v>
      </c>
      <c r="G101" s="3">
        <f t="shared" si="3"/>
        <v>15458</v>
      </c>
      <c r="H101" s="3">
        <f t="shared" si="3"/>
        <v>4390</v>
      </c>
      <c r="I101" s="3">
        <f t="shared" si="3"/>
        <v>13905</v>
      </c>
      <c r="J101" s="3">
        <f t="shared" si="3"/>
        <v>1224274.141848</v>
      </c>
      <c r="K101" s="3">
        <f t="shared" si="3"/>
        <v>0</v>
      </c>
      <c r="L101" s="3">
        <f t="shared" si="3"/>
        <v>0</v>
      </c>
      <c r="M101" s="3">
        <f t="shared" si="3"/>
        <v>0</v>
      </c>
      <c r="N101" s="3">
        <f t="shared" si="3"/>
        <v>0</v>
      </c>
      <c r="O101" s="3">
        <f t="shared" si="3"/>
        <v>28840</v>
      </c>
      <c r="P101" s="3">
        <f t="shared" si="3"/>
        <v>0</v>
      </c>
      <c r="Q101" s="3">
        <f t="shared" si="3"/>
        <v>0</v>
      </c>
      <c r="R101" s="3">
        <f t="shared" si="3"/>
        <v>0</v>
      </c>
      <c r="S101" s="3">
        <f t="shared" si="3"/>
        <v>4250</v>
      </c>
      <c r="T101" s="3">
        <f t="shared" si="3"/>
        <v>152802</v>
      </c>
      <c r="U101" s="3">
        <f t="shared" si="3"/>
        <v>24490.199999999997</v>
      </c>
      <c r="V101" s="3">
        <f t="shared" si="3"/>
        <v>0</v>
      </c>
      <c r="W101" s="3">
        <f t="shared" si="3"/>
        <v>0</v>
      </c>
      <c r="X101" s="3">
        <f t="shared" si="3"/>
        <v>478838</v>
      </c>
      <c r="Y101" s="3">
        <f t="shared" si="3"/>
        <v>0</v>
      </c>
      <c r="Z101" s="3">
        <f t="shared" si="3"/>
        <v>0</v>
      </c>
      <c r="AA101" s="3">
        <f t="shared" si="3"/>
        <v>0</v>
      </c>
      <c r="AB101" s="3">
        <f t="shared" si="3"/>
        <v>14890</v>
      </c>
      <c r="AC101" s="3">
        <f t="shared" si="3"/>
        <v>224225</v>
      </c>
      <c r="AD101" s="3">
        <f t="shared" si="3"/>
        <v>0</v>
      </c>
      <c r="AE101" s="3">
        <f t="shared" si="3"/>
        <v>0</v>
      </c>
      <c r="AF101" s="3">
        <f t="shared" si="3"/>
        <v>244722</v>
      </c>
      <c r="AG101" s="3">
        <f t="shared" si="3"/>
        <v>3000</v>
      </c>
      <c r="AH101" s="3">
        <f t="shared" si="3"/>
        <v>0</v>
      </c>
      <c r="AI101" s="3">
        <f t="shared" si="3"/>
        <v>0</v>
      </c>
      <c r="AJ101" s="3">
        <f t="shared" si="3"/>
        <v>0</v>
      </c>
      <c r="AK101" s="72">
        <f>SUM(AK63:AK99)-AK64-AK65</f>
        <v>2434084.341848</v>
      </c>
      <c r="AL101" s="324">
        <f>+D101-AK101</f>
        <v>1384635.7004666673</v>
      </c>
      <c r="AM101" s="324">
        <f>+AJ102+AL59-AL101</f>
        <v>1835960.3028839682</v>
      </c>
      <c r="AO101" s="14" t="s">
        <v>81</v>
      </c>
      <c r="AP101" s="15">
        <f>+SUMIF(AL71:AL94,"GAV",D71:D94)/1.19+SUMIF(AL71:AL94,"REM",D71:D94)</f>
        <v>709865.79010252107</v>
      </c>
      <c r="AQ101" s="386" t="e">
        <f>+AP101*AQ$96/AP$96+(600000+300000)*5/10</f>
        <v>#REF!</v>
      </c>
      <c r="AR101" s="212" t="e">
        <f>+'Feb-23'!AR113+AQ101</f>
        <v>#REF!</v>
      </c>
      <c r="AT101" s="10" t="e">
        <f>+AR101+'Dic-22'!AR126</f>
        <v>#REF!</v>
      </c>
    </row>
    <row r="102" spans="1:47" x14ac:dyDescent="0.35">
      <c r="A102" t="s">
        <v>8</v>
      </c>
      <c r="F102" s="3">
        <f t="shared" ref="F102:AJ102" si="4">+F59+F3-F101</f>
        <v>1387624.2051986349</v>
      </c>
      <c r="G102" s="3">
        <f t="shared" si="4"/>
        <v>1372166.2051986349</v>
      </c>
      <c r="H102" s="3">
        <f t="shared" si="4"/>
        <v>1367776.2051986349</v>
      </c>
      <c r="I102" s="3">
        <f t="shared" si="4"/>
        <v>1441060.2051986349</v>
      </c>
      <c r="J102" s="3">
        <f t="shared" si="4"/>
        <v>216786.06335063488</v>
      </c>
      <c r="K102" s="3">
        <f t="shared" si="4"/>
        <v>216786.06335063488</v>
      </c>
      <c r="L102" s="3">
        <f t="shared" si="4"/>
        <v>216786.06335063488</v>
      </c>
      <c r="M102" s="3">
        <f t="shared" si="4"/>
        <v>216786.06335063488</v>
      </c>
      <c r="N102" s="3">
        <f t="shared" si="4"/>
        <v>216786.06335063488</v>
      </c>
      <c r="O102" s="3">
        <f t="shared" si="4"/>
        <v>187946.06335063488</v>
      </c>
      <c r="P102" s="3">
        <f t="shared" si="4"/>
        <v>187946.06335063488</v>
      </c>
      <c r="Q102" s="3">
        <f t="shared" si="4"/>
        <v>187946.06335063488</v>
      </c>
      <c r="R102" s="3">
        <f t="shared" si="4"/>
        <v>187946.06335063488</v>
      </c>
      <c r="S102" s="3">
        <f t="shared" si="4"/>
        <v>807994.06335063488</v>
      </c>
      <c r="T102" s="3">
        <f t="shared" si="4"/>
        <v>655192.06335063488</v>
      </c>
      <c r="U102" s="3">
        <f t="shared" si="4"/>
        <v>630701.86335063493</v>
      </c>
      <c r="V102" s="3">
        <f t="shared" si="4"/>
        <v>1412497.0033506351</v>
      </c>
      <c r="W102" s="3">
        <f t="shared" si="4"/>
        <v>1412497.0033506351</v>
      </c>
      <c r="X102" s="3">
        <f t="shared" si="4"/>
        <v>933659.00335063506</v>
      </c>
      <c r="Y102" s="3">
        <f t="shared" si="4"/>
        <v>933659.00335063506</v>
      </c>
      <c r="Z102" s="3">
        <f t="shared" si="4"/>
        <v>933659.00335063506</v>
      </c>
      <c r="AA102" s="3">
        <f t="shared" si="4"/>
        <v>933659.00335063506</v>
      </c>
      <c r="AB102" s="3">
        <f t="shared" si="4"/>
        <v>918769.00335063506</v>
      </c>
      <c r="AC102" s="3">
        <f t="shared" si="4"/>
        <v>694544.00335063506</v>
      </c>
      <c r="AD102" s="3">
        <f t="shared" si="4"/>
        <v>879462.00335063506</v>
      </c>
      <c r="AE102" s="3">
        <f t="shared" si="4"/>
        <v>879462.00335063506</v>
      </c>
      <c r="AF102" s="3">
        <f t="shared" si="4"/>
        <v>942161.00335063506</v>
      </c>
      <c r="AG102" s="3">
        <f t="shared" si="4"/>
        <v>939161.00335063506</v>
      </c>
      <c r="AH102" s="3">
        <f t="shared" si="4"/>
        <v>939161.00335063506</v>
      </c>
      <c r="AI102" s="3">
        <f t="shared" si="4"/>
        <v>939161.00335063506</v>
      </c>
      <c r="AJ102" s="3">
        <f t="shared" si="4"/>
        <v>939161.00335063506</v>
      </c>
      <c r="AK102" s="3" t="s">
        <v>13</v>
      </c>
      <c r="AO102" s="14" t="s">
        <v>1561</v>
      </c>
      <c r="AP102" s="15">
        <f>+AP99-AP101</f>
        <v>1087616.6804857142</v>
      </c>
      <c r="AQ102" s="375" t="e">
        <f>+AQ99-AQ101</f>
        <v>#REF!</v>
      </c>
      <c r="AR102" s="15" t="e">
        <f>+AR99-AR101</f>
        <v>#REF!</v>
      </c>
      <c r="AT102" s="10" t="e">
        <f>+AT99-AT101</f>
        <v>#REF!</v>
      </c>
      <c r="AU102" s="385" t="e">
        <f>+AQ102/AQ97</f>
        <v>#REF!</v>
      </c>
    </row>
    <row r="103" spans="1:47" x14ac:dyDescent="0.35">
      <c r="AO103" s="14" t="s">
        <v>1563</v>
      </c>
      <c r="AP103" s="15">
        <f>+SUMIF(AL71:AL94,"GF",D71:D94)</f>
        <v>13905</v>
      </c>
      <c r="AQ103" s="15">
        <v>0</v>
      </c>
      <c r="AR103" s="212">
        <f>+'Feb-23'!AR115+AQ103</f>
        <v>0</v>
      </c>
      <c r="AT103" s="10">
        <f>+AR103+'Dic-22'!AR128</f>
        <v>0</v>
      </c>
    </row>
    <row r="104" spans="1:47" x14ac:dyDescent="0.35">
      <c r="AO104" s="14" t="s">
        <v>82</v>
      </c>
      <c r="AP104" s="15">
        <f>+SUMIF(AL67:AL95,"AF",D67:D95)/1.19</f>
        <v>0</v>
      </c>
      <c r="AQ104" s="15" t="e">
        <f>+AP104*AQ$96/AP$96</f>
        <v>#REF!</v>
      </c>
      <c r="AR104" s="212" t="e">
        <f>+'Feb-23'!AR116+AQ104</f>
        <v>#REF!</v>
      </c>
      <c r="AT104" s="10" t="e">
        <f>+AR104+'Dic-22'!AR129</f>
        <v>#REF!</v>
      </c>
    </row>
    <row r="105" spans="1:47" ht="15" thickBot="1" x14ac:dyDescent="0.4">
      <c r="AO105" s="16"/>
      <c r="AP105" s="19">
        <f>+AP102-AP103-AP104</f>
        <v>1073711.6804857142</v>
      </c>
      <c r="AQ105" s="19" t="e">
        <f>+AQ102-AQ103-AQ104</f>
        <v>#REF!</v>
      </c>
      <c r="AR105" s="19" t="e">
        <f>+AR102-AR103-AR104</f>
        <v>#REF!</v>
      </c>
      <c r="AT105" s="10" t="e">
        <f>+AT102-AT103-AT104</f>
        <v>#REF!</v>
      </c>
    </row>
    <row r="106" spans="1:47" x14ac:dyDescent="0.35">
      <c r="AO106" t="s">
        <v>1961</v>
      </c>
      <c r="AP106" s="26">
        <f>+AP105+'Feb-23'!AP118</f>
        <v>4777308.9541874351</v>
      </c>
      <c r="AQ106" s="3" t="e">
        <f>+AQ105+'Feb-23'!AQ118</f>
        <v>#REF!</v>
      </c>
    </row>
    <row r="107" spans="1:47" x14ac:dyDescent="0.35">
      <c r="AO107" t="s">
        <v>1960</v>
      </c>
      <c r="AP107" s="3">
        <f>+AP105+'Feb-23'!AP119</f>
        <v>6373446.856565143</v>
      </c>
      <c r="AQ107" s="3" t="e">
        <f>+AQ105+'Feb-23'!AQ119</f>
        <v>#REF!</v>
      </c>
    </row>
    <row r="112" spans="1:47" x14ac:dyDescent="0.35">
      <c r="F112" s="3"/>
      <c r="G112" s="3"/>
      <c r="H112" s="3"/>
      <c r="I112" s="3" t="s">
        <v>13</v>
      </c>
      <c r="J112" s="3"/>
      <c r="K112" s="3" t="s">
        <v>13</v>
      </c>
      <c r="L112" s="3"/>
      <c r="M112" s="3"/>
      <c r="N112" s="3"/>
      <c r="O112" s="3"/>
      <c r="P112" s="3" t="s">
        <v>13</v>
      </c>
      <c r="Q112" s="3"/>
      <c r="R112" s="3"/>
      <c r="S112" s="3"/>
      <c r="T112" s="3" t="s">
        <v>13</v>
      </c>
      <c r="U112" s="3"/>
      <c r="V112" s="3"/>
      <c r="W112" s="3"/>
      <c r="Y112" s="3" t="s">
        <v>13</v>
      </c>
      <c r="Z112" s="3" t="s">
        <v>13</v>
      </c>
      <c r="AA112" s="3" t="s">
        <v>13</v>
      </c>
      <c r="AB112" s="3" t="s">
        <v>13</v>
      </c>
    </row>
    <row r="113" spans="1:39" x14ac:dyDescent="0.35">
      <c r="F113" s="3" t="s">
        <v>13</v>
      </c>
      <c r="G113" s="3" t="s">
        <v>13</v>
      </c>
      <c r="H113" s="3" t="s">
        <v>13</v>
      </c>
      <c r="I113" s="3"/>
      <c r="J113" s="3"/>
      <c r="K113" s="3"/>
      <c r="L113" s="3"/>
      <c r="M113" s="3"/>
      <c r="N113" s="3"/>
      <c r="O113" s="3"/>
      <c r="P113" s="3" t="s">
        <v>13</v>
      </c>
      <c r="Q113" s="3" t="s">
        <v>13</v>
      </c>
      <c r="R113" s="3" t="s">
        <v>13</v>
      </c>
      <c r="S113" s="3"/>
      <c r="T113" s="3"/>
      <c r="U113" s="3" t="s">
        <v>13</v>
      </c>
      <c r="V113" s="3"/>
      <c r="W113" s="3"/>
      <c r="AB113" s="3" t="s">
        <v>13</v>
      </c>
      <c r="AG113" s="3" t="s">
        <v>13</v>
      </c>
      <c r="AJ113" s="3" t="s">
        <v>13</v>
      </c>
    </row>
    <row r="114" spans="1:39" x14ac:dyDescent="0.35">
      <c r="A114" s="27" t="s">
        <v>13</v>
      </c>
      <c r="B114" t="s">
        <v>1825</v>
      </c>
      <c r="D114" s="236" t="s">
        <v>13</v>
      </c>
      <c r="E114" s="6" t="s">
        <v>13</v>
      </c>
      <c r="F114" s="3"/>
      <c r="G114" s="3" t="s">
        <v>13</v>
      </c>
      <c r="H114" s="3" t="s">
        <v>13</v>
      </c>
      <c r="I114" s="3"/>
      <c r="J114" s="3"/>
      <c r="K114" s="3"/>
      <c r="L114" s="3"/>
      <c r="M114" s="3"/>
      <c r="N114" s="3"/>
      <c r="O114" s="3"/>
      <c r="W114" s="3"/>
      <c r="AB114" s="3" t="s">
        <v>13</v>
      </c>
      <c r="AG114" s="3" t="s">
        <v>13</v>
      </c>
      <c r="AJ114" s="3" t="s">
        <v>13</v>
      </c>
    </row>
    <row r="115" spans="1:39" x14ac:dyDescent="0.35">
      <c r="A115" s="27" t="s">
        <v>1794</v>
      </c>
      <c r="B115" t="s">
        <v>1795</v>
      </c>
      <c r="C115" t="s">
        <v>1796</v>
      </c>
      <c r="F115" s="3"/>
      <c r="G115" s="3" t="s">
        <v>13</v>
      </c>
      <c r="H115" s="3"/>
      <c r="I115" s="3"/>
      <c r="J115" s="3"/>
      <c r="K115" s="3"/>
      <c r="L115" s="3"/>
      <c r="M115" s="3"/>
      <c r="N115" s="3"/>
      <c r="O115" s="3"/>
      <c r="W115" s="3" t="s">
        <v>13</v>
      </c>
      <c r="AB115" s="3" t="s">
        <v>13</v>
      </c>
      <c r="AG115" s="3" t="s">
        <v>13</v>
      </c>
      <c r="AJ115" s="3" t="s">
        <v>13</v>
      </c>
    </row>
    <row r="116" spans="1:39" x14ac:dyDescent="0.35">
      <c r="A116" s="27" t="s">
        <v>1797</v>
      </c>
      <c r="B116" s="24" t="s">
        <v>1798</v>
      </c>
      <c r="C116" t="s">
        <v>1799</v>
      </c>
      <c r="D116" s="236" t="s">
        <v>13</v>
      </c>
      <c r="F116" s="3" t="s">
        <v>13</v>
      </c>
      <c r="G116" s="3" t="s">
        <v>13</v>
      </c>
      <c r="H116" s="3"/>
      <c r="I116" s="3"/>
      <c r="J116" s="3"/>
      <c r="K116" s="3"/>
      <c r="L116" s="3"/>
      <c r="M116" s="3"/>
      <c r="N116" s="3"/>
      <c r="O116" s="3"/>
      <c r="W116" s="3"/>
      <c r="AB116" s="3" t="s">
        <v>13</v>
      </c>
      <c r="AG116" s="3" t="s">
        <v>13</v>
      </c>
      <c r="AJ116" s="3" t="s">
        <v>13</v>
      </c>
    </row>
    <row r="117" spans="1:39" x14ac:dyDescent="0.35">
      <c r="A117" s="27" t="s">
        <v>1805</v>
      </c>
      <c r="B117" s="236" t="s">
        <v>1800</v>
      </c>
      <c r="C117" s="236" t="s">
        <v>13</v>
      </c>
      <c r="D117" s="286" t="s">
        <v>13</v>
      </c>
      <c r="F117" s="3" t="s">
        <v>13</v>
      </c>
      <c r="G117" s="3" t="s">
        <v>13</v>
      </c>
      <c r="H117" s="3"/>
      <c r="I117" s="3"/>
      <c r="J117" s="3"/>
      <c r="K117" s="3"/>
      <c r="L117" s="3"/>
      <c r="M117" s="3"/>
      <c r="N117" s="3"/>
      <c r="O117" s="3"/>
      <c r="W117" s="3"/>
      <c r="AB117" s="3" t="s">
        <v>13</v>
      </c>
      <c r="AG117" s="3" t="s">
        <v>13</v>
      </c>
      <c r="AJ117" s="3" t="s">
        <v>13</v>
      </c>
    </row>
    <row r="118" spans="1:39" x14ac:dyDescent="0.35">
      <c r="A118" s="27" t="s">
        <v>1801</v>
      </c>
      <c r="B118" t="s">
        <v>13</v>
      </c>
      <c r="C118" t="s">
        <v>13</v>
      </c>
      <c r="D118" t="s">
        <v>13</v>
      </c>
      <c r="F118" s="3"/>
      <c r="G118" s="3" t="s">
        <v>13</v>
      </c>
      <c r="H118" s="3"/>
      <c r="I118" s="3"/>
      <c r="J118" s="3"/>
      <c r="K118" s="3"/>
      <c r="L118" s="3"/>
      <c r="M118" s="3"/>
      <c r="AG118" s="3" t="s">
        <v>13</v>
      </c>
      <c r="AJ118" s="3" t="s">
        <v>13</v>
      </c>
    </row>
    <row r="119" spans="1:39" x14ac:dyDescent="0.35">
      <c r="A119" s="27" t="s">
        <v>1802</v>
      </c>
      <c r="B119" t="s">
        <v>1803</v>
      </c>
      <c r="C119" s="236" t="s">
        <v>1804</v>
      </c>
      <c r="D119" t="s">
        <v>13</v>
      </c>
      <c r="F119" s="3"/>
      <c r="G119" s="3" t="s">
        <v>13</v>
      </c>
      <c r="H119" s="3"/>
      <c r="I119" s="3"/>
      <c r="J119" s="3"/>
      <c r="K119" s="3"/>
      <c r="L119" s="3"/>
      <c r="AB119" t="s">
        <v>13</v>
      </c>
      <c r="AG119" s="3" t="s">
        <v>13</v>
      </c>
      <c r="AJ119" s="3" t="s">
        <v>13</v>
      </c>
    </row>
    <row r="120" spans="1:39" x14ac:dyDescent="0.35">
      <c r="A120" s="27" t="s">
        <v>1824</v>
      </c>
      <c r="B120" t="s">
        <v>1826</v>
      </c>
      <c r="C120" t="s">
        <v>13</v>
      </c>
      <c r="F120" s="3"/>
      <c r="G120" s="3" t="s">
        <v>13</v>
      </c>
      <c r="H120" s="3"/>
      <c r="I120" s="3"/>
      <c r="J120" s="3"/>
      <c r="K120" s="3"/>
      <c r="L120" s="3"/>
      <c r="AG120" s="3" t="s">
        <v>13</v>
      </c>
      <c r="AJ120" s="3" t="s">
        <v>13</v>
      </c>
    </row>
    <row r="121" spans="1:39" x14ac:dyDescent="0.35">
      <c r="B121" t="s">
        <v>13</v>
      </c>
      <c r="F121" s="3"/>
      <c r="G121" s="3" t="s">
        <v>13</v>
      </c>
      <c r="H121" s="3"/>
      <c r="I121" s="3"/>
      <c r="J121" s="3"/>
      <c r="K121" s="3"/>
      <c r="L121" s="3"/>
      <c r="AG121" s="3" t="s">
        <v>13</v>
      </c>
      <c r="AJ121" s="3" t="s">
        <v>13</v>
      </c>
      <c r="AL121"/>
      <c r="AM121"/>
    </row>
    <row r="122" spans="1:39" x14ac:dyDescent="0.35">
      <c r="B122" t="s">
        <v>13</v>
      </c>
      <c r="F122" s="3"/>
      <c r="G122" s="3" t="s">
        <v>13</v>
      </c>
      <c r="H122" s="3"/>
      <c r="I122" s="3"/>
      <c r="J122" s="3"/>
      <c r="K122" s="3"/>
      <c r="L122" s="3"/>
      <c r="AG122" s="3" t="s">
        <v>13</v>
      </c>
      <c r="AJ122" s="3" t="s">
        <v>13</v>
      </c>
      <c r="AL122"/>
      <c r="AM122"/>
    </row>
    <row r="123" spans="1:39" x14ac:dyDescent="0.35">
      <c r="B123" t="s">
        <v>13</v>
      </c>
      <c r="F123" s="3"/>
      <c r="G123" s="3" t="s">
        <v>13</v>
      </c>
      <c r="H123" s="3"/>
      <c r="I123" s="3"/>
      <c r="J123" s="3"/>
      <c r="K123" s="3"/>
      <c r="L123" s="3"/>
      <c r="AL123"/>
      <c r="AM123"/>
    </row>
    <row r="124" spans="1:39" x14ac:dyDescent="0.35">
      <c r="B124" t="s">
        <v>13</v>
      </c>
      <c r="F124" s="3"/>
      <c r="G124" s="3" t="s">
        <v>13</v>
      </c>
      <c r="H124" s="3"/>
      <c r="I124" s="3"/>
      <c r="J124" s="3"/>
      <c r="K124" s="3"/>
      <c r="L124" s="3"/>
      <c r="AL124"/>
      <c r="AM124"/>
    </row>
    <row r="125" spans="1:39" x14ac:dyDescent="0.35">
      <c r="B125" t="s">
        <v>13</v>
      </c>
      <c r="AL125"/>
      <c r="AM125"/>
    </row>
    <row r="126" spans="1:39" x14ac:dyDescent="0.35">
      <c r="B126" t="s">
        <v>13</v>
      </c>
      <c r="AL126"/>
      <c r="AM126"/>
    </row>
    <row r="127" spans="1:39" x14ac:dyDescent="0.35">
      <c r="B127" t="s">
        <v>13</v>
      </c>
      <c r="AL127"/>
      <c r="AM127"/>
    </row>
    <row r="128" spans="1:39" x14ac:dyDescent="0.35">
      <c r="B128" t="s">
        <v>13</v>
      </c>
      <c r="AL128"/>
      <c r="AM128"/>
    </row>
    <row r="129" spans="2:39" x14ac:dyDescent="0.35">
      <c r="B129" t="s">
        <v>13</v>
      </c>
      <c r="AL129"/>
      <c r="AM129"/>
    </row>
    <row r="130" spans="2:39" x14ac:dyDescent="0.35">
      <c r="B130" t="s">
        <v>13</v>
      </c>
      <c r="E130"/>
      <c r="AL130"/>
      <c r="AM130"/>
    </row>
    <row r="131" spans="2:39" x14ac:dyDescent="0.35">
      <c r="B131" t="s">
        <v>13</v>
      </c>
      <c r="E131"/>
      <c r="AL131"/>
      <c r="AM131"/>
    </row>
    <row r="132" spans="2:39" x14ac:dyDescent="0.35">
      <c r="B132" t="s">
        <v>13</v>
      </c>
      <c r="E132"/>
      <c r="AL132"/>
      <c r="AM132"/>
    </row>
    <row r="133" spans="2:39" x14ac:dyDescent="0.35">
      <c r="B133" t="s">
        <v>13</v>
      </c>
      <c r="E133"/>
      <c r="AL133"/>
      <c r="AM133"/>
    </row>
    <row r="134" spans="2:39" x14ac:dyDescent="0.35">
      <c r="B134" t="s">
        <v>13</v>
      </c>
      <c r="E134"/>
      <c r="AL134"/>
      <c r="AM134"/>
    </row>
    <row r="135" spans="2:39" x14ac:dyDescent="0.35">
      <c r="B135" t="s">
        <v>13</v>
      </c>
      <c r="E135"/>
      <c r="AL135"/>
      <c r="AM135"/>
    </row>
    <row r="136" spans="2:39" x14ac:dyDescent="0.35">
      <c r="B136" t="s">
        <v>13</v>
      </c>
      <c r="E136"/>
      <c r="AL136"/>
      <c r="AM136"/>
    </row>
    <row r="137" spans="2:39" x14ac:dyDescent="0.35">
      <c r="B137" t="s">
        <v>13</v>
      </c>
      <c r="E137"/>
      <c r="AL137"/>
      <c r="AM137"/>
    </row>
    <row r="138" spans="2:39" x14ac:dyDescent="0.35">
      <c r="B138" t="s">
        <v>13</v>
      </c>
      <c r="E138"/>
      <c r="AL138"/>
      <c r="AM138"/>
    </row>
    <row r="139" spans="2:39" x14ac:dyDescent="0.35">
      <c r="B139" t="s">
        <v>13</v>
      </c>
      <c r="E139"/>
      <c r="AL139"/>
      <c r="AM139"/>
    </row>
    <row r="140" spans="2:39" x14ac:dyDescent="0.35">
      <c r="B140" t="s">
        <v>13</v>
      </c>
      <c r="E140"/>
      <c r="AL140"/>
      <c r="AM140"/>
    </row>
    <row r="141" spans="2:39" x14ac:dyDescent="0.35">
      <c r="B141" t="s">
        <v>13</v>
      </c>
      <c r="E141"/>
      <c r="AL141"/>
      <c r="AM141"/>
    </row>
    <row r="142" spans="2:39" x14ac:dyDescent="0.35">
      <c r="B142" t="s">
        <v>13</v>
      </c>
      <c r="E142"/>
      <c r="AL142"/>
      <c r="AM142"/>
    </row>
    <row r="143" spans="2:39" x14ac:dyDescent="0.35">
      <c r="B143" t="s">
        <v>13</v>
      </c>
      <c r="E143"/>
      <c r="AL143"/>
      <c r="AM143"/>
    </row>
    <row r="144" spans="2:39" x14ac:dyDescent="0.35">
      <c r="B144" t="s">
        <v>13</v>
      </c>
      <c r="E144"/>
      <c r="AL144"/>
      <c r="AM144"/>
    </row>
    <row r="145" spans="2:39" x14ac:dyDescent="0.35">
      <c r="B145" t="s">
        <v>13</v>
      </c>
      <c r="E145"/>
      <c r="AL145"/>
      <c r="AM145"/>
    </row>
    <row r="146" spans="2:39" x14ac:dyDescent="0.35">
      <c r="B146" t="s">
        <v>13</v>
      </c>
      <c r="E146"/>
      <c r="AL146"/>
      <c r="AM146"/>
    </row>
    <row r="147" spans="2:39" x14ac:dyDescent="0.35">
      <c r="B147" t="s">
        <v>13</v>
      </c>
      <c r="E147"/>
      <c r="AL147"/>
      <c r="AM147"/>
    </row>
    <row r="148" spans="2:39" x14ac:dyDescent="0.35">
      <c r="B148" t="s">
        <v>13</v>
      </c>
      <c r="E148"/>
      <c r="AL148"/>
      <c r="AM148"/>
    </row>
    <row r="149" spans="2:39" x14ac:dyDescent="0.35">
      <c r="B149" t="s">
        <v>13</v>
      </c>
      <c r="E149"/>
      <c r="AL149"/>
      <c r="AM149"/>
    </row>
    <row r="150" spans="2:39" x14ac:dyDescent="0.35">
      <c r="B150" t="s">
        <v>13</v>
      </c>
      <c r="E150"/>
      <c r="AL150"/>
      <c r="AM150"/>
    </row>
    <row r="151" spans="2:39" x14ac:dyDescent="0.35">
      <c r="B151" t="s">
        <v>13</v>
      </c>
      <c r="E151"/>
      <c r="AL151"/>
      <c r="AM151"/>
    </row>
    <row r="152" spans="2:39" x14ac:dyDescent="0.35">
      <c r="B152" t="s">
        <v>13</v>
      </c>
      <c r="E152"/>
      <c r="AL152"/>
      <c r="AM152"/>
    </row>
    <row r="153" spans="2:39" x14ac:dyDescent="0.35">
      <c r="B153" t="s">
        <v>13</v>
      </c>
      <c r="E153"/>
      <c r="AL153"/>
      <c r="AM153"/>
    </row>
    <row r="154" spans="2:39" x14ac:dyDescent="0.35">
      <c r="B154" t="s">
        <v>13</v>
      </c>
      <c r="E154"/>
      <c r="AL154"/>
      <c r="AM154"/>
    </row>
    <row r="155" spans="2:39" x14ac:dyDescent="0.35">
      <c r="B155" t="s">
        <v>13</v>
      </c>
      <c r="E155"/>
      <c r="AL155"/>
      <c r="AM155"/>
    </row>
    <row r="156" spans="2:39" x14ac:dyDescent="0.35">
      <c r="B156" t="s">
        <v>13</v>
      </c>
      <c r="E156"/>
      <c r="AL156"/>
      <c r="AM156"/>
    </row>
    <row r="157" spans="2:39" x14ac:dyDescent="0.35">
      <c r="B157" t="s">
        <v>13</v>
      </c>
      <c r="E157"/>
      <c r="AL157"/>
      <c r="AM157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U153"/>
  <sheetViews>
    <sheetView topLeftCell="A50" workbookViewId="0">
      <selection activeCell="A64" sqref="A64"/>
    </sheetView>
  </sheetViews>
  <sheetFormatPr baseColWidth="10" defaultColWidth="11.08984375" defaultRowHeight="14.5" x14ac:dyDescent="0.35"/>
  <cols>
    <col min="1" max="1" width="47.81640625" bestFit="1" customWidth="1"/>
    <col min="2" max="3" width="13.269531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  <col min="43" max="43" width="13.08984375" customWidth="1"/>
    <col min="44" max="44" width="13.906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45017</v>
      </c>
      <c r="G2" s="1">
        <v>45018</v>
      </c>
      <c r="H2" s="1">
        <v>45019</v>
      </c>
      <c r="I2" s="1">
        <v>45020</v>
      </c>
      <c r="J2" s="1">
        <v>45021</v>
      </c>
      <c r="K2" s="1">
        <v>45022</v>
      </c>
      <c r="L2" s="1">
        <v>45023</v>
      </c>
      <c r="M2" s="1">
        <v>45024</v>
      </c>
      <c r="N2" s="1">
        <v>45025</v>
      </c>
      <c r="O2" s="1">
        <v>45026</v>
      </c>
      <c r="P2" s="1">
        <v>45027</v>
      </c>
      <c r="Q2" s="1">
        <v>45028</v>
      </c>
      <c r="R2" s="1">
        <v>45029</v>
      </c>
      <c r="S2" s="1">
        <v>45030</v>
      </c>
      <c r="T2" s="1">
        <v>45031</v>
      </c>
      <c r="U2" s="1">
        <v>45032</v>
      </c>
      <c r="V2" s="1">
        <v>45033</v>
      </c>
      <c r="W2" s="1">
        <v>45034</v>
      </c>
      <c r="X2" s="1">
        <v>45035</v>
      </c>
      <c r="Y2" s="1">
        <v>45036</v>
      </c>
      <c r="Z2" s="1">
        <v>45037</v>
      </c>
      <c r="AA2" s="1">
        <v>45038</v>
      </c>
      <c r="AB2" s="1">
        <v>45039</v>
      </c>
      <c r="AC2" s="1">
        <v>45040</v>
      </c>
      <c r="AD2" s="1">
        <v>45041</v>
      </c>
      <c r="AE2" s="1">
        <v>45042</v>
      </c>
      <c r="AF2" s="1">
        <v>45043</v>
      </c>
      <c r="AG2" s="1">
        <v>45044</v>
      </c>
      <c r="AH2" s="1">
        <v>45045</v>
      </c>
      <c r="AI2" s="1">
        <v>45046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+'Mar-23'!AJ102</f>
        <v>939161.00335063506</v>
      </c>
      <c r="G3" s="3">
        <f t="shared" ref="G3:AJ3" si="0">+F99</f>
        <v>441175.96955063503</v>
      </c>
      <c r="H3" s="3">
        <f t="shared" si="0"/>
        <v>441175.96955063503</v>
      </c>
      <c r="I3" s="3">
        <f t="shared" si="0"/>
        <v>23915.940350634977</v>
      </c>
      <c r="J3" s="3">
        <f t="shared" si="0"/>
        <v>23915.940350634977</v>
      </c>
      <c r="K3" s="3">
        <f t="shared" si="0"/>
        <v>10010.940350634977</v>
      </c>
      <c r="L3" s="3">
        <f t="shared" si="0"/>
        <v>3180.9403506349772</v>
      </c>
      <c r="M3" s="3">
        <f t="shared" si="0"/>
        <v>3180.9403506349772</v>
      </c>
      <c r="N3" s="3">
        <f t="shared" si="0"/>
        <v>3180.9403506349772</v>
      </c>
      <c r="O3" s="3">
        <f t="shared" si="0"/>
        <v>3180.9403506349772</v>
      </c>
      <c r="P3" s="3">
        <f t="shared" si="0"/>
        <v>472961.94035063498</v>
      </c>
      <c r="Q3" s="3">
        <f t="shared" si="0"/>
        <v>318261.94035063498</v>
      </c>
      <c r="R3" s="3">
        <f t="shared" si="0"/>
        <v>585406.94035063498</v>
      </c>
      <c r="S3" s="3">
        <f t="shared" si="0"/>
        <v>581626.94035063498</v>
      </c>
      <c r="T3" s="3">
        <f t="shared" si="0"/>
        <v>473126.94035063498</v>
      </c>
      <c r="U3" s="3">
        <f t="shared" si="0"/>
        <v>473126.94035063498</v>
      </c>
      <c r="V3" s="3">
        <f t="shared" si="0"/>
        <v>473126.94035063498</v>
      </c>
      <c r="W3" s="3">
        <f t="shared" si="0"/>
        <v>496152.27368396829</v>
      </c>
      <c r="X3" s="3">
        <f t="shared" si="0"/>
        <v>1343603.2736839682</v>
      </c>
      <c r="Y3" s="3">
        <f t="shared" si="0"/>
        <v>903012.27368396823</v>
      </c>
      <c r="Z3" s="3">
        <f t="shared" si="0"/>
        <v>797304.27368396823</v>
      </c>
      <c r="AA3" s="3">
        <f t="shared" si="0"/>
        <v>797304.27368396823</v>
      </c>
      <c r="AB3" s="3">
        <f t="shared" si="0"/>
        <v>797304.27368396823</v>
      </c>
      <c r="AC3" s="3">
        <f t="shared" si="0"/>
        <v>797304.27368396823</v>
      </c>
      <c r="AD3" s="3">
        <f t="shared" si="0"/>
        <v>4341369.273683968</v>
      </c>
      <c r="AE3" s="3">
        <f t="shared" si="0"/>
        <v>4341369.273683968</v>
      </c>
      <c r="AF3" s="3">
        <f t="shared" si="0"/>
        <v>2389049.273683968</v>
      </c>
      <c r="AG3" s="3">
        <f t="shared" si="0"/>
        <v>2389049.273683968</v>
      </c>
      <c r="AH3" s="3">
        <f t="shared" si="0"/>
        <v>2350889.273683968</v>
      </c>
      <c r="AI3" s="3">
        <f t="shared" si="0"/>
        <v>2350889.273683968</v>
      </c>
      <c r="AJ3" s="3">
        <f t="shared" si="0"/>
        <v>2350889.273683968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/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1767</v>
      </c>
      <c r="B6" s="66" t="s">
        <v>1769</v>
      </c>
      <c r="C6" s="38">
        <v>44968</v>
      </c>
      <c r="D6" s="362">
        <v>87189</v>
      </c>
      <c r="E6" s="40" t="s">
        <v>782</v>
      </c>
      <c r="F6" s="3"/>
      <c r="G6" s="3"/>
      <c r="H6" s="3"/>
      <c r="I6" s="3"/>
      <c r="J6" s="3"/>
      <c r="K6" s="3"/>
      <c r="L6" s="3"/>
      <c r="M6" s="3"/>
      <c r="N6" s="3"/>
      <c r="O6" s="3">
        <f>-624298+573510+87189</f>
        <v>36401</v>
      </c>
      <c r="P6" s="3"/>
      <c r="Q6" s="3"/>
      <c r="S6" t="s">
        <v>13</v>
      </c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36401</v>
      </c>
      <c r="AL6" s="22"/>
    </row>
    <row r="7" spans="1:39" x14ac:dyDescent="0.35">
      <c r="A7" s="41" t="s">
        <v>1768</v>
      </c>
      <c r="B7" t="s">
        <v>780</v>
      </c>
      <c r="C7" s="5">
        <v>44968</v>
      </c>
      <c r="D7" s="3">
        <v>87189</v>
      </c>
      <c r="E7" s="42" t="s">
        <v>782</v>
      </c>
      <c r="F7" s="3"/>
      <c r="G7" s="3"/>
      <c r="H7" s="3"/>
      <c r="I7" s="3"/>
      <c r="J7" s="3"/>
      <c r="K7" s="3"/>
      <c r="L7" s="3"/>
      <c r="M7" s="3"/>
      <c r="N7" s="3"/>
      <c r="O7" s="3">
        <v>87189</v>
      </c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J7" t="s">
        <v>13</v>
      </c>
      <c r="AK7" s="3">
        <f>SUM($F7:AJ7)</f>
        <v>87189</v>
      </c>
      <c r="AL7" s="22"/>
    </row>
    <row r="8" spans="1:39" x14ac:dyDescent="0.35">
      <c r="A8" s="41" t="s">
        <v>1773</v>
      </c>
      <c r="B8" t="s">
        <v>1774</v>
      </c>
      <c r="C8" s="5">
        <v>44970</v>
      </c>
      <c r="D8" s="3">
        <v>87189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/>
      <c r="O8" s="3">
        <v>87189</v>
      </c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87189</v>
      </c>
      <c r="AL8" s="22"/>
    </row>
    <row r="9" spans="1:39" x14ac:dyDescent="0.35">
      <c r="A9" s="41" t="s">
        <v>1775</v>
      </c>
      <c r="B9" t="s">
        <v>1776</v>
      </c>
      <c r="C9" s="5">
        <v>44970</v>
      </c>
      <c r="D9" s="3">
        <v>45855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>
        <v>45855</v>
      </c>
      <c r="P9" s="3"/>
      <c r="Q9" s="3"/>
      <c r="R9" s="3"/>
      <c r="S9" s="3"/>
      <c r="T9" s="3" t="s">
        <v>13</v>
      </c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45855</v>
      </c>
      <c r="AL9" s="22"/>
    </row>
    <row r="10" spans="1:39" x14ac:dyDescent="0.35">
      <c r="A10" s="41" t="s">
        <v>1785</v>
      </c>
      <c r="B10" t="s">
        <v>1784</v>
      </c>
      <c r="C10" s="5">
        <v>44971</v>
      </c>
      <c r="D10" s="3">
        <v>87189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>
        <v>87189</v>
      </c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87189</v>
      </c>
      <c r="AL10" s="22"/>
    </row>
    <row r="11" spans="1:39" x14ac:dyDescent="0.35">
      <c r="A11" s="41" t="s">
        <v>1789</v>
      </c>
      <c r="B11" t="s">
        <v>1788</v>
      </c>
      <c r="C11" s="5">
        <v>44975</v>
      </c>
      <c r="D11" s="3">
        <v>128522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>
        <v>128522</v>
      </c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128522</v>
      </c>
      <c r="AL11" s="22"/>
    </row>
    <row r="12" spans="1:39" x14ac:dyDescent="0.35">
      <c r="A12" s="41" t="s">
        <v>1811</v>
      </c>
      <c r="B12" t="s">
        <v>1813</v>
      </c>
      <c r="C12" s="5">
        <v>44981</v>
      </c>
      <c r="D12" s="71">
        <v>87189</v>
      </c>
      <c r="E12" s="42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>
        <v>27655</v>
      </c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>
        <v>59534</v>
      </c>
      <c r="AD12" s="3"/>
      <c r="AE12" s="3"/>
      <c r="AF12" s="3"/>
      <c r="AG12" s="3"/>
      <c r="AH12" s="3"/>
      <c r="AI12" s="3"/>
      <c r="AK12" s="3">
        <f>SUM($F12:AJ12)</f>
        <v>87189</v>
      </c>
      <c r="AL12" s="22"/>
    </row>
    <row r="13" spans="1:39" x14ac:dyDescent="0.35">
      <c r="A13" s="41" t="s">
        <v>1812</v>
      </c>
      <c r="B13" t="s">
        <v>1814</v>
      </c>
      <c r="C13" s="5">
        <v>44981</v>
      </c>
      <c r="D13" s="3">
        <v>45855</v>
      </c>
      <c r="E13" s="42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>
        <v>45855</v>
      </c>
      <c r="AD13" s="3"/>
      <c r="AE13" s="3"/>
      <c r="AF13" s="3"/>
      <c r="AG13" s="3"/>
      <c r="AH13" s="3"/>
      <c r="AI13" s="3"/>
      <c r="AK13" s="3">
        <f>SUM($F13:AJ13)</f>
        <v>45855</v>
      </c>
      <c r="AL13" s="22"/>
    </row>
    <row r="14" spans="1:39" ht="15" thickBot="1" x14ac:dyDescent="0.4">
      <c r="A14" s="41" t="s">
        <v>1817</v>
      </c>
      <c r="B14" t="s">
        <v>1818</v>
      </c>
      <c r="C14" s="5">
        <v>44982</v>
      </c>
      <c r="D14" s="3">
        <v>87189</v>
      </c>
      <c r="E14" s="42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>
        <v>87189</v>
      </c>
      <c r="AD14" s="3"/>
      <c r="AE14" s="3"/>
      <c r="AF14" s="3"/>
      <c r="AG14" s="3"/>
      <c r="AH14" s="3"/>
      <c r="AI14" s="3"/>
      <c r="AK14" s="3">
        <f>SUM($F14:AJ14)</f>
        <v>87189</v>
      </c>
      <c r="AL14" s="22"/>
    </row>
    <row r="15" spans="1:39" x14ac:dyDescent="0.35">
      <c r="A15" s="36" t="s">
        <v>1831</v>
      </c>
      <c r="B15" s="66" t="s">
        <v>1832</v>
      </c>
      <c r="C15" s="38">
        <v>44988</v>
      </c>
      <c r="D15" s="39">
        <v>87189</v>
      </c>
      <c r="E15" s="40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>
        <v>87189</v>
      </c>
      <c r="AD15" s="3"/>
      <c r="AE15" s="3"/>
      <c r="AF15" s="3"/>
      <c r="AG15" s="3"/>
      <c r="AH15" s="3"/>
      <c r="AI15" s="3"/>
      <c r="AK15" s="3">
        <f>SUM($F15:AJ15)</f>
        <v>87189</v>
      </c>
      <c r="AL15" s="22"/>
    </row>
    <row r="16" spans="1:39" x14ac:dyDescent="0.35">
      <c r="A16" s="41" t="s">
        <v>1833</v>
      </c>
      <c r="B16" t="s">
        <v>1834</v>
      </c>
      <c r="C16" s="5">
        <v>44988</v>
      </c>
      <c r="D16" s="3">
        <v>87189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>
        <v>87189</v>
      </c>
      <c r="AD16" s="3"/>
      <c r="AE16" s="3"/>
      <c r="AF16" s="3"/>
      <c r="AG16" s="3"/>
      <c r="AH16" s="3"/>
      <c r="AI16" s="3"/>
      <c r="AK16" s="3">
        <f>SUM($F16:AJ16)</f>
        <v>87189</v>
      </c>
      <c r="AL16" s="22"/>
    </row>
    <row r="17" spans="1:38" x14ac:dyDescent="0.35">
      <c r="A17" s="41" t="s">
        <v>1835</v>
      </c>
      <c r="B17" t="s">
        <v>1836</v>
      </c>
      <c r="C17" s="5">
        <v>44989</v>
      </c>
      <c r="D17" s="3">
        <v>87189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>
        <v>87189</v>
      </c>
      <c r="AD17" s="3"/>
      <c r="AE17" s="3"/>
      <c r="AF17" s="3"/>
      <c r="AG17" s="3"/>
      <c r="AH17" s="3"/>
      <c r="AI17" s="3"/>
      <c r="AK17" s="3">
        <f>SUM($F17:AJ17)</f>
        <v>87189</v>
      </c>
      <c r="AL17" s="22"/>
    </row>
    <row r="18" spans="1:38" x14ac:dyDescent="0.35">
      <c r="A18" s="41" t="s">
        <v>1837</v>
      </c>
      <c r="B18" t="s">
        <v>1838</v>
      </c>
      <c r="C18" s="5">
        <v>44989</v>
      </c>
      <c r="D18" s="3">
        <v>45855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>
        <v>45855</v>
      </c>
      <c r="AD18" s="3"/>
      <c r="AE18" s="3"/>
      <c r="AF18" s="3"/>
      <c r="AG18" s="3"/>
      <c r="AH18" s="3"/>
      <c r="AI18" s="3"/>
      <c r="AK18" s="3">
        <f>SUM($F18:AJ18)</f>
        <v>45855</v>
      </c>
      <c r="AL18" s="22"/>
    </row>
    <row r="19" spans="1:38" x14ac:dyDescent="0.35">
      <c r="A19" s="41" t="s">
        <v>1859</v>
      </c>
      <c r="B19" t="s">
        <v>1860</v>
      </c>
      <c r="C19" s="5">
        <v>44995</v>
      </c>
      <c r="D19" s="3">
        <v>177855</v>
      </c>
      <c r="E19" s="42" t="s">
        <v>1441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177855</v>
      </c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177855</v>
      </c>
      <c r="AL19" s="22"/>
    </row>
    <row r="20" spans="1:38" x14ac:dyDescent="0.35">
      <c r="A20" s="41" t="s">
        <v>1861</v>
      </c>
      <c r="B20" t="s">
        <v>1864</v>
      </c>
      <c r="C20" s="5">
        <v>44995</v>
      </c>
      <c r="D20" s="3">
        <v>169461</v>
      </c>
      <c r="E20" s="42" t="s">
        <v>1441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169461</v>
      </c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169461</v>
      </c>
      <c r="AL20" s="22"/>
    </row>
    <row r="21" spans="1:38" x14ac:dyDescent="0.35">
      <c r="A21" s="41" t="s">
        <v>1874</v>
      </c>
      <c r="B21" t="s">
        <v>1876</v>
      </c>
      <c r="C21" s="5">
        <v>45000</v>
      </c>
      <c r="D21" s="3">
        <v>87189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>
        <v>87189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87189</v>
      </c>
      <c r="AL21" s="22"/>
    </row>
    <row r="22" spans="1:38" x14ac:dyDescent="0.35">
      <c r="A22" s="41" t="s">
        <v>1875</v>
      </c>
      <c r="B22" t="s">
        <v>1877</v>
      </c>
      <c r="C22" s="5">
        <v>45000</v>
      </c>
      <c r="D22" s="3">
        <v>87189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>
        <v>87189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87189</v>
      </c>
      <c r="AL22" s="22"/>
    </row>
    <row r="23" spans="1:38" x14ac:dyDescent="0.35">
      <c r="A23" s="41" t="s">
        <v>1880</v>
      </c>
      <c r="B23" t="s">
        <v>1881</v>
      </c>
      <c r="C23" s="5">
        <v>45002</v>
      </c>
      <c r="D23" s="3">
        <v>91189</v>
      </c>
      <c r="E23" s="42" t="s">
        <v>1441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>
        <v>91189</v>
      </c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91189</v>
      </c>
      <c r="AL23" s="22"/>
    </row>
    <row r="24" spans="1:38" x14ac:dyDescent="0.35">
      <c r="A24" s="41" t="s">
        <v>1882</v>
      </c>
      <c r="B24" t="s">
        <v>1883</v>
      </c>
      <c r="C24" s="5">
        <v>45002</v>
      </c>
      <c r="D24" s="3">
        <v>45855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45855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45855</v>
      </c>
      <c r="AL24" s="22"/>
    </row>
    <row r="25" spans="1:38" x14ac:dyDescent="0.35">
      <c r="A25" s="41" t="s">
        <v>1884</v>
      </c>
      <c r="B25" t="s">
        <v>1885</v>
      </c>
      <c r="C25" s="5">
        <v>45002</v>
      </c>
      <c r="D25" s="3">
        <v>45855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>
        <v>45855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45855</v>
      </c>
      <c r="AL25" s="22"/>
    </row>
    <row r="26" spans="1:38" x14ac:dyDescent="0.35">
      <c r="A26" s="41" t="s">
        <v>1888</v>
      </c>
      <c r="B26" t="s">
        <v>1889</v>
      </c>
      <c r="C26" s="5">
        <v>45006</v>
      </c>
      <c r="D26" s="3">
        <v>87189</v>
      </c>
      <c r="E26" s="42" t="s">
        <v>1345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87189</v>
      </c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87189</v>
      </c>
      <c r="AL26" s="22"/>
    </row>
    <row r="27" spans="1:38" x14ac:dyDescent="0.35">
      <c r="A27" s="41" t="s">
        <v>1890</v>
      </c>
      <c r="B27" t="s">
        <v>1891</v>
      </c>
      <c r="C27" s="5">
        <v>45008</v>
      </c>
      <c r="D27" s="3">
        <v>128522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>
        <v>128522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128522</v>
      </c>
      <c r="AL27" s="22"/>
    </row>
    <row r="28" spans="1:38" x14ac:dyDescent="0.35">
      <c r="A28" s="41" t="s">
        <v>1892</v>
      </c>
      <c r="B28" t="s">
        <v>1894</v>
      </c>
      <c r="C28" s="5">
        <v>45009</v>
      </c>
      <c r="D28" s="3">
        <v>45855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>
        <v>45855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45855</v>
      </c>
      <c r="AL28" s="22"/>
    </row>
    <row r="29" spans="1:38" x14ac:dyDescent="0.35">
      <c r="A29" s="41" t="s">
        <v>1893</v>
      </c>
      <c r="B29" t="s">
        <v>1895</v>
      </c>
      <c r="C29" s="5">
        <v>45009</v>
      </c>
      <c r="D29" s="3">
        <v>53709</v>
      </c>
      <c r="E29" s="42" t="s">
        <v>782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>
        <v>53709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53709</v>
      </c>
      <c r="AL29" s="22"/>
    </row>
    <row r="30" spans="1:38" x14ac:dyDescent="0.35">
      <c r="A30" s="41" t="s">
        <v>1898</v>
      </c>
      <c r="B30" t="s">
        <v>1900</v>
      </c>
      <c r="C30" s="5">
        <v>45012</v>
      </c>
      <c r="D30" s="3">
        <v>87189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>
        <v>87189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>
        <f>SUM($F30:AJ30)</f>
        <v>87189</v>
      </c>
      <c r="AL30" s="22"/>
    </row>
    <row r="31" spans="1:38" x14ac:dyDescent="0.35">
      <c r="A31" s="41" t="s">
        <v>1899</v>
      </c>
      <c r="B31" t="s">
        <v>1901</v>
      </c>
      <c r="C31" s="5">
        <v>45012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>
        <v>87189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">
        <f>SUM($F31:AJ31)</f>
        <v>87189</v>
      </c>
      <c r="AL31" s="22"/>
    </row>
    <row r="32" spans="1:38" ht="15" thickBot="1" x14ac:dyDescent="0.4">
      <c r="A32" s="41" t="s">
        <v>1908</v>
      </c>
      <c r="B32" t="s">
        <v>1909</v>
      </c>
      <c r="C32" s="5">
        <v>45013</v>
      </c>
      <c r="D32" s="3">
        <v>87189</v>
      </c>
      <c r="E32" s="42" t="s">
        <v>1345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0</v>
      </c>
      <c r="AL32" s="22"/>
    </row>
    <row r="33" spans="1:39" x14ac:dyDescent="0.35">
      <c r="A33" s="36" t="s">
        <v>1913</v>
      </c>
      <c r="B33" s="66" t="s">
        <v>1910</v>
      </c>
      <c r="C33" s="38">
        <v>45017</v>
      </c>
      <c r="D33" s="39">
        <v>45855</v>
      </c>
      <c r="E33" s="40" t="s">
        <v>782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>
        <v>45855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>
        <f>SUM($F33:AJ33)</f>
        <v>45855</v>
      </c>
      <c r="AL33" s="22"/>
    </row>
    <row r="34" spans="1:39" x14ac:dyDescent="0.35">
      <c r="A34" s="41" t="s">
        <v>1914</v>
      </c>
      <c r="B34" t="s">
        <v>1911</v>
      </c>
      <c r="C34" s="5">
        <v>45017</v>
      </c>
      <c r="D34" s="3">
        <v>45855</v>
      </c>
      <c r="E34" s="42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>
        <v>45855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>
        <f>SUM($F34:AJ34)</f>
        <v>45855</v>
      </c>
      <c r="AL34" s="22"/>
    </row>
    <row r="35" spans="1:39" x14ac:dyDescent="0.35">
      <c r="A35" s="41" t="s">
        <v>1915</v>
      </c>
      <c r="B35" t="s">
        <v>1912</v>
      </c>
      <c r="C35" s="5">
        <v>45017</v>
      </c>
      <c r="D35" s="3">
        <v>87189</v>
      </c>
      <c r="E35" s="42" t="s">
        <v>782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>
        <v>87189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">
        <f>SUM($F35:AJ35)</f>
        <v>87189</v>
      </c>
      <c r="AL35" s="22"/>
    </row>
    <row r="36" spans="1:39" x14ac:dyDescent="0.35">
      <c r="A36" s="41" t="s">
        <v>1916</v>
      </c>
      <c r="B36" t="s">
        <v>1917</v>
      </c>
      <c r="C36" s="5">
        <v>45023</v>
      </c>
      <c r="D36" s="3">
        <v>45855</v>
      </c>
      <c r="E36" s="42" t="s">
        <v>1441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>
        <v>45855</v>
      </c>
      <c r="AD36" s="3"/>
      <c r="AE36" s="3"/>
      <c r="AF36" s="3"/>
      <c r="AG36" s="3"/>
      <c r="AH36" s="3"/>
      <c r="AI36" s="3"/>
      <c r="AK36" s="3">
        <f>SUM($F36:AJ36)</f>
        <v>45855</v>
      </c>
      <c r="AL36" s="22"/>
    </row>
    <row r="37" spans="1:39" x14ac:dyDescent="0.35">
      <c r="A37" s="41" t="s">
        <v>1918</v>
      </c>
      <c r="B37" t="s">
        <v>1919</v>
      </c>
      <c r="C37" s="5">
        <v>45024</v>
      </c>
      <c r="D37" s="3">
        <v>45855</v>
      </c>
      <c r="E37" s="42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</row>
    <row r="38" spans="1:39" x14ac:dyDescent="0.35">
      <c r="A38" s="41" t="s">
        <v>1927</v>
      </c>
      <c r="B38" t="s">
        <v>1929</v>
      </c>
      <c r="C38" s="5">
        <v>45029</v>
      </c>
      <c r="D38" s="3">
        <v>108490</v>
      </c>
      <c r="E38" s="42" t="s">
        <v>782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0</v>
      </c>
      <c r="AL38" s="22"/>
    </row>
    <row r="39" spans="1:39" x14ac:dyDescent="0.35">
      <c r="A39" s="41" t="s">
        <v>1928</v>
      </c>
      <c r="B39" t="s">
        <v>1930</v>
      </c>
      <c r="C39" s="5">
        <v>45029</v>
      </c>
      <c r="D39" s="3">
        <v>87189</v>
      </c>
      <c r="E39" s="42" t="s">
        <v>782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  <c r="AL39" s="22"/>
    </row>
    <row r="40" spans="1:39" x14ac:dyDescent="0.35">
      <c r="A40" s="41" t="s">
        <v>1931</v>
      </c>
      <c r="B40" t="s">
        <v>1932</v>
      </c>
      <c r="C40" s="5">
        <v>45031</v>
      </c>
      <c r="D40" s="3">
        <v>128522</v>
      </c>
      <c r="E40" s="42" t="s">
        <v>782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0</v>
      </c>
      <c r="AL40" s="22"/>
    </row>
    <row r="41" spans="1:39" x14ac:dyDescent="0.35">
      <c r="A41" s="41" t="s">
        <v>1936</v>
      </c>
      <c r="B41" t="s">
        <v>1937</v>
      </c>
      <c r="C41" s="5">
        <v>45027</v>
      </c>
      <c r="D41" s="3">
        <v>139585</v>
      </c>
      <c r="E41" s="42" t="s">
        <v>1345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K41" s="3">
        <f>SUM($F41:AJ41)</f>
        <v>0</v>
      </c>
      <c r="AL41" s="22"/>
    </row>
    <row r="42" spans="1:39" x14ac:dyDescent="0.35">
      <c r="A42" s="41" t="s">
        <v>1938</v>
      </c>
      <c r="B42" t="s">
        <v>1939</v>
      </c>
      <c r="C42" s="5">
        <v>45027</v>
      </c>
      <c r="D42" s="3">
        <v>87189</v>
      </c>
      <c r="E42" s="42" t="s">
        <v>782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K42" s="3">
        <f>SUM($F42:AJ42)</f>
        <v>0</v>
      </c>
      <c r="AL42" s="22"/>
    </row>
    <row r="43" spans="1:39" x14ac:dyDescent="0.35">
      <c r="A43" s="41" t="s">
        <v>1940</v>
      </c>
      <c r="B43" t="s">
        <v>1941</v>
      </c>
      <c r="C43" s="5">
        <v>45027</v>
      </c>
      <c r="D43" s="3">
        <v>45855</v>
      </c>
      <c r="E43" s="42" t="s">
        <v>782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K43" s="3">
        <f>SUM($F43:AJ43)</f>
        <v>0</v>
      </c>
      <c r="AL43" s="22"/>
    </row>
    <row r="44" spans="1:39" x14ac:dyDescent="0.35">
      <c r="A44" s="41" t="s">
        <v>1950</v>
      </c>
      <c r="B44" t="s">
        <v>1951</v>
      </c>
      <c r="C44" s="5">
        <v>45034</v>
      </c>
      <c r="D44" s="3">
        <v>173855</v>
      </c>
      <c r="E44" s="42" t="s">
        <v>1345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K44" s="3">
        <f>SUM($F44:AJ44)</f>
        <v>0</v>
      </c>
      <c r="AL44" s="22"/>
    </row>
    <row r="45" spans="1:39" x14ac:dyDescent="0.35">
      <c r="A45" s="41" t="s">
        <v>1952</v>
      </c>
      <c r="B45" t="s">
        <v>1953</v>
      </c>
      <c r="C45" s="5">
        <v>45035</v>
      </c>
      <c r="D45" s="3">
        <v>95188</v>
      </c>
      <c r="E45" s="42" t="s">
        <v>1441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K45" s="3">
        <f>SUM($F45:AJ45)</f>
        <v>0</v>
      </c>
      <c r="AL45" s="22"/>
      <c r="AM45"/>
    </row>
    <row r="46" spans="1:39" x14ac:dyDescent="0.35">
      <c r="A46" s="41" t="s">
        <v>1954</v>
      </c>
      <c r="B46" t="s">
        <v>1955</v>
      </c>
      <c r="C46" s="5">
        <v>45040</v>
      </c>
      <c r="D46" s="3">
        <f>35760*2*3*1.19</f>
        <v>255326.4</v>
      </c>
      <c r="E46" s="42" t="s">
        <v>1345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0</v>
      </c>
      <c r="AL46" s="22"/>
      <c r="AM46"/>
    </row>
    <row r="47" spans="1:39" x14ac:dyDescent="0.35">
      <c r="A47" s="41" t="s">
        <v>1956</v>
      </c>
      <c r="B47" t="s">
        <v>827</v>
      </c>
      <c r="C47" s="5">
        <v>45040</v>
      </c>
      <c r="D47" s="3">
        <f>35760*(439/1216)*2*2*1.19</f>
        <v>61451.913157894727</v>
      </c>
      <c r="E47" s="42" t="s">
        <v>1441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K47" s="3">
        <f>SUM($F47:AJ47)</f>
        <v>0</v>
      </c>
      <c r="AL47" s="22"/>
      <c r="AM47"/>
    </row>
    <row r="48" spans="1:39" x14ac:dyDescent="0.35">
      <c r="A48" s="41" t="s">
        <v>1964</v>
      </c>
      <c r="B48" t="s">
        <v>1966</v>
      </c>
      <c r="C48" s="5">
        <v>45044</v>
      </c>
      <c r="D48" s="3">
        <v>45855</v>
      </c>
      <c r="E48" s="42" t="s">
        <v>782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K48" s="3">
        <f>SUM($F48:AJ48)</f>
        <v>0</v>
      </c>
      <c r="AL48" s="22"/>
      <c r="AM48"/>
    </row>
    <row r="49" spans="1:39" x14ac:dyDescent="0.35">
      <c r="A49" s="41" t="s">
        <v>1965</v>
      </c>
      <c r="B49" t="s">
        <v>1967</v>
      </c>
      <c r="C49" s="5">
        <v>45044</v>
      </c>
      <c r="D49" s="3">
        <v>45855</v>
      </c>
      <c r="E49" s="42" t="s">
        <v>782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K49" s="3">
        <f>SUM($F49:AJ49)</f>
        <v>0</v>
      </c>
      <c r="AL49" s="22"/>
      <c r="AM49"/>
    </row>
    <row r="50" spans="1:39" x14ac:dyDescent="0.35">
      <c r="A50" s="41" t="s">
        <v>1968</v>
      </c>
      <c r="B50" t="s">
        <v>1970</v>
      </c>
      <c r="C50" s="5">
        <v>45044</v>
      </c>
      <c r="D50" s="3">
        <v>45855</v>
      </c>
      <c r="E50" s="42" t="s">
        <v>782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K50" s="3">
        <f>SUM($F50:AJ50)</f>
        <v>0</v>
      </c>
      <c r="AL50" s="22"/>
      <c r="AM50"/>
    </row>
    <row r="51" spans="1:39" x14ac:dyDescent="0.35">
      <c r="A51" s="41" t="s">
        <v>1969</v>
      </c>
      <c r="B51" t="s">
        <v>1971</v>
      </c>
      <c r="C51" s="5">
        <v>45044</v>
      </c>
      <c r="D51" s="3">
        <v>45855</v>
      </c>
      <c r="E51" s="42" t="s">
        <v>782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K51" s="3">
        <f>SUM($F51:AJ51)</f>
        <v>0</v>
      </c>
      <c r="AL51" s="22"/>
      <c r="AM51"/>
    </row>
    <row r="52" spans="1:39" ht="15" thickBot="1" x14ac:dyDescent="0.4">
      <c r="A52" s="43"/>
      <c r="B52" s="76"/>
      <c r="C52" s="45"/>
      <c r="D52" s="46"/>
      <c r="E52" s="4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K52" s="3">
        <f>SUM($F52:AJ52)</f>
        <v>0</v>
      </c>
      <c r="AL52" s="22"/>
    </row>
    <row r="53" spans="1:39" x14ac:dyDescent="0.35">
      <c r="A53" t="s">
        <v>854</v>
      </c>
      <c r="D53" s="3">
        <v>3000000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Z53" s="3"/>
      <c r="AA53" s="3"/>
      <c r="AB53" s="3"/>
      <c r="AC53" s="3">
        <v>3000000</v>
      </c>
      <c r="AD53" s="3"/>
      <c r="AE53" s="3"/>
      <c r="AF53" s="3"/>
      <c r="AG53" s="3"/>
      <c r="AH53" s="3"/>
      <c r="AI53" s="3"/>
      <c r="AK53" s="324" t="s">
        <v>1962</v>
      </c>
      <c r="AL53" s="22" t="s">
        <v>1352</v>
      </c>
    </row>
    <row r="54" spans="1:39" x14ac:dyDescent="0.35">
      <c r="A54" s="2" t="s">
        <v>1676</v>
      </c>
      <c r="D54" s="3">
        <f>SUM(D33:D52)</f>
        <v>1636680.3131578946</v>
      </c>
      <c r="F54" s="3">
        <f t="shared" ref="F54:U54" si="1">SUM(F5:F53)</f>
        <v>0</v>
      </c>
      <c r="G54" s="3">
        <f t="shared" si="1"/>
        <v>0</v>
      </c>
      <c r="H54" s="3">
        <f t="shared" si="1"/>
        <v>0</v>
      </c>
      <c r="I54" s="3">
        <f t="shared" si="1"/>
        <v>0</v>
      </c>
      <c r="J54" s="3">
        <f t="shared" si="1"/>
        <v>0</v>
      </c>
      <c r="K54" s="3">
        <f t="shared" si="1"/>
        <v>0</v>
      </c>
      <c r="L54" s="3">
        <f t="shared" si="1"/>
        <v>0</v>
      </c>
      <c r="M54" s="3">
        <f t="shared" si="1"/>
        <v>0</v>
      </c>
      <c r="N54" s="3">
        <f t="shared" si="1"/>
        <v>0</v>
      </c>
      <c r="O54" s="3">
        <f t="shared" si="1"/>
        <v>500000</v>
      </c>
      <c r="P54" s="3">
        <f t="shared" si="1"/>
        <v>0</v>
      </c>
      <c r="Q54" s="3">
        <f t="shared" si="1"/>
        <v>438505</v>
      </c>
      <c r="R54" s="3">
        <f t="shared" si="1"/>
        <v>0</v>
      </c>
      <c r="S54" s="3">
        <f t="shared" si="1"/>
        <v>0</v>
      </c>
      <c r="T54" s="3">
        <f t="shared" si="1"/>
        <v>0</v>
      </c>
      <c r="U54" s="3">
        <f t="shared" si="1"/>
        <v>0</v>
      </c>
      <c r="V54" s="3">
        <f>SUM(V6:V53)</f>
        <v>87189</v>
      </c>
      <c r="W54" s="3">
        <f t="shared" ref="W54:AJ54" si="2">SUM(W5:W53)</f>
        <v>847451</v>
      </c>
      <c r="X54" s="3">
        <f t="shared" si="2"/>
        <v>0</v>
      </c>
      <c r="Y54" s="3">
        <f t="shared" si="2"/>
        <v>0</v>
      </c>
      <c r="Z54" s="3">
        <f t="shared" si="2"/>
        <v>0</v>
      </c>
      <c r="AA54" s="3">
        <f t="shared" si="2"/>
        <v>0</v>
      </c>
      <c r="AB54" s="3">
        <f t="shared" si="2"/>
        <v>0</v>
      </c>
      <c r="AC54" s="3">
        <f t="shared" si="2"/>
        <v>3545855</v>
      </c>
      <c r="AD54" s="3">
        <f t="shared" si="2"/>
        <v>0</v>
      </c>
      <c r="AE54" s="3">
        <f t="shared" si="2"/>
        <v>0</v>
      </c>
      <c r="AF54" s="3">
        <f t="shared" si="2"/>
        <v>0</v>
      </c>
      <c r="AG54" s="3">
        <f t="shared" si="2"/>
        <v>0</v>
      </c>
      <c r="AH54" s="3">
        <f t="shared" si="2"/>
        <v>0</v>
      </c>
      <c r="AI54" s="3">
        <f t="shared" si="2"/>
        <v>0</v>
      </c>
      <c r="AJ54" s="3">
        <f t="shared" si="2"/>
        <v>0</v>
      </c>
      <c r="AK54" s="72">
        <f>SUM(AK6:AK52)</f>
        <v>2419000</v>
      </c>
      <c r="AL54" s="22">
        <f>+D55-AK54</f>
        <v>1549903.3131578946</v>
      </c>
      <c r="AM54" s="6" t="s">
        <v>13</v>
      </c>
    </row>
    <row r="55" spans="1:39" x14ac:dyDescent="0.35">
      <c r="A55" s="2" t="s">
        <v>1780</v>
      </c>
      <c r="B55" t="s">
        <v>13</v>
      </c>
      <c r="C55" s="3" t="s">
        <v>13</v>
      </c>
      <c r="D55" s="3">
        <f>SUM(D6:D52)</f>
        <v>3968903.3131578946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9" x14ac:dyDescent="0.35">
      <c r="A56" s="2" t="s">
        <v>2</v>
      </c>
      <c r="F56" s="3"/>
      <c r="G56" s="3"/>
      <c r="H56" s="3"/>
      <c r="I56" s="3"/>
      <c r="J56" s="3"/>
      <c r="K56" s="3"/>
      <c r="L56" s="3" t="s">
        <v>13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9" ht="15" thickBot="1" x14ac:dyDescent="0.4">
      <c r="A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9" x14ac:dyDescent="0.35">
      <c r="A58" s="358" t="s">
        <v>1848</v>
      </c>
      <c r="B58" s="37" t="s">
        <v>337</v>
      </c>
      <c r="C58" s="38"/>
      <c r="D58" s="39">
        <v>1800000</v>
      </c>
      <c r="E58" s="4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Z58" s="3"/>
      <c r="AA58" s="3"/>
      <c r="AB58" s="3"/>
      <c r="AC58" s="3"/>
      <c r="AD58" s="3"/>
      <c r="AE58" s="3">
        <v>1800000</v>
      </c>
      <c r="AF58" s="3"/>
      <c r="AG58" s="3"/>
      <c r="AH58" s="3"/>
      <c r="AI58" s="3"/>
      <c r="AK58" s="3">
        <f>SUM($F58:AJ58)</f>
        <v>1800000</v>
      </c>
    </row>
    <row r="59" spans="1:39" x14ac:dyDescent="0.35">
      <c r="A59" s="343" t="s">
        <v>1008</v>
      </c>
      <c r="B59" s="24" t="s">
        <v>337</v>
      </c>
      <c r="C59" s="5"/>
      <c r="D59" s="3">
        <v>2400000</v>
      </c>
      <c r="E59" s="42"/>
      <c r="F59" s="3"/>
      <c r="G59" s="3"/>
      <c r="H59" s="3" t="s">
        <v>13</v>
      </c>
      <c r="I59" s="3" t="s">
        <v>13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K59" s="3">
        <f>SUM($F59:AJ59)</f>
        <v>0</v>
      </c>
    </row>
    <row r="60" spans="1:39" ht="15" thickBot="1" x14ac:dyDescent="0.4">
      <c r="A60" s="43" t="s">
        <v>1845</v>
      </c>
      <c r="B60" s="76" t="s">
        <v>337</v>
      </c>
      <c r="C60" s="45">
        <v>45015</v>
      </c>
      <c r="D60" s="46">
        <f>+'Mar-23'!D94</f>
        <v>487195.03380000003</v>
      </c>
      <c r="E60" s="47"/>
      <c r="F60" s="3">
        <v>487195.03380000003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K60" s="3">
        <f>SUM($F60:AJ60)</f>
        <v>487195.03380000003</v>
      </c>
    </row>
    <row r="61" spans="1:39" x14ac:dyDescent="0.35">
      <c r="A61" s="343" t="s">
        <v>1541</v>
      </c>
      <c r="B61" t="s">
        <v>1679</v>
      </c>
      <c r="C61" s="67">
        <v>44938</v>
      </c>
      <c r="D61" s="3">
        <v>33320</v>
      </c>
      <c r="E61" s="344" t="s">
        <v>503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Z61" s="3"/>
      <c r="AA61" s="3"/>
      <c r="AB61" s="3"/>
      <c r="AC61" s="3"/>
      <c r="AD61" s="3"/>
      <c r="AE61" s="3"/>
      <c r="AF61" s="3"/>
      <c r="AG61" s="3">
        <v>15470</v>
      </c>
      <c r="AH61" s="3"/>
      <c r="AI61" s="3"/>
      <c r="AK61" s="3">
        <f>SUM($F61:AJ61)</f>
        <v>15470</v>
      </c>
    </row>
    <row r="62" spans="1:39" x14ac:dyDescent="0.35">
      <c r="A62" s="343" t="s">
        <v>1710</v>
      </c>
      <c r="B62" s="24" t="s">
        <v>1711</v>
      </c>
      <c r="C62" s="5">
        <v>44959</v>
      </c>
      <c r="D62" s="3">
        <v>154700</v>
      </c>
      <c r="E62" s="344"/>
      <c r="F62" s="3"/>
      <c r="G62" s="3"/>
      <c r="H62" s="3"/>
      <c r="I62" s="3"/>
      <c r="J62" s="3"/>
      <c r="K62" s="3"/>
      <c r="L62" s="3"/>
      <c r="M62" s="3"/>
      <c r="N62" s="3"/>
      <c r="O62" s="3"/>
      <c r="P62" s="3">
        <v>154700</v>
      </c>
      <c r="Q62" s="3"/>
      <c r="R62" s="3"/>
      <c r="S62" s="3"/>
      <c r="T62" s="3"/>
      <c r="U62" s="3"/>
      <c r="V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f>SUM($F62:AJ62)</f>
        <v>154700</v>
      </c>
      <c r="AL62" s="6" t="s">
        <v>13</v>
      </c>
      <c r="AM62" s="6" t="s">
        <v>13</v>
      </c>
    </row>
    <row r="63" spans="1:39" x14ac:dyDescent="0.35">
      <c r="A63" s="343" t="s">
        <v>1712</v>
      </c>
      <c r="B63" s="24" t="s">
        <v>1753</v>
      </c>
      <c r="C63" s="5">
        <v>44959</v>
      </c>
      <c r="D63" s="3">
        <v>171360</v>
      </c>
      <c r="E63" s="344"/>
      <c r="F63" s="3"/>
      <c r="G63" s="3"/>
      <c r="I63" s="3"/>
      <c r="J63" s="3"/>
      <c r="K63" s="3"/>
      <c r="L63" s="3"/>
      <c r="M63" s="3"/>
      <c r="N63" s="3"/>
      <c r="O63" s="3"/>
      <c r="P63" s="3"/>
      <c r="Q63" s="3">
        <v>171360</v>
      </c>
      <c r="R63" s="3"/>
      <c r="S63" s="3"/>
      <c r="T63" s="3"/>
      <c r="U63" s="3"/>
      <c r="V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f>SUM($F63:AJ63)</f>
        <v>171360</v>
      </c>
      <c r="AL63" s="6" t="s">
        <v>13</v>
      </c>
      <c r="AM63" s="6" t="s">
        <v>13</v>
      </c>
    </row>
    <row r="64" spans="1:39" x14ac:dyDescent="0.35">
      <c r="A64" s="343" t="s">
        <v>1793</v>
      </c>
      <c r="B64" s="24" t="s">
        <v>1816</v>
      </c>
      <c r="C64" s="5">
        <v>44978</v>
      </c>
      <c r="D64" s="3">
        <v>152320</v>
      </c>
      <c r="E64" s="344"/>
      <c r="F64" s="3"/>
      <c r="G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Y64" s="3"/>
      <c r="Z64" s="3"/>
      <c r="AA64" s="3"/>
      <c r="AB64" s="3"/>
      <c r="AC64" s="3"/>
      <c r="AD64" s="3"/>
      <c r="AE64" s="3">
        <v>152320</v>
      </c>
      <c r="AF64" s="3"/>
      <c r="AG64" s="3"/>
      <c r="AH64" s="3"/>
      <c r="AI64" s="3"/>
      <c r="AJ64" s="3"/>
      <c r="AK64" s="3">
        <f>SUM($F64:AJ64)</f>
        <v>152320</v>
      </c>
    </row>
    <row r="65" spans="1:41" ht="15" thickBot="1" x14ac:dyDescent="0.4">
      <c r="A65" s="343" t="s">
        <v>1161</v>
      </c>
      <c r="B65" s="24" t="s">
        <v>1959</v>
      </c>
      <c r="C65" s="5">
        <v>44989</v>
      </c>
      <c r="D65" s="3">
        <v>7080</v>
      </c>
      <c r="E65" s="344" t="s">
        <v>4</v>
      </c>
      <c r="F65" s="3"/>
      <c r="G65" s="3"/>
      <c r="H65" s="3"/>
      <c r="I65" s="3"/>
      <c r="J65" s="3"/>
      <c r="K65" s="3"/>
      <c r="L65" s="3"/>
      <c r="M65" s="3"/>
      <c r="O65" s="3"/>
      <c r="P65" s="3" t="s">
        <v>13</v>
      </c>
      <c r="Q65" s="3"/>
      <c r="R65" s="3"/>
      <c r="S65" s="3"/>
      <c r="T65" s="3"/>
      <c r="U65" s="3"/>
      <c r="V65" s="3"/>
      <c r="W65" s="3"/>
      <c r="Y65" s="3"/>
      <c r="Z65" s="3"/>
      <c r="AA65" s="3"/>
      <c r="AB65" s="3"/>
      <c r="AC65" s="3"/>
      <c r="AD65" s="3"/>
      <c r="AE65" s="3" t="s">
        <v>13</v>
      </c>
      <c r="AF65" s="3"/>
      <c r="AG65" s="3"/>
      <c r="AH65" s="3"/>
      <c r="AI65" s="3"/>
      <c r="AJ65" s="3"/>
      <c r="AK65" s="3">
        <f>SUM($F65:AJ65)</f>
        <v>0</v>
      </c>
      <c r="AL65" s="6" t="s">
        <v>13</v>
      </c>
      <c r="AM65" s="6" t="s">
        <v>13</v>
      </c>
    </row>
    <row r="66" spans="1:41" x14ac:dyDescent="0.35">
      <c r="A66" s="358" t="s">
        <v>1161</v>
      </c>
      <c r="B66" s="37" t="s">
        <v>1922</v>
      </c>
      <c r="C66" s="38">
        <v>45017</v>
      </c>
      <c r="D66" s="39">
        <v>10790</v>
      </c>
      <c r="E66" s="361" t="s">
        <v>1704</v>
      </c>
      <c r="F66" s="3">
        <v>10790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f>SUM($F66:AJ66)</f>
        <v>10790</v>
      </c>
      <c r="AL66" s="6" t="s">
        <v>83</v>
      </c>
      <c r="AN66" s="26" t="s">
        <v>13</v>
      </c>
      <c r="AO66" s="3"/>
    </row>
    <row r="67" spans="1:41" x14ac:dyDescent="0.35">
      <c r="A67" s="343" t="s">
        <v>1921</v>
      </c>
      <c r="B67" s="24">
        <v>1077739</v>
      </c>
      <c r="C67" s="5">
        <v>45021</v>
      </c>
      <c r="D67" s="71">
        <v>103756</v>
      </c>
      <c r="E67" s="34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>
        <f>SUM($F67:AJ67)</f>
        <v>0</v>
      </c>
      <c r="AL67" s="364" t="s">
        <v>82</v>
      </c>
      <c r="AN67" s="26"/>
      <c r="AO67" s="3"/>
    </row>
    <row r="68" spans="1:41" x14ac:dyDescent="0.35">
      <c r="A68" s="343" t="s">
        <v>1920</v>
      </c>
      <c r="B68" s="24"/>
      <c r="C68" s="5">
        <v>45021</v>
      </c>
      <c r="D68" s="3">
        <v>13905</v>
      </c>
      <c r="E68" s="344"/>
      <c r="F68" s="3"/>
      <c r="G68" s="3"/>
      <c r="H68" s="3"/>
      <c r="I68" s="3"/>
      <c r="J68" s="3">
        <v>13905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>
        <f>SUM($F68:AJ68)</f>
        <v>13905</v>
      </c>
      <c r="AL68" s="6" t="s">
        <v>1557</v>
      </c>
      <c r="AN68" s="26"/>
      <c r="AO68" s="3"/>
    </row>
    <row r="69" spans="1:41" x14ac:dyDescent="0.35">
      <c r="A69" s="343" t="s">
        <v>1161</v>
      </c>
      <c r="B69" s="24" t="s">
        <v>1942</v>
      </c>
      <c r="C69" s="5">
        <v>45022</v>
      </c>
      <c r="D69" s="3">
        <v>6830</v>
      </c>
      <c r="E69" s="344" t="s">
        <v>1704</v>
      </c>
      <c r="F69" s="3"/>
      <c r="G69" s="3"/>
      <c r="H69" s="3"/>
      <c r="I69" s="3"/>
      <c r="J69" s="3"/>
      <c r="K69" s="3">
        <v>6830</v>
      </c>
      <c r="L69" s="3"/>
      <c r="M69" s="3" t="s">
        <v>13</v>
      </c>
      <c r="N69" s="3"/>
      <c r="O69" s="3"/>
      <c r="P69" s="3"/>
      <c r="Q69" s="3"/>
      <c r="R69" s="3"/>
      <c r="S69" s="3"/>
      <c r="T69" s="3"/>
      <c r="U69" s="3"/>
      <c r="V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>
        <f>SUM($F69:AJ69)</f>
        <v>6830</v>
      </c>
      <c r="AL69" s="6" t="s">
        <v>83</v>
      </c>
      <c r="AN69" s="26"/>
      <c r="AO69" s="3"/>
    </row>
    <row r="70" spans="1:41" x14ac:dyDescent="0.35">
      <c r="A70" s="343" t="s">
        <v>1958</v>
      </c>
      <c r="B70" s="24"/>
      <c r="C70" s="5">
        <v>45023</v>
      </c>
      <c r="D70" s="3">
        <v>4999</v>
      </c>
      <c r="E70" s="344" t="s">
        <v>4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6" t="s">
        <v>81</v>
      </c>
      <c r="AN70" s="26"/>
      <c r="AO70" s="3"/>
    </row>
    <row r="71" spans="1:41" x14ac:dyDescent="0.35">
      <c r="A71" s="343" t="s">
        <v>1869</v>
      </c>
      <c r="B71" s="24" t="s">
        <v>1923</v>
      </c>
      <c r="C71" s="5">
        <v>45026</v>
      </c>
      <c r="D71" s="3">
        <v>30219</v>
      </c>
      <c r="E71" s="344" t="s">
        <v>503</v>
      </c>
      <c r="F71" s="3"/>
      <c r="G71" s="3"/>
      <c r="H71" s="3"/>
      <c r="I71" s="3"/>
      <c r="J71" s="3"/>
      <c r="K71" s="3"/>
      <c r="L71" s="3"/>
      <c r="M71" s="3"/>
      <c r="N71" s="3"/>
      <c r="O71" s="3">
        <v>30219</v>
      </c>
      <c r="P71" s="3"/>
      <c r="Q71" s="3"/>
      <c r="R71" s="3"/>
      <c r="S71" s="3"/>
      <c r="T71" s="3"/>
      <c r="U71" s="3"/>
      <c r="V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>
        <f>SUM($F71:AJ71)</f>
        <v>30219</v>
      </c>
      <c r="AL71" s="6" t="s">
        <v>81</v>
      </c>
      <c r="AN71" s="26"/>
      <c r="AO71" s="3"/>
    </row>
    <row r="72" spans="1:41" x14ac:dyDescent="0.35">
      <c r="A72" s="343" t="s">
        <v>1161</v>
      </c>
      <c r="B72" s="24" t="s">
        <v>1945</v>
      </c>
      <c r="C72" s="5">
        <v>45027</v>
      </c>
      <c r="D72" s="3">
        <v>9700</v>
      </c>
      <c r="E72" s="344" t="s">
        <v>1293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>
        <v>9700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>
        <f>SUM($F72:AJ72)</f>
        <v>9700</v>
      </c>
      <c r="AL72" s="6" t="s">
        <v>83</v>
      </c>
      <c r="AN72" s="26"/>
      <c r="AO72" s="3"/>
    </row>
    <row r="73" spans="1:41" x14ac:dyDescent="0.35">
      <c r="A73" s="343" t="s">
        <v>1926</v>
      </c>
      <c r="B73" s="24" t="s">
        <v>1925</v>
      </c>
      <c r="C73" s="5">
        <v>45027</v>
      </c>
      <c r="D73" s="3">
        <v>11900</v>
      </c>
      <c r="E73" s="34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Y73" s="3"/>
      <c r="Z73" s="3"/>
      <c r="AA73" s="3"/>
      <c r="AB73" s="3"/>
      <c r="AC73" s="3"/>
      <c r="AD73" s="3"/>
      <c r="AE73" s="3"/>
      <c r="AF73" s="3"/>
      <c r="AG73" s="3">
        <v>11900</v>
      </c>
      <c r="AH73" s="3"/>
      <c r="AI73" s="3"/>
      <c r="AJ73" s="3"/>
      <c r="AK73" s="3">
        <f>SUM($F73:AJ73)</f>
        <v>11900</v>
      </c>
      <c r="AL73" s="6" t="s">
        <v>83</v>
      </c>
      <c r="AN73" s="26"/>
      <c r="AO73" s="3"/>
    </row>
    <row r="74" spans="1:41" x14ac:dyDescent="0.35">
      <c r="A74" s="343" t="s">
        <v>1161</v>
      </c>
      <c r="B74" s="24" t="s">
        <v>1943</v>
      </c>
      <c r="C74" s="5">
        <v>45029</v>
      </c>
      <c r="D74" s="3">
        <v>3780</v>
      </c>
      <c r="E74" s="34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>
        <v>3780</v>
      </c>
      <c r="S74" s="3"/>
      <c r="T74" s="3"/>
      <c r="U74" s="3"/>
      <c r="V74" s="3"/>
      <c r="X74" t="s">
        <v>13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>
        <f>SUM($F74:AJ74)</f>
        <v>3780</v>
      </c>
      <c r="AL74" s="6" t="s">
        <v>83</v>
      </c>
      <c r="AN74" s="26"/>
      <c r="AO74" s="3"/>
    </row>
    <row r="75" spans="1:41" x14ac:dyDescent="0.35">
      <c r="A75" s="343" t="s">
        <v>1161</v>
      </c>
      <c r="B75" s="24" t="s">
        <v>1944</v>
      </c>
      <c r="C75" s="5">
        <v>45029</v>
      </c>
      <c r="D75" s="3">
        <v>3780</v>
      </c>
      <c r="E75" s="34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>
        <v>3780</v>
      </c>
      <c r="T75" s="3"/>
      <c r="U75" s="3"/>
      <c r="V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>
        <f>SUM($F75:AJ75)</f>
        <v>3780</v>
      </c>
      <c r="AL75" s="6" t="s">
        <v>83</v>
      </c>
      <c r="AN75" s="26"/>
      <c r="AO75" s="3"/>
    </row>
    <row r="76" spans="1:41" x14ac:dyDescent="0.35">
      <c r="A76" s="343" t="s">
        <v>1934</v>
      </c>
      <c r="B76" s="363" t="s">
        <v>1933</v>
      </c>
      <c r="C76" s="5">
        <v>45030</v>
      </c>
      <c r="D76" s="3">
        <v>104720</v>
      </c>
      <c r="E76" s="344"/>
      <c r="F76" s="3" t="s">
        <v>13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>
        <v>104720</v>
      </c>
      <c r="T76" s="3"/>
      <c r="U76" s="3"/>
      <c r="V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>
        <f>SUM($F76:AJ76)</f>
        <v>104720</v>
      </c>
      <c r="AL76" s="6" t="s">
        <v>83</v>
      </c>
      <c r="AN76" s="26"/>
      <c r="AO76" s="3"/>
    </row>
    <row r="77" spans="1:41" x14ac:dyDescent="0.35">
      <c r="A77" s="343" t="s">
        <v>1792</v>
      </c>
      <c r="B77" s="24"/>
      <c r="C77" s="5">
        <v>45030</v>
      </c>
      <c r="D77" s="3">
        <f>82*2*1290/9+(700+700+800+800+1500)*2+(303+615)*2+3245+2686</f>
        <v>40273.666666666672</v>
      </c>
      <c r="E77" s="34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f>82*2*1290/9+(700+700+800+800+1500)*2+(303+615)*2+3245+2686</f>
        <v>40273.666666666672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>
        <f>SUM($F77:AJ77)</f>
        <v>40273.666666666672</v>
      </c>
      <c r="AL77" s="6" t="s">
        <v>81</v>
      </c>
      <c r="AN77" s="26"/>
      <c r="AO77" s="3"/>
    </row>
    <row r="78" spans="1:41" x14ac:dyDescent="0.35">
      <c r="A78" s="343" t="s">
        <v>1161</v>
      </c>
      <c r="B78" s="24" t="s">
        <v>1935</v>
      </c>
      <c r="C78" s="5">
        <v>45031</v>
      </c>
      <c r="D78" s="3">
        <v>23890</v>
      </c>
      <c r="E78" s="344" t="s">
        <v>1291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23890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>
        <f>SUM($F78:AJ78)</f>
        <v>23890</v>
      </c>
      <c r="AL78" s="6" t="s">
        <v>83</v>
      </c>
      <c r="AN78" s="26"/>
      <c r="AO78" s="3"/>
    </row>
    <row r="79" spans="1:41" x14ac:dyDescent="0.35">
      <c r="A79" s="343" t="s">
        <v>1161</v>
      </c>
      <c r="B79" s="24" t="s">
        <v>1946</v>
      </c>
      <c r="C79" s="5">
        <v>45034</v>
      </c>
      <c r="D79" s="3">
        <v>9700</v>
      </c>
      <c r="E79" s="344" t="s">
        <v>1293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>
        <v>9700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>
        <f>SUM($F79:AJ79)</f>
        <v>9700</v>
      </c>
      <c r="AL79" s="6" t="s">
        <v>83</v>
      </c>
      <c r="AN79" s="26"/>
      <c r="AO79" s="3"/>
    </row>
    <row r="80" spans="1:41" x14ac:dyDescent="0.35">
      <c r="A80" s="343" t="s">
        <v>1869</v>
      </c>
      <c r="B80" s="24" t="s">
        <v>1947</v>
      </c>
      <c r="C80" s="5">
        <v>45035</v>
      </c>
      <c r="D80" s="3">
        <f>103077-D72-D79</f>
        <v>83677</v>
      </c>
      <c r="E80" s="344" t="s">
        <v>503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>
        <v>83677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f>SUM($F80:AJ80)</f>
        <v>83677</v>
      </c>
      <c r="AL80" s="6" t="s">
        <v>81</v>
      </c>
      <c r="AN80" s="26"/>
      <c r="AO80" s="3"/>
    </row>
    <row r="81" spans="1:46" x14ac:dyDescent="0.35">
      <c r="A81" s="343" t="s">
        <v>339</v>
      </c>
      <c r="B81" s="24"/>
      <c r="C81" s="5">
        <v>45035</v>
      </c>
      <c r="D81" s="3">
        <v>274864</v>
      </c>
      <c r="E81" s="344" t="s">
        <v>503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>
        <v>274864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>
        <f>SUM($F81:AJ81)</f>
        <v>274864</v>
      </c>
      <c r="AN81" s="26"/>
      <c r="AO81" s="3"/>
    </row>
    <row r="82" spans="1:46" x14ac:dyDescent="0.35">
      <c r="A82" s="343" t="s">
        <v>1646</v>
      </c>
      <c r="B82" s="24" t="s">
        <v>1948</v>
      </c>
      <c r="C82" s="5">
        <v>45035</v>
      </c>
      <c r="D82" s="3">
        <v>58000</v>
      </c>
      <c r="E82" s="344" t="s">
        <v>503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>
        <v>58000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>
        <f>SUM($F82:AJ82)</f>
        <v>58000</v>
      </c>
      <c r="AL82" s="6" t="s">
        <v>81</v>
      </c>
      <c r="AN82" s="26"/>
      <c r="AO82" s="3"/>
    </row>
    <row r="83" spans="1:46" x14ac:dyDescent="0.35">
      <c r="A83" s="343" t="s">
        <v>1161</v>
      </c>
      <c r="B83" s="24" t="s">
        <v>1946</v>
      </c>
      <c r="C83" s="5">
        <v>45035</v>
      </c>
      <c r="D83" s="3">
        <v>4650</v>
      </c>
      <c r="E83" s="34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>
        <v>4650</v>
      </c>
      <c r="Y83" s="3" t="s">
        <v>13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>
        <f>SUM($F83:AJ83)</f>
        <v>4650</v>
      </c>
      <c r="AL83" s="6" t="s">
        <v>83</v>
      </c>
      <c r="AN83" s="26"/>
      <c r="AO83" s="3"/>
    </row>
    <row r="84" spans="1:46" x14ac:dyDescent="0.35">
      <c r="A84" s="343" t="s">
        <v>1949</v>
      </c>
      <c r="B84" s="24"/>
      <c r="C84" s="5">
        <v>45036</v>
      </c>
      <c r="D84" s="3">
        <v>105708</v>
      </c>
      <c r="E84" s="344" t="s">
        <v>503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Y84" s="3">
        <v>105708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>
        <f>SUM($F84:AJ84)</f>
        <v>105708</v>
      </c>
      <c r="AL84" s="6" t="s">
        <v>81</v>
      </c>
      <c r="AN84" s="26"/>
      <c r="AO84" s="3"/>
    </row>
    <row r="85" spans="1:46" x14ac:dyDescent="0.35">
      <c r="A85" s="343" t="s">
        <v>1161</v>
      </c>
      <c r="B85" s="24" t="s">
        <v>1957</v>
      </c>
      <c r="C85" s="5">
        <v>45040</v>
      </c>
      <c r="D85" s="3">
        <v>1790</v>
      </c>
      <c r="E85" s="344" t="s">
        <v>1704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Y85" s="3"/>
      <c r="Z85" s="3"/>
      <c r="AA85" s="3"/>
      <c r="AB85" s="3"/>
      <c r="AC85" s="3">
        <v>1790</v>
      </c>
      <c r="AD85" s="3"/>
      <c r="AE85" s="3"/>
      <c r="AF85" s="3"/>
      <c r="AG85" s="3"/>
      <c r="AH85" s="3"/>
      <c r="AI85" s="3"/>
      <c r="AJ85" s="3"/>
      <c r="AK85" s="3"/>
      <c r="AN85" s="26"/>
      <c r="AO85" s="3"/>
    </row>
    <row r="86" spans="1:46" x14ac:dyDescent="0.35">
      <c r="A86" s="343" t="s">
        <v>1161</v>
      </c>
      <c r="B86" s="24" t="s">
        <v>1963</v>
      </c>
      <c r="C86" s="5">
        <v>45040</v>
      </c>
      <c r="D86" s="3">
        <v>10790</v>
      </c>
      <c r="E86" s="344" t="s">
        <v>1704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Y86" s="3"/>
      <c r="Z86" s="3"/>
      <c r="AA86" s="3"/>
      <c r="AB86" s="3"/>
      <c r="AC86" s="3"/>
      <c r="AD86" s="3"/>
      <c r="AE86" s="3"/>
      <c r="AF86" s="3"/>
      <c r="AG86" s="3">
        <v>10790</v>
      </c>
      <c r="AH86" s="3"/>
      <c r="AI86" s="3"/>
      <c r="AJ86" s="3"/>
      <c r="AK86" s="3"/>
      <c r="AN86" s="26"/>
      <c r="AO86" s="3"/>
    </row>
    <row r="87" spans="1:46" x14ac:dyDescent="0.35">
      <c r="A87" s="343"/>
      <c r="B87" s="24"/>
      <c r="C87" s="5"/>
      <c r="D87" s="3"/>
      <c r="E87" s="34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N87" s="26"/>
      <c r="AO87" s="3"/>
    </row>
    <row r="88" spans="1:46" x14ac:dyDescent="0.35">
      <c r="A88" s="343"/>
      <c r="B88" s="24"/>
      <c r="C88" s="5"/>
      <c r="D88" s="3"/>
      <c r="E88" s="34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N88" s="26"/>
      <c r="AO88" s="3"/>
    </row>
    <row r="89" spans="1:46" x14ac:dyDescent="0.35">
      <c r="A89" s="343"/>
      <c r="B89" s="24"/>
      <c r="C89" s="5"/>
      <c r="D89" s="3"/>
      <c r="E89" s="34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>
        <f>SUM($F89:AJ89)</f>
        <v>0</v>
      </c>
      <c r="AN89" s="26" t="s">
        <v>13</v>
      </c>
      <c r="AO89" s="3"/>
    </row>
    <row r="90" spans="1:46" ht="15" thickBot="1" x14ac:dyDescent="0.4">
      <c r="A90" s="43" t="s">
        <v>1924</v>
      </c>
      <c r="B90" s="76" t="s">
        <v>337</v>
      </c>
      <c r="C90" s="45">
        <v>45046</v>
      </c>
      <c r="D90" s="46">
        <f>+AK54*0.17</f>
        <v>411230.00000000006</v>
      </c>
      <c r="E90" s="47"/>
      <c r="F90" s="3"/>
      <c r="G90" s="3" t="s">
        <v>13</v>
      </c>
      <c r="H90" s="3" t="s">
        <v>13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>
        <f>SUM($F90:AJ90)</f>
        <v>0</v>
      </c>
      <c r="AL90" s="6" t="s">
        <v>1846</v>
      </c>
      <c r="AM90" s="6" t="s">
        <v>13</v>
      </c>
      <c r="AN90" s="26" t="s">
        <v>13</v>
      </c>
      <c r="AO90" s="3"/>
    </row>
    <row r="91" spans="1:46" x14ac:dyDescent="0.35">
      <c r="A91" s="4" t="s">
        <v>1701</v>
      </c>
      <c r="B91" s="24">
        <v>11.73</v>
      </c>
      <c r="C91" s="67">
        <v>44985</v>
      </c>
      <c r="D91" s="3">
        <f>+B91*C92</f>
        <v>417260.02920000005</v>
      </c>
      <c r="E91" s="153"/>
      <c r="F91" s="3"/>
      <c r="G91" s="3"/>
      <c r="H91" s="3">
        <v>417260.02920000005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Y91" s="3"/>
      <c r="Z91" s="3"/>
      <c r="AA91" s="3"/>
      <c r="AB91" s="3"/>
      <c r="AC91" s="3"/>
      <c r="AD91" s="3"/>
      <c r="AE91" s="3"/>
      <c r="AF91" s="3"/>
      <c r="AG91" s="3" t="s">
        <v>13</v>
      </c>
      <c r="AH91" s="3" t="s">
        <v>13</v>
      </c>
      <c r="AI91" s="3"/>
      <c r="AJ91" s="3" t="s">
        <v>13</v>
      </c>
      <c r="AK91" s="3">
        <f>SUM($F91:AJ91)</f>
        <v>417260.02920000005</v>
      </c>
      <c r="AL91" s="22" t="s">
        <v>13</v>
      </c>
      <c r="AM91" s="6" t="s">
        <v>13</v>
      </c>
      <c r="AO91" s="26" t="s">
        <v>13</v>
      </c>
      <c r="AQ91" s="6" t="s">
        <v>1675</v>
      </c>
      <c r="AR91" s="51" t="s">
        <v>2257</v>
      </c>
      <c r="AT91" s="51" t="s">
        <v>2258</v>
      </c>
    </row>
    <row r="92" spans="1:46" ht="15" thickBot="1" x14ac:dyDescent="0.4">
      <c r="A92" s="4"/>
      <c r="B92" s="67" t="s">
        <v>933</v>
      </c>
      <c r="C92" s="236">
        <v>35572.04</v>
      </c>
      <c r="D92" s="3"/>
      <c r="E92" s="15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22"/>
      <c r="AP92" s="64" t="e">
        <f>+[2]Hoja1!$L$222+[3]Hoja1!#REF!</f>
        <v>#REF!</v>
      </c>
      <c r="AQ92" s="64" t="e">
        <f>+[3]Hoja1!#REF!</f>
        <v>#REF!</v>
      </c>
      <c r="AR92" s="378" t="e">
        <f>+'Mar-23'!AR96+AQ92</f>
        <v>#REF!</v>
      </c>
      <c r="AT92" s="378" t="e">
        <f>+AR92+'Dic-22'!AR121</f>
        <v>#REF!</v>
      </c>
    </row>
    <row r="93" spans="1:46" x14ac:dyDescent="0.35">
      <c r="A93" s="4"/>
      <c r="B93" s="24"/>
      <c r="C93" s="67"/>
      <c r="D93" s="3"/>
      <c r="E93" s="15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22"/>
      <c r="AO93" s="11" t="s">
        <v>91</v>
      </c>
      <c r="AP93" s="53">
        <f>+D54/1.19</f>
        <v>1375361.6076957099</v>
      </c>
      <c r="AQ93" s="53">
        <f>+(SUMIF(E33:E52,"MD",D33:D52)+SUMIF(E33:E52,"MK",D33:D52))/1.19</f>
        <v>648118.75055285275</v>
      </c>
      <c r="AR93" s="53">
        <f>+'Mar-23'!AR97+AQ93</f>
        <v>5616395.1996284835</v>
      </c>
      <c r="AT93" s="10">
        <f>+AR93+'Dic-22'!AR122</f>
        <v>9798967.1660150383</v>
      </c>
    </row>
    <row r="94" spans="1:46" x14ac:dyDescent="0.35">
      <c r="A94" s="4"/>
      <c r="B94" s="24"/>
      <c r="C94" s="67"/>
      <c r="D94" s="3"/>
      <c r="E94" s="15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22"/>
      <c r="AO94" s="14" t="s">
        <v>1558</v>
      </c>
      <c r="AP94" s="15">
        <f>+SUMIF(AL66:AL90,"CD",D66:D90)/1.19</f>
        <v>159445.37815126052</v>
      </c>
      <c r="AQ94" s="15" t="e">
        <f>+AP94*AQ$92/AP$92</f>
        <v>#REF!</v>
      </c>
      <c r="AR94" s="15" t="e">
        <f>+'Mar-23'!AR98+AQ94</f>
        <v>#REF!</v>
      </c>
      <c r="AT94" s="10" t="e">
        <f>+AR94+'Dic-22'!AR123</f>
        <v>#REF!</v>
      </c>
    </row>
    <row r="95" spans="1:46" x14ac:dyDescent="0.35">
      <c r="A95" s="4"/>
      <c r="B95" s="24"/>
      <c r="C95" s="67"/>
      <c r="D95" s="3"/>
      <c r="E95" s="153"/>
      <c r="F95" s="3" t="s">
        <v>13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22"/>
      <c r="AO95" s="14" t="s">
        <v>1559</v>
      </c>
      <c r="AP95" s="15">
        <f>+AP93-AP94</f>
        <v>1215916.2295444494</v>
      </c>
      <c r="AQ95" s="15" t="e">
        <f>+AQ93-AQ94</f>
        <v>#REF!</v>
      </c>
      <c r="AR95" s="15" t="e">
        <f>+AR93-AR94</f>
        <v>#REF!</v>
      </c>
      <c r="AT95" s="10" t="e">
        <f>+AT93-AT94</f>
        <v>#REF!</v>
      </c>
    </row>
    <row r="96" spans="1:46" x14ac:dyDescent="0.35">
      <c r="A96" s="4"/>
      <c r="B96" s="24"/>
      <c r="C96" s="67"/>
      <c r="D96" s="3"/>
      <c r="E96" s="15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22"/>
      <c r="AO96" s="14" t="s">
        <v>1560</v>
      </c>
      <c r="AP96" s="327">
        <f>+AP95/AP93</f>
        <v>0.8840702130558985</v>
      </c>
      <c r="AQ96" s="327" t="e">
        <f>+AQ95/AQ93</f>
        <v>#REF!</v>
      </c>
      <c r="AR96" s="327" t="e">
        <f>+AR95/AR93</f>
        <v>#REF!</v>
      </c>
      <c r="AT96" s="377" t="e">
        <f>+AT95/AT93</f>
        <v>#REF!</v>
      </c>
    </row>
    <row r="97" spans="1:47" x14ac:dyDescent="0.35">
      <c r="A97" s="4"/>
      <c r="B97" s="67"/>
      <c r="C97" s="236"/>
      <c r="E97" s="15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Y97" s="3"/>
      <c r="AJ97" s="3"/>
      <c r="AK97" s="3"/>
      <c r="AL97" s="22" t="s">
        <v>1388</v>
      </c>
      <c r="AM97" s="6" t="s">
        <v>1430</v>
      </c>
      <c r="AO97" s="14" t="s">
        <v>81</v>
      </c>
      <c r="AP97" s="15">
        <f>+SUMIF(AL66:AL90,"GAV",D66:D90)/1.19+SUMIF(AL66:AL90,"REM",D66:D90)</f>
        <v>682554.92997198889</v>
      </c>
      <c r="AQ97" s="15" t="e">
        <f>+AP97*AQ$92/AP$92+(600000+300000)*5/10</f>
        <v>#REF!</v>
      </c>
      <c r="AR97" s="15" t="e">
        <f>+'Mar-23'!AR101+AQ97</f>
        <v>#REF!</v>
      </c>
      <c r="AT97" s="10" t="e">
        <f>+AR97+'Dic-22'!AR126</f>
        <v>#REF!</v>
      </c>
    </row>
    <row r="98" spans="1:47" x14ac:dyDescent="0.35">
      <c r="A98" s="2" t="s">
        <v>9</v>
      </c>
      <c r="D98" s="72">
        <f>SUM(D58:D96)-D58-D59</f>
        <v>2752186.7296666671</v>
      </c>
      <c r="F98" s="3">
        <f t="shared" ref="F98:AJ98" si="3">SUM(F58:F97)</f>
        <v>497985.03380000003</v>
      </c>
      <c r="G98" s="3">
        <f t="shared" si="3"/>
        <v>0</v>
      </c>
      <c r="H98" s="3">
        <f t="shared" si="3"/>
        <v>417260.02920000005</v>
      </c>
      <c r="I98" s="3">
        <f t="shared" si="3"/>
        <v>0</v>
      </c>
      <c r="J98" s="3">
        <f t="shared" si="3"/>
        <v>13905</v>
      </c>
      <c r="K98" s="3">
        <f t="shared" si="3"/>
        <v>6830</v>
      </c>
      <c r="L98" s="3">
        <f t="shared" si="3"/>
        <v>0</v>
      </c>
      <c r="M98" s="3">
        <f t="shared" si="3"/>
        <v>0</v>
      </c>
      <c r="N98" s="3">
        <f t="shared" si="3"/>
        <v>0</v>
      </c>
      <c r="O98" s="3">
        <f t="shared" si="3"/>
        <v>30219</v>
      </c>
      <c r="P98" s="3">
        <f t="shared" si="3"/>
        <v>154700</v>
      </c>
      <c r="Q98" s="3">
        <f t="shared" si="3"/>
        <v>171360</v>
      </c>
      <c r="R98" s="3">
        <f t="shared" si="3"/>
        <v>3780</v>
      </c>
      <c r="S98" s="3">
        <f t="shared" si="3"/>
        <v>108500</v>
      </c>
      <c r="T98" s="3">
        <f t="shared" si="3"/>
        <v>0</v>
      </c>
      <c r="U98" s="3">
        <f t="shared" si="3"/>
        <v>0</v>
      </c>
      <c r="V98" s="3">
        <f t="shared" si="3"/>
        <v>64163.666666666672</v>
      </c>
      <c r="W98" s="3">
        <f t="shared" si="3"/>
        <v>0</v>
      </c>
      <c r="X98" s="3">
        <f t="shared" si="3"/>
        <v>440591</v>
      </c>
      <c r="Y98" s="3">
        <f t="shared" si="3"/>
        <v>105708</v>
      </c>
      <c r="Z98" s="3">
        <f t="shared" si="3"/>
        <v>0</v>
      </c>
      <c r="AA98" s="3">
        <f t="shared" si="3"/>
        <v>0</v>
      </c>
      <c r="AB98" s="3">
        <f t="shared" si="3"/>
        <v>0</v>
      </c>
      <c r="AC98" s="3">
        <f t="shared" si="3"/>
        <v>1790</v>
      </c>
      <c r="AD98" s="3">
        <f t="shared" si="3"/>
        <v>0</v>
      </c>
      <c r="AE98" s="3">
        <f t="shared" si="3"/>
        <v>1952320</v>
      </c>
      <c r="AF98" s="3">
        <f t="shared" si="3"/>
        <v>0</v>
      </c>
      <c r="AG98" s="3">
        <f t="shared" si="3"/>
        <v>38160</v>
      </c>
      <c r="AH98" s="3">
        <f t="shared" si="3"/>
        <v>0</v>
      </c>
      <c r="AI98" s="3">
        <f t="shared" si="3"/>
        <v>0</v>
      </c>
      <c r="AJ98" s="3">
        <f t="shared" si="3"/>
        <v>0</v>
      </c>
      <c r="AK98" s="72">
        <f>SUM(AK58:AK96)-AK58-AK59</f>
        <v>2194691.7296666666</v>
      </c>
      <c r="AL98" s="324">
        <f>+D98-AK98</f>
        <v>557495.00000000047</v>
      </c>
      <c r="AM98" s="324">
        <f>+AJ99+AL54-AL98</f>
        <v>3343297.5868418622</v>
      </c>
      <c r="AO98" s="14" t="s">
        <v>1561</v>
      </c>
      <c r="AP98" s="375">
        <f>+AP95-AP97</f>
        <v>533361.29957246047</v>
      </c>
      <c r="AQ98" s="15" t="e">
        <f>+AQ95-AQ97</f>
        <v>#REF!</v>
      </c>
      <c r="AR98" s="15" t="e">
        <f>+AR95-AR97</f>
        <v>#REF!</v>
      </c>
      <c r="AT98" s="10" t="e">
        <f>+AT95-AT97</f>
        <v>#REF!</v>
      </c>
      <c r="AU98" s="385" t="e">
        <f>+AQ98/AQ93</f>
        <v>#REF!</v>
      </c>
    </row>
    <row r="99" spans="1:47" x14ac:dyDescent="0.35">
      <c r="A99" t="s">
        <v>8</v>
      </c>
      <c r="F99" s="3">
        <f t="shared" ref="F99:AJ99" si="4">+F54+F3-F98</f>
        <v>441175.96955063503</v>
      </c>
      <c r="G99" s="3">
        <f t="shared" si="4"/>
        <v>441175.96955063503</v>
      </c>
      <c r="H99" s="3">
        <f t="shared" si="4"/>
        <v>23915.940350634977</v>
      </c>
      <c r="I99" s="3">
        <f t="shared" si="4"/>
        <v>23915.940350634977</v>
      </c>
      <c r="J99" s="3">
        <f t="shared" si="4"/>
        <v>10010.940350634977</v>
      </c>
      <c r="K99" s="3">
        <f t="shared" si="4"/>
        <v>3180.9403506349772</v>
      </c>
      <c r="L99" s="3">
        <f t="shared" si="4"/>
        <v>3180.9403506349772</v>
      </c>
      <c r="M99" s="3">
        <f t="shared" si="4"/>
        <v>3180.9403506349772</v>
      </c>
      <c r="N99" s="3">
        <f t="shared" si="4"/>
        <v>3180.9403506349772</v>
      </c>
      <c r="O99" s="3">
        <f t="shared" si="4"/>
        <v>472961.94035063498</v>
      </c>
      <c r="P99" s="3">
        <f t="shared" si="4"/>
        <v>318261.94035063498</v>
      </c>
      <c r="Q99" s="3">
        <f t="shared" si="4"/>
        <v>585406.94035063498</v>
      </c>
      <c r="R99" s="3">
        <f t="shared" si="4"/>
        <v>581626.94035063498</v>
      </c>
      <c r="S99" s="3">
        <f t="shared" si="4"/>
        <v>473126.94035063498</v>
      </c>
      <c r="T99" s="3">
        <f t="shared" si="4"/>
        <v>473126.94035063498</v>
      </c>
      <c r="U99" s="3">
        <f t="shared" si="4"/>
        <v>473126.94035063498</v>
      </c>
      <c r="V99" s="3">
        <f t="shared" si="4"/>
        <v>496152.27368396829</v>
      </c>
      <c r="W99" s="3">
        <f t="shared" si="4"/>
        <v>1343603.2736839682</v>
      </c>
      <c r="X99" s="3">
        <f t="shared" si="4"/>
        <v>903012.27368396823</v>
      </c>
      <c r="Y99" s="3">
        <f t="shared" si="4"/>
        <v>797304.27368396823</v>
      </c>
      <c r="Z99" s="3">
        <f t="shared" si="4"/>
        <v>797304.27368396823</v>
      </c>
      <c r="AA99" s="3">
        <f t="shared" si="4"/>
        <v>797304.27368396823</v>
      </c>
      <c r="AB99" s="3">
        <f t="shared" si="4"/>
        <v>797304.27368396823</v>
      </c>
      <c r="AC99" s="3">
        <f t="shared" si="4"/>
        <v>4341369.273683968</v>
      </c>
      <c r="AD99" s="3">
        <f t="shared" si="4"/>
        <v>4341369.273683968</v>
      </c>
      <c r="AE99" s="3">
        <f t="shared" si="4"/>
        <v>2389049.273683968</v>
      </c>
      <c r="AF99" s="3">
        <f t="shared" si="4"/>
        <v>2389049.273683968</v>
      </c>
      <c r="AG99" s="3">
        <f t="shared" si="4"/>
        <v>2350889.273683968</v>
      </c>
      <c r="AH99" s="3">
        <f t="shared" si="4"/>
        <v>2350889.273683968</v>
      </c>
      <c r="AI99" s="3">
        <f t="shared" si="4"/>
        <v>2350889.273683968</v>
      </c>
      <c r="AJ99" s="3">
        <f t="shared" si="4"/>
        <v>2350889.273683968</v>
      </c>
      <c r="AK99" s="3" t="s">
        <v>13</v>
      </c>
      <c r="AO99" s="14" t="s">
        <v>1563</v>
      </c>
      <c r="AP99" s="15">
        <f>+SUMIF(AL62:AL91,"GF",D62:D91)</f>
        <v>13905</v>
      </c>
      <c r="AQ99" s="15">
        <v>0</v>
      </c>
      <c r="AR99" s="15">
        <f>+'Mar-23'!AR103+AQ99</f>
        <v>0</v>
      </c>
      <c r="AT99" s="10">
        <f>+AR99+'Dic-22'!AR128</f>
        <v>0</v>
      </c>
    </row>
    <row r="100" spans="1:47" x14ac:dyDescent="0.35">
      <c r="F100" s="3"/>
      <c r="G100" s="3"/>
      <c r="H100" s="3"/>
      <c r="I100" s="3" t="s">
        <v>13</v>
      </c>
      <c r="J100" s="3"/>
      <c r="K100" s="3" t="s">
        <v>13</v>
      </c>
      <c r="L100" s="3"/>
      <c r="M100" s="3"/>
      <c r="N100" s="3"/>
      <c r="O100" s="3"/>
      <c r="P100" s="3" t="s">
        <v>13</v>
      </c>
      <c r="Q100" s="3"/>
      <c r="R100" s="3"/>
      <c r="S100" s="3"/>
      <c r="T100" s="3" t="s">
        <v>13</v>
      </c>
      <c r="U100" s="3"/>
      <c r="V100" s="3"/>
      <c r="W100" s="3"/>
      <c r="Y100" s="3" t="s">
        <v>13</v>
      </c>
      <c r="Z100" s="3" t="s">
        <v>13</v>
      </c>
      <c r="AA100" s="3" t="s">
        <v>13</v>
      </c>
      <c r="AB100" s="3" t="s">
        <v>13</v>
      </c>
      <c r="AO100" s="14" t="s">
        <v>82</v>
      </c>
      <c r="AP100" s="15">
        <v>0</v>
      </c>
      <c r="AQ100" s="15">
        <f>+SUMIF(AL62:AL91,"AF",D62:D91)/1.19</f>
        <v>87189.915966386558</v>
      </c>
      <c r="AR100" s="15" t="e">
        <f>+'Mar-23'!AR104+AQ100</f>
        <v>#REF!</v>
      </c>
      <c r="AT100" s="10" t="e">
        <f>+AR100+'Dic-22'!AR129</f>
        <v>#REF!</v>
      </c>
    </row>
    <row r="101" spans="1:47" ht="15" thickBot="1" x14ac:dyDescent="0.4">
      <c r="F101" s="3" t="s">
        <v>13</v>
      </c>
      <c r="G101" s="3" t="s">
        <v>13</v>
      </c>
      <c r="H101" s="3" t="s">
        <v>13</v>
      </c>
      <c r="I101" s="3"/>
      <c r="J101" s="3"/>
      <c r="K101" s="3"/>
      <c r="L101" s="3"/>
      <c r="M101" s="3"/>
      <c r="N101" s="3"/>
      <c r="O101" s="3"/>
      <c r="P101" s="3" t="s">
        <v>13</v>
      </c>
      <c r="Q101" s="3" t="s">
        <v>13</v>
      </c>
      <c r="R101" s="3" t="s">
        <v>13</v>
      </c>
      <c r="S101" s="3"/>
      <c r="T101" s="3"/>
      <c r="U101" s="3" t="s">
        <v>13</v>
      </c>
      <c r="V101" s="3"/>
      <c r="W101" s="3"/>
      <c r="AB101" s="3" t="s">
        <v>13</v>
      </c>
      <c r="AG101" s="3" t="s">
        <v>13</v>
      </c>
      <c r="AJ101" s="3" t="s">
        <v>13</v>
      </c>
      <c r="AO101" s="16"/>
      <c r="AP101" s="19">
        <f>+AP98-AP99-AP100</f>
        <v>519456.29957246047</v>
      </c>
      <c r="AQ101" s="19" t="e">
        <f>+AQ98-AQ99-AQ100</f>
        <v>#REF!</v>
      </c>
      <c r="AR101" s="19" t="e">
        <f>+AR98-AR99-AR100</f>
        <v>#REF!</v>
      </c>
      <c r="AT101" s="10" t="e">
        <f>+AT98-AT99-AT100</f>
        <v>#REF!</v>
      </c>
    </row>
    <row r="102" spans="1:47" x14ac:dyDescent="0.35">
      <c r="A102" s="27" t="s">
        <v>13</v>
      </c>
      <c r="B102" t="s">
        <v>1825</v>
      </c>
      <c r="D102" s="236" t="s">
        <v>13</v>
      </c>
      <c r="E102" s="6" t="s">
        <v>13</v>
      </c>
      <c r="F102" s="3"/>
      <c r="G102" s="3" t="s">
        <v>13</v>
      </c>
      <c r="H102" s="3" t="s">
        <v>13</v>
      </c>
      <c r="I102" s="3"/>
      <c r="J102" s="3"/>
      <c r="K102" s="3"/>
      <c r="L102" s="3"/>
      <c r="M102" s="3"/>
      <c r="N102" s="3"/>
      <c r="O102" s="3"/>
      <c r="W102" s="3"/>
      <c r="AB102" s="3" t="s">
        <v>13</v>
      </c>
      <c r="AG102" s="3" t="s">
        <v>13</v>
      </c>
      <c r="AJ102" s="3" t="s">
        <v>13</v>
      </c>
      <c r="AO102" t="s">
        <v>1961</v>
      </c>
      <c r="AP102" s="26">
        <f>+AP101+'Mar-23'!AP106</f>
        <v>5296765.2537598955</v>
      </c>
      <c r="AQ102" s="3" t="e">
        <f>+AQ101+'Mar-23'!AQ106</f>
        <v>#REF!</v>
      </c>
    </row>
    <row r="103" spans="1:47" x14ac:dyDescent="0.35">
      <c r="A103" s="27" t="s">
        <v>1794</v>
      </c>
      <c r="B103" t="s">
        <v>1795</v>
      </c>
      <c r="C103" t="s">
        <v>1796</v>
      </c>
      <c r="F103" s="3"/>
      <c r="G103" s="3" t="s">
        <v>13</v>
      </c>
      <c r="H103" s="3"/>
      <c r="I103" s="3"/>
      <c r="J103" s="3"/>
      <c r="K103" s="3"/>
      <c r="L103" s="3"/>
      <c r="M103" s="3"/>
      <c r="N103" s="3"/>
      <c r="O103" s="3"/>
      <c r="W103" s="3" t="s">
        <v>13</v>
      </c>
      <c r="AB103" s="3" t="s">
        <v>13</v>
      </c>
      <c r="AG103" s="3" t="s">
        <v>13</v>
      </c>
      <c r="AJ103" s="3" t="s">
        <v>13</v>
      </c>
      <c r="AO103" t="s">
        <v>1960</v>
      </c>
      <c r="AP103" s="3">
        <f>+AP101+'Mar-23'!AP107</f>
        <v>6892903.1561376033</v>
      </c>
      <c r="AQ103" s="3" t="e">
        <f>+AQ101+'Mar-23'!AQ107</f>
        <v>#REF!</v>
      </c>
    </row>
    <row r="104" spans="1:47" x14ac:dyDescent="0.35">
      <c r="A104" s="27" t="s">
        <v>1797</v>
      </c>
      <c r="B104" s="24" t="s">
        <v>1798</v>
      </c>
      <c r="C104" t="s">
        <v>1799</v>
      </c>
      <c r="D104" s="236" t="s">
        <v>13</v>
      </c>
      <c r="F104" s="3" t="s">
        <v>13</v>
      </c>
      <c r="G104" s="3" t="s">
        <v>13</v>
      </c>
      <c r="H104" s="3"/>
      <c r="I104" s="3"/>
      <c r="J104" s="3"/>
      <c r="K104" s="3"/>
      <c r="L104" s="3"/>
      <c r="M104" s="3"/>
      <c r="N104" s="3"/>
      <c r="O104" s="3"/>
      <c r="W104" s="3"/>
      <c r="AB104" s="3" t="s">
        <v>13</v>
      </c>
      <c r="AG104" s="3" t="s">
        <v>13</v>
      </c>
      <c r="AJ104" s="3" t="s">
        <v>13</v>
      </c>
    </row>
    <row r="105" spans="1:47" x14ac:dyDescent="0.35">
      <c r="A105" s="27" t="s">
        <v>1805</v>
      </c>
      <c r="B105" s="236" t="s">
        <v>1800</v>
      </c>
      <c r="C105" s="236" t="s">
        <v>13</v>
      </c>
      <c r="D105" s="286" t="s">
        <v>13</v>
      </c>
      <c r="F105" s="3" t="s">
        <v>13</v>
      </c>
      <c r="G105" s="3" t="s">
        <v>13</v>
      </c>
      <c r="H105" s="3"/>
      <c r="I105" s="3"/>
      <c r="J105" s="3"/>
      <c r="K105" s="3"/>
      <c r="L105" s="3" t="s">
        <v>13</v>
      </c>
      <c r="M105" s="236" t="s">
        <v>13</v>
      </c>
      <c r="N105" s="3"/>
      <c r="O105" s="3"/>
      <c r="W105" s="3"/>
      <c r="AB105" s="3" t="s">
        <v>13</v>
      </c>
      <c r="AG105" s="3" t="s">
        <v>13</v>
      </c>
      <c r="AJ105" s="3" t="s">
        <v>13</v>
      </c>
      <c r="AL105"/>
      <c r="AM105"/>
    </row>
    <row r="106" spans="1:47" x14ac:dyDescent="0.35">
      <c r="A106" s="27" t="s">
        <v>1801</v>
      </c>
      <c r="B106" t="s">
        <v>13</v>
      </c>
      <c r="C106" t="s">
        <v>13</v>
      </c>
      <c r="D106" t="s">
        <v>13</v>
      </c>
      <c r="F106" s="3"/>
      <c r="G106" s="3" t="s">
        <v>13</v>
      </c>
      <c r="H106" s="3"/>
      <c r="I106" s="3"/>
      <c r="J106" s="3"/>
      <c r="K106" s="3"/>
      <c r="L106" s="3"/>
      <c r="M106" s="3"/>
      <c r="AG106" s="3" t="s">
        <v>13</v>
      </c>
      <c r="AJ106" s="3" t="s">
        <v>13</v>
      </c>
      <c r="AL106"/>
      <c r="AM106"/>
    </row>
    <row r="107" spans="1:47" x14ac:dyDescent="0.35">
      <c r="A107" s="27" t="s">
        <v>1802</v>
      </c>
      <c r="B107" t="s">
        <v>1803</v>
      </c>
      <c r="C107" s="236" t="s">
        <v>1804</v>
      </c>
      <c r="D107" t="s">
        <v>13</v>
      </c>
      <c r="F107" s="3"/>
      <c r="G107" s="3" t="s">
        <v>13</v>
      </c>
      <c r="H107" s="3"/>
      <c r="I107" s="3"/>
      <c r="J107" s="3"/>
      <c r="K107" s="3"/>
      <c r="L107" s="3"/>
      <c r="AB107" t="s">
        <v>13</v>
      </c>
      <c r="AG107" s="3" t="s">
        <v>13</v>
      </c>
      <c r="AJ107" s="3" t="s">
        <v>13</v>
      </c>
      <c r="AL107"/>
      <c r="AM107"/>
    </row>
    <row r="108" spans="1:47" x14ac:dyDescent="0.35">
      <c r="A108" s="27" t="s">
        <v>1824</v>
      </c>
      <c r="B108" t="s">
        <v>1826</v>
      </c>
      <c r="C108" t="s">
        <v>13</v>
      </c>
      <c r="F108" s="3"/>
      <c r="G108" s="3" t="s">
        <v>13</v>
      </c>
      <c r="H108" s="3"/>
      <c r="I108" s="3"/>
      <c r="J108" s="3"/>
      <c r="K108" s="3"/>
      <c r="L108" s="3"/>
      <c r="AG108" s="3" t="s">
        <v>13</v>
      </c>
      <c r="AJ108" s="3" t="s">
        <v>13</v>
      </c>
      <c r="AL108"/>
      <c r="AM108"/>
    </row>
    <row r="109" spans="1:47" x14ac:dyDescent="0.35">
      <c r="B109" t="s">
        <v>13</v>
      </c>
      <c r="F109" s="3"/>
      <c r="G109" s="3" t="s">
        <v>13</v>
      </c>
      <c r="H109" s="3"/>
      <c r="I109" s="3"/>
      <c r="J109" s="3"/>
      <c r="K109" s="3"/>
      <c r="L109" s="3"/>
      <c r="AG109" s="3" t="s">
        <v>13</v>
      </c>
      <c r="AJ109" s="3" t="s">
        <v>13</v>
      </c>
      <c r="AL109"/>
      <c r="AM109"/>
    </row>
    <row r="110" spans="1:47" x14ac:dyDescent="0.35">
      <c r="B110" t="s">
        <v>13</v>
      </c>
      <c r="C110">
        <f>600000-150000-70000-60000-50000</f>
        <v>270000</v>
      </c>
      <c r="F110" s="3"/>
      <c r="G110" s="3" t="s">
        <v>13</v>
      </c>
      <c r="H110" s="3"/>
      <c r="I110" s="3"/>
      <c r="J110" s="3"/>
      <c r="K110" s="3"/>
      <c r="L110" s="3"/>
      <c r="AG110" s="3" t="s">
        <v>13</v>
      </c>
      <c r="AJ110" s="3" t="s">
        <v>13</v>
      </c>
      <c r="AL110"/>
      <c r="AM110"/>
    </row>
    <row r="111" spans="1:47" x14ac:dyDescent="0.35">
      <c r="B111" t="s">
        <v>13</v>
      </c>
      <c r="F111" s="3"/>
      <c r="G111" s="3" t="s">
        <v>13</v>
      </c>
      <c r="H111" s="3"/>
      <c r="I111" s="3"/>
      <c r="J111" s="3"/>
      <c r="K111" s="3"/>
      <c r="L111" s="3"/>
      <c r="AG111" s="3" t="s">
        <v>13</v>
      </c>
      <c r="AJ111" s="3" t="s">
        <v>13</v>
      </c>
      <c r="AL111"/>
      <c r="AM111"/>
    </row>
    <row r="112" spans="1:47" x14ac:dyDescent="0.35">
      <c r="B112" t="s">
        <v>13</v>
      </c>
      <c r="F112" s="3"/>
      <c r="G112" s="3" t="s">
        <v>13</v>
      </c>
      <c r="H112" s="3"/>
      <c r="I112" s="3"/>
      <c r="J112" s="3"/>
      <c r="K112" s="3"/>
      <c r="L112" s="3"/>
      <c r="AG112" s="3" t="s">
        <v>13</v>
      </c>
      <c r="AJ112" s="3" t="s">
        <v>13</v>
      </c>
      <c r="AL112"/>
      <c r="AM112"/>
    </row>
    <row r="113" spans="2:39" x14ac:dyDescent="0.35">
      <c r="B113" t="s">
        <v>13</v>
      </c>
      <c r="F113" s="3"/>
      <c r="G113" s="3" t="s">
        <v>13</v>
      </c>
      <c r="H113" s="3"/>
      <c r="I113" s="3"/>
      <c r="J113" s="3"/>
      <c r="K113" s="3"/>
      <c r="L113" s="3"/>
      <c r="AG113" s="3" t="s">
        <v>13</v>
      </c>
      <c r="AJ113" s="3" t="s">
        <v>13</v>
      </c>
      <c r="AL113"/>
      <c r="AM113"/>
    </row>
    <row r="114" spans="2:39" x14ac:dyDescent="0.35">
      <c r="B114" t="s">
        <v>13</v>
      </c>
      <c r="F114" s="3"/>
      <c r="G114" s="3" t="s">
        <v>13</v>
      </c>
      <c r="H114" s="3"/>
      <c r="I114" s="3"/>
      <c r="J114" s="3"/>
      <c r="K114" s="3"/>
      <c r="L114" s="3"/>
      <c r="AG114" s="3" t="s">
        <v>13</v>
      </c>
      <c r="AJ114" s="3" t="s">
        <v>13</v>
      </c>
      <c r="AL114"/>
      <c r="AM114"/>
    </row>
    <row r="115" spans="2:39" x14ac:dyDescent="0.35">
      <c r="B115" t="s">
        <v>13</v>
      </c>
      <c r="F115" s="3"/>
      <c r="G115" s="3" t="s">
        <v>13</v>
      </c>
      <c r="H115" s="3"/>
      <c r="I115" s="3"/>
      <c r="J115" s="3"/>
      <c r="K115" s="3"/>
      <c r="L115" s="3"/>
      <c r="AG115" s="3" t="s">
        <v>13</v>
      </c>
      <c r="AJ115" s="3" t="s">
        <v>13</v>
      </c>
      <c r="AL115"/>
      <c r="AM115"/>
    </row>
    <row r="116" spans="2:39" x14ac:dyDescent="0.35">
      <c r="B116" t="s">
        <v>13</v>
      </c>
      <c r="F116" s="3"/>
      <c r="G116" s="3" t="s">
        <v>13</v>
      </c>
      <c r="H116" s="3"/>
      <c r="I116" s="3"/>
      <c r="J116" s="3"/>
      <c r="K116" s="3"/>
      <c r="L116" s="3"/>
      <c r="AG116" s="3" t="s">
        <v>13</v>
      </c>
      <c r="AJ116" s="3" t="s">
        <v>13</v>
      </c>
      <c r="AL116"/>
      <c r="AM116"/>
    </row>
    <row r="117" spans="2:39" x14ac:dyDescent="0.35">
      <c r="B117" t="s">
        <v>13</v>
      </c>
      <c r="F117" s="3"/>
      <c r="G117" s="3" t="s">
        <v>13</v>
      </c>
      <c r="H117" s="3"/>
      <c r="I117" s="3"/>
      <c r="J117" s="3"/>
      <c r="K117" s="3"/>
      <c r="L117" s="3"/>
      <c r="AG117" s="3" t="s">
        <v>13</v>
      </c>
      <c r="AJ117" s="3" t="s">
        <v>13</v>
      </c>
      <c r="AL117"/>
      <c r="AM117"/>
    </row>
    <row r="118" spans="2:39" x14ac:dyDescent="0.35">
      <c r="B118" t="s">
        <v>13</v>
      </c>
      <c r="F118" s="3"/>
      <c r="G118" s="3" t="s">
        <v>13</v>
      </c>
      <c r="H118" s="3"/>
      <c r="I118" s="3"/>
      <c r="J118" s="3"/>
      <c r="K118" s="3"/>
      <c r="L118" s="3"/>
      <c r="AG118" s="3" t="s">
        <v>13</v>
      </c>
      <c r="AJ118" s="3" t="s">
        <v>13</v>
      </c>
      <c r="AL118"/>
      <c r="AM118"/>
    </row>
    <row r="119" spans="2:39" x14ac:dyDescent="0.35">
      <c r="B119" t="s">
        <v>13</v>
      </c>
      <c r="F119" s="3"/>
      <c r="G119" s="3" t="s">
        <v>13</v>
      </c>
      <c r="H119" s="3"/>
      <c r="I119" s="3"/>
      <c r="J119" s="3"/>
      <c r="K119" s="3"/>
      <c r="L119" s="3"/>
      <c r="AL119"/>
      <c r="AM119"/>
    </row>
    <row r="120" spans="2:39" x14ac:dyDescent="0.35">
      <c r="B120" t="s">
        <v>13</v>
      </c>
      <c r="F120" s="3"/>
      <c r="G120" s="3" t="s">
        <v>13</v>
      </c>
      <c r="H120" s="3"/>
      <c r="I120" s="3"/>
      <c r="J120" s="3"/>
      <c r="K120" s="3"/>
      <c r="L120" s="3"/>
      <c r="AL120"/>
      <c r="AM120"/>
    </row>
    <row r="121" spans="2:39" x14ac:dyDescent="0.35">
      <c r="B121" t="s">
        <v>13</v>
      </c>
      <c r="E121"/>
      <c r="AL121"/>
      <c r="AM121"/>
    </row>
    <row r="122" spans="2:39" x14ac:dyDescent="0.35">
      <c r="B122" t="s">
        <v>13</v>
      </c>
      <c r="E122"/>
      <c r="AL122"/>
      <c r="AM122"/>
    </row>
    <row r="123" spans="2:39" x14ac:dyDescent="0.35">
      <c r="B123" t="s">
        <v>13</v>
      </c>
      <c r="E123"/>
      <c r="AL123"/>
      <c r="AM123"/>
    </row>
    <row r="124" spans="2:39" x14ac:dyDescent="0.35">
      <c r="B124" t="s">
        <v>13</v>
      </c>
      <c r="E124"/>
      <c r="AL124"/>
      <c r="AM124"/>
    </row>
    <row r="125" spans="2:39" x14ac:dyDescent="0.35">
      <c r="B125" t="s">
        <v>13</v>
      </c>
      <c r="E125"/>
      <c r="AL125"/>
      <c r="AM125"/>
    </row>
    <row r="126" spans="2:39" x14ac:dyDescent="0.35">
      <c r="B126" t="s">
        <v>13</v>
      </c>
      <c r="E126"/>
      <c r="AL126"/>
      <c r="AM126"/>
    </row>
    <row r="127" spans="2:39" x14ac:dyDescent="0.35">
      <c r="B127" t="s">
        <v>13</v>
      </c>
      <c r="E127"/>
      <c r="AL127"/>
      <c r="AM127"/>
    </row>
    <row r="128" spans="2:39" x14ac:dyDescent="0.35">
      <c r="B128" t="s">
        <v>13</v>
      </c>
      <c r="E128"/>
      <c r="AL128"/>
      <c r="AM128"/>
    </row>
    <row r="129" spans="2:39" x14ac:dyDescent="0.35">
      <c r="B129" t="s">
        <v>13</v>
      </c>
      <c r="E129"/>
      <c r="AL129"/>
      <c r="AM129"/>
    </row>
    <row r="130" spans="2:39" x14ac:dyDescent="0.35">
      <c r="B130" t="s">
        <v>13</v>
      </c>
      <c r="E130"/>
      <c r="AL130"/>
      <c r="AM130"/>
    </row>
    <row r="131" spans="2:39" x14ac:dyDescent="0.35">
      <c r="B131" t="s">
        <v>13</v>
      </c>
      <c r="E131"/>
      <c r="AL131"/>
      <c r="AM131"/>
    </row>
    <row r="132" spans="2:39" x14ac:dyDescent="0.35">
      <c r="B132" t="s">
        <v>13</v>
      </c>
      <c r="E132"/>
      <c r="AL132"/>
      <c r="AM132"/>
    </row>
    <row r="133" spans="2:39" x14ac:dyDescent="0.35">
      <c r="B133" t="s">
        <v>13</v>
      </c>
      <c r="E133"/>
      <c r="AL133"/>
      <c r="AM133"/>
    </row>
    <row r="134" spans="2:39" x14ac:dyDescent="0.35">
      <c r="B134" t="s">
        <v>13</v>
      </c>
      <c r="E134"/>
      <c r="AL134"/>
      <c r="AM134"/>
    </row>
    <row r="135" spans="2:39" x14ac:dyDescent="0.35">
      <c r="B135" t="s">
        <v>13</v>
      </c>
      <c r="E135"/>
      <c r="AL135"/>
      <c r="AM135"/>
    </row>
    <row r="136" spans="2:39" x14ac:dyDescent="0.35">
      <c r="B136" t="s">
        <v>13</v>
      </c>
      <c r="E136"/>
      <c r="AL136"/>
      <c r="AM136"/>
    </row>
    <row r="137" spans="2:39" x14ac:dyDescent="0.35">
      <c r="B137" t="s">
        <v>13</v>
      </c>
      <c r="E137"/>
      <c r="AL137"/>
      <c r="AM137"/>
    </row>
    <row r="138" spans="2:39" x14ac:dyDescent="0.35">
      <c r="B138" t="s">
        <v>13</v>
      </c>
      <c r="E138"/>
      <c r="AL138"/>
      <c r="AM138"/>
    </row>
    <row r="139" spans="2:39" x14ac:dyDescent="0.35">
      <c r="B139" t="s">
        <v>13</v>
      </c>
      <c r="E139"/>
      <c r="AL139"/>
      <c r="AM139"/>
    </row>
    <row r="140" spans="2:39" x14ac:dyDescent="0.35">
      <c r="B140" t="s">
        <v>13</v>
      </c>
      <c r="E140"/>
      <c r="AL140"/>
      <c r="AM140"/>
    </row>
    <row r="141" spans="2:39" x14ac:dyDescent="0.35">
      <c r="B141" t="s">
        <v>13</v>
      </c>
      <c r="E141"/>
      <c r="AL141"/>
      <c r="AM141"/>
    </row>
    <row r="142" spans="2:39" x14ac:dyDescent="0.35">
      <c r="B142" t="s">
        <v>13</v>
      </c>
      <c r="E142"/>
      <c r="AL142"/>
      <c r="AM142"/>
    </row>
    <row r="143" spans="2:39" x14ac:dyDescent="0.35">
      <c r="B143" t="s">
        <v>13</v>
      </c>
      <c r="E143"/>
      <c r="AL143"/>
      <c r="AM143"/>
    </row>
    <row r="144" spans="2:39" x14ac:dyDescent="0.35">
      <c r="B144" t="s">
        <v>13</v>
      </c>
      <c r="E144"/>
      <c r="AL144"/>
      <c r="AM144"/>
    </row>
    <row r="145" spans="2:39" x14ac:dyDescent="0.35">
      <c r="B145" t="s">
        <v>13</v>
      </c>
      <c r="E145"/>
      <c r="AL145"/>
      <c r="AM145"/>
    </row>
    <row r="146" spans="2:39" x14ac:dyDescent="0.35">
      <c r="B146" t="s">
        <v>13</v>
      </c>
      <c r="E146"/>
      <c r="AL146"/>
      <c r="AM146"/>
    </row>
    <row r="147" spans="2:39" x14ac:dyDescent="0.35">
      <c r="B147" t="s">
        <v>13</v>
      </c>
      <c r="E147"/>
      <c r="AL147"/>
      <c r="AM147"/>
    </row>
    <row r="148" spans="2:39" x14ac:dyDescent="0.35">
      <c r="B148" t="s">
        <v>13</v>
      </c>
      <c r="E148"/>
      <c r="AL148"/>
      <c r="AM148"/>
    </row>
    <row r="149" spans="2:39" x14ac:dyDescent="0.35">
      <c r="B149" t="s">
        <v>13</v>
      </c>
      <c r="E149"/>
      <c r="AL149"/>
      <c r="AM149"/>
    </row>
    <row r="150" spans="2:39" x14ac:dyDescent="0.35">
      <c r="B150" t="s">
        <v>13</v>
      </c>
      <c r="E150"/>
      <c r="AL150"/>
      <c r="AM150"/>
    </row>
    <row r="151" spans="2:39" x14ac:dyDescent="0.35">
      <c r="B151" t="s">
        <v>13</v>
      </c>
      <c r="E151"/>
      <c r="AL151"/>
      <c r="AM151"/>
    </row>
    <row r="152" spans="2:39" x14ac:dyDescent="0.35">
      <c r="B152" t="s">
        <v>13</v>
      </c>
      <c r="E152"/>
      <c r="AL152"/>
      <c r="AM152"/>
    </row>
    <row r="153" spans="2:39" x14ac:dyDescent="0.35">
      <c r="B153" t="s">
        <v>13</v>
      </c>
      <c r="E153"/>
      <c r="AL153"/>
      <c r="AM153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U133"/>
  <sheetViews>
    <sheetView topLeftCell="A48" workbookViewId="0">
      <selection activeCell="A61" sqref="A61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0.90625" style="6"/>
    <col min="40" max="40" width="14.453125" customWidth="1"/>
    <col min="44" max="44" width="16.26953125" customWidth="1"/>
    <col min="46" max="46" width="13.816406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45047</v>
      </c>
      <c r="G2" s="1">
        <v>45048</v>
      </c>
      <c r="H2" s="1">
        <v>45049</v>
      </c>
      <c r="I2" s="1">
        <v>45050</v>
      </c>
      <c r="J2" s="1">
        <v>45051</v>
      </c>
      <c r="K2" s="1">
        <v>45052</v>
      </c>
      <c r="L2" s="1">
        <v>45053</v>
      </c>
      <c r="M2" s="1">
        <v>45054</v>
      </c>
      <c r="N2" s="1">
        <v>45055</v>
      </c>
      <c r="O2" s="1">
        <v>45056</v>
      </c>
      <c r="P2" s="1">
        <v>45057</v>
      </c>
      <c r="Q2" s="1">
        <v>45058</v>
      </c>
      <c r="R2" s="1">
        <v>45059</v>
      </c>
      <c r="S2" s="1">
        <v>45060</v>
      </c>
      <c r="T2" s="1">
        <v>45061</v>
      </c>
      <c r="U2" s="1">
        <v>45062</v>
      </c>
      <c r="V2" s="1">
        <v>45063</v>
      </c>
      <c r="W2" s="1">
        <v>45064</v>
      </c>
      <c r="X2" s="1">
        <v>45065</v>
      </c>
      <c r="Y2" s="1">
        <v>45066</v>
      </c>
      <c r="Z2" s="1">
        <v>45067</v>
      </c>
      <c r="AA2" s="1">
        <v>45068</v>
      </c>
      <c r="AB2" s="1">
        <v>45069</v>
      </c>
      <c r="AC2" s="1">
        <v>45070</v>
      </c>
      <c r="AD2" s="1">
        <v>45071</v>
      </c>
      <c r="AE2" s="1">
        <v>45072</v>
      </c>
      <c r="AF2" s="1">
        <v>45073</v>
      </c>
      <c r="AG2" s="1">
        <v>45074</v>
      </c>
      <c r="AH2" s="1">
        <v>45075</v>
      </c>
      <c r="AI2" s="1">
        <v>45076</v>
      </c>
      <c r="AJ2" s="1">
        <v>45077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+'Abr-23'!AJ99</f>
        <v>2350889.273683968</v>
      </c>
      <c r="G3" s="3">
        <f t="shared" ref="G3:AJ3" si="0">+F79</f>
        <v>2350889.273683968</v>
      </c>
      <c r="H3" s="3">
        <f t="shared" si="0"/>
        <v>2340099.273683968</v>
      </c>
      <c r="I3" s="3">
        <f t="shared" si="0"/>
        <v>2832409.273683968</v>
      </c>
      <c r="J3" s="3">
        <f t="shared" si="0"/>
        <v>3077134.273683968</v>
      </c>
      <c r="K3" s="3">
        <f t="shared" si="0"/>
        <v>3063229.273683968</v>
      </c>
      <c r="L3" s="3">
        <f t="shared" si="0"/>
        <v>3000229.273683968</v>
      </c>
      <c r="M3" s="3">
        <f t="shared" si="0"/>
        <v>3000229.273683968</v>
      </c>
      <c r="N3" s="3">
        <f t="shared" si="0"/>
        <v>3095417.273683968</v>
      </c>
      <c r="O3" s="3">
        <f t="shared" si="0"/>
        <v>3069667.273683968</v>
      </c>
      <c r="P3" s="3">
        <f t="shared" si="0"/>
        <v>3004245.273683968</v>
      </c>
      <c r="Q3" s="3">
        <f t="shared" si="0"/>
        <v>3187665.273683968</v>
      </c>
      <c r="R3" s="3">
        <f t="shared" si="0"/>
        <v>3187665.273683968</v>
      </c>
      <c r="S3" s="3">
        <f t="shared" si="0"/>
        <v>3187665.273683968</v>
      </c>
      <c r="T3" s="3">
        <f t="shared" si="0"/>
        <v>3187665.273683968</v>
      </c>
      <c r="U3" s="3">
        <f t="shared" si="0"/>
        <v>3203579.273683968</v>
      </c>
      <c r="V3" s="3">
        <f t="shared" si="0"/>
        <v>3245579.273683968</v>
      </c>
      <c r="W3" s="3">
        <f t="shared" si="0"/>
        <v>3134683.273683968</v>
      </c>
      <c r="X3" s="3">
        <f t="shared" si="0"/>
        <v>3433965.273683968</v>
      </c>
      <c r="Y3" s="3">
        <f t="shared" si="0"/>
        <v>3424265.273683968</v>
      </c>
      <c r="Z3" s="3">
        <f t="shared" si="0"/>
        <v>3189389.273683968</v>
      </c>
      <c r="AA3" s="3">
        <f t="shared" si="0"/>
        <v>3189389.273683968</v>
      </c>
      <c r="AB3" s="3">
        <f t="shared" si="0"/>
        <v>3250841.1868418627</v>
      </c>
      <c r="AC3" s="3">
        <f t="shared" si="0"/>
        <v>3250841.1868418627</v>
      </c>
      <c r="AD3" s="3">
        <f t="shared" si="0"/>
        <v>3250841.1868418627</v>
      </c>
      <c r="AE3" s="3">
        <f t="shared" si="0"/>
        <v>3425219.1868418627</v>
      </c>
      <c r="AF3" s="3">
        <f t="shared" si="0"/>
        <v>3409379.1868418627</v>
      </c>
      <c r="AG3" s="3">
        <f t="shared" si="0"/>
        <v>3409379.1868418627</v>
      </c>
      <c r="AH3" s="3">
        <f t="shared" si="0"/>
        <v>3409379.1868418627</v>
      </c>
      <c r="AI3" s="3">
        <f t="shared" si="0"/>
        <v>3670423.1868418627</v>
      </c>
      <c r="AJ3" s="3">
        <f t="shared" si="0"/>
        <v>4019179.1868418627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1908</v>
      </c>
      <c r="B6" s="66" t="s">
        <v>1909</v>
      </c>
      <c r="C6" s="38">
        <v>45013</v>
      </c>
      <c r="D6" s="39">
        <v>87189</v>
      </c>
      <c r="E6" s="40" t="s">
        <v>1345</v>
      </c>
      <c r="F6" s="3"/>
      <c r="G6" s="3"/>
      <c r="H6" s="3"/>
      <c r="I6" s="3">
        <v>87189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87189</v>
      </c>
      <c r="AL6" s="22"/>
    </row>
    <row r="7" spans="1:39" x14ac:dyDescent="0.35">
      <c r="A7" s="41" t="s">
        <v>1918</v>
      </c>
      <c r="B7" t="s">
        <v>1919</v>
      </c>
      <c r="C7" s="5">
        <v>45024</v>
      </c>
      <c r="D7" s="3">
        <v>45855</v>
      </c>
      <c r="E7" s="42" t="s">
        <v>782</v>
      </c>
      <c r="F7" s="3"/>
      <c r="G7" s="3"/>
      <c r="H7" s="3">
        <v>45855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45855</v>
      </c>
      <c r="AL7" s="22"/>
    </row>
    <row r="8" spans="1:39" x14ac:dyDescent="0.35">
      <c r="A8" s="41" t="s">
        <v>1927</v>
      </c>
      <c r="B8" t="s">
        <v>1929</v>
      </c>
      <c r="C8" s="5">
        <v>45029</v>
      </c>
      <c r="D8" s="3">
        <v>108490</v>
      </c>
      <c r="E8" s="42" t="s">
        <v>782</v>
      </c>
      <c r="F8" s="3"/>
      <c r="G8" s="3"/>
      <c r="H8" s="3">
        <v>108490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108490</v>
      </c>
      <c r="AL8" s="22"/>
    </row>
    <row r="9" spans="1:39" x14ac:dyDescent="0.35">
      <c r="A9" s="41" t="s">
        <v>1928</v>
      </c>
      <c r="B9" t="s">
        <v>1930</v>
      </c>
      <c r="C9" s="5">
        <v>45029</v>
      </c>
      <c r="D9" s="3">
        <v>87189</v>
      </c>
      <c r="E9" s="42" t="s">
        <v>782</v>
      </c>
      <c r="F9" s="3"/>
      <c r="G9" s="3"/>
      <c r="H9" s="3">
        <v>87189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87189</v>
      </c>
      <c r="AL9" s="22"/>
    </row>
    <row r="10" spans="1:39" x14ac:dyDescent="0.35">
      <c r="A10" s="41" t="s">
        <v>1931</v>
      </c>
      <c r="B10" t="s">
        <v>1932</v>
      </c>
      <c r="C10" s="5">
        <v>45031</v>
      </c>
      <c r="D10" s="3">
        <v>128522</v>
      </c>
      <c r="E10" s="42" t="s">
        <v>782</v>
      </c>
      <c r="F10" s="3"/>
      <c r="G10" s="3"/>
      <c r="H10" s="3">
        <v>128522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128522</v>
      </c>
      <c r="AL10" s="22"/>
    </row>
    <row r="11" spans="1:39" x14ac:dyDescent="0.35">
      <c r="A11" s="41" t="s">
        <v>1936</v>
      </c>
      <c r="B11" t="s">
        <v>1937</v>
      </c>
      <c r="C11" s="5">
        <v>45027</v>
      </c>
      <c r="D11" s="3">
        <v>139585</v>
      </c>
      <c r="E11" s="42" t="s">
        <v>1345</v>
      </c>
      <c r="F11" s="3"/>
      <c r="G11" s="3"/>
      <c r="H11" s="3"/>
      <c r="I11" s="3">
        <v>139585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139585</v>
      </c>
      <c r="AL11" s="22"/>
    </row>
    <row r="12" spans="1:39" x14ac:dyDescent="0.35">
      <c r="A12" s="41" t="s">
        <v>1938</v>
      </c>
      <c r="B12" t="s">
        <v>1939</v>
      </c>
      <c r="C12" s="5">
        <v>45027</v>
      </c>
      <c r="D12" s="3">
        <v>87189</v>
      </c>
      <c r="E12" s="42" t="s">
        <v>782</v>
      </c>
      <c r="F12" s="3"/>
      <c r="G12" s="3"/>
      <c r="H12" s="3">
        <v>87189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87189</v>
      </c>
      <c r="AL12" s="22"/>
    </row>
    <row r="13" spans="1:39" x14ac:dyDescent="0.35">
      <c r="A13" s="41" t="s">
        <v>1940</v>
      </c>
      <c r="B13" t="s">
        <v>1941</v>
      </c>
      <c r="C13" s="5">
        <v>45027</v>
      </c>
      <c r="D13" s="3">
        <v>45855</v>
      </c>
      <c r="E13" s="42" t="s">
        <v>782</v>
      </c>
      <c r="F13" s="3"/>
      <c r="G13" s="3"/>
      <c r="H13" s="3">
        <v>45855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45855</v>
      </c>
      <c r="AL13" s="22"/>
    </row>
    <row r="14" spans="1:39" x14ac:dyDescent="0.35">
      <c r="A14" s="41" t="s">
        <v>1950</v>
      </c>
      <c r="B14" t="s">
        <v>1951</v>
      </c>
      <c r="C14" s="5">
        <v>45034</v>
      </c>
      <c r="D14" s="3">
        <v>173855</v>
      </c>
      <c r="E14" s="42" t="s">
        <v>1345</v>
      </c>
      <c r="F14" s="3"/>
      <c r="G14" s="3"/>
      <c r="H14" s="3"/>
      <c r="I14" s="3">
        <v>173855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173855</v>
      </c>
      <c r="AL14" s="22"/>
    </row>
    <row r="15" spans="1:39" x14ac:dyDescent="0.35">
      <c r="A15" s="41" t="s">
        <v>1952</v>
      </c>
      <c r="B15" t="s">
        <v>1953</v>
      </c>
      <c r="C15" s="5">
        <v>45035</v>
      </c>
      <c r="D15" s="3">
        <v>95188</v>
      </c>
      <c r="E15" s="42" t="s">
        <v>1441</v>
      </c>
      <c r="F15" s="3"/>
      <c r="G15" s="3"/>
      <c r="H15" s="3"/>
      <c r="I15" s="3" t="s">
        <v>13</v>
      </c>
      <c r="K15" s="3"/>
      <c r="L15" s="3"/>
      <c r="M15" s="3">
        <v>95188</v>
      </c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95188</v>
      </c>
      <c r="AL15" s="22"/>
      <c r="AM15"/>
    </row>
    <row r="16" spans="1:39" x14ac:dyDescent="0.35">
      <c r="A16" s="41" t="s">
        <v>1954</v>
      </c>
      <c r="B16" t="s">
        <v>1955</v>
      </c>
      <c r="C16" s="5">
        <v>45040</v>
      </c>
      <c r="D16" s="3">
        <f>35760*2*3*1.19</f>
        <v>255326.4</v>
      </c>
      <c r="E16" s="42" t="s">
        <v>1345</v>
      </c>
      <c r="F16" s="3"/>
      <c r="G16" s="3"/>
      <c r="H16" s="3"/>
      <c r="I16" s="236">
        <v>255326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255326</v>
      </c>
      <c r="AL16" s="22"/>
      <c r="AM16"/>
    </row>
    <row r="17" spans="1:39" x14ac:dyDescent="0.35">
      <c r="A17" s="41" t="s">
        <v>1956</v>
      </c>
      <c r="B17" t="s">
        <v>827</v>
      </c>
      <c r="C17" s="5">
        <v>45040</v>
      </c>
      <c r="D17" s="3">
        <f>35760*(439/1216)*2*2*1.19</f>
        <v>61451.913157894727</v>
      </c>
      <c r="E17" s="42" t="s">
        <v>1441</v>
      </c>
      <c r="F17" s="3"/>
      <c r="G17" s="3"/>
      <c r="H17" s="3"/>
      <c r="I17" s="3" t="s">
        <v>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>
        <f>35760*(439/1216)*2*2*1.19</f>
        <v>61451.913157894727</v>
      </c>
      <c r="AB17" s="3"/>
      <c r="AC17" s="3"/>
      <c r="AD17" s="3"/>
      <c r="AE17" s="3"/>
      <c r="AF17" s="3"/>
      <c r="AG17" s="3"/>
      <c r="AH17" s="3"/>
      <c r="AI17" s="3"/>
      <c r="AK17" s="3">
        <f>SUM($F17:AJ17)</f>
        <v>61451.913157894727</v>
      </c>
      <c r="AL17" s="22"/>
      <c r="AM17"/>
    </row>
    <row r="18" spans="1:39" x14ac:dyDescent="0.35">
      <c r="A18" s="41" t="s">
        <v>1964</v>
      </c>
      <c r="B18" t="s">
        <v>1966</v>
      </c>
      <c r="C18" s="5">
        <v>45044</v>
      </c>
      <c r="D18" s="3">
        <v>45855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45855</v>
      </c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45855</v>
      </c>
      <c r="AL18" s="22"/>
      <c r="AM18"/>
    </row>
    <row r="19" spans="1:39" x14ac:dyDescent="0.35">
      <c r="A19" s="41" t="s">
        <v>1965</v>
      </c>
      <c r="B19" t="s">
        <v>1967</v>
      </c>
      <c r="C19" s="5">
        <v>45044</v>
      </c>
      <c r="D19" s="3">
        <v>45855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v>45855</v>
      </c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45855</v>
      </c>
      <c r="AL19" s="22"/>
      <c r="AM19"/>
    </row>
    <row r="20" spans="1:39" x14ac:dyDescent="0.35">
      <c r="A20" s="41" t="s">
        <v>1968</v>
      </c>
      <c r="B20" t="s">
        <v>1970</v>
      </c>
      <c r="C20" s="5">
        <v>45044</v>
      </c>
      <c r="D20" s="3">
        <v>45855</v>
      </c>
      <c r="E20" s="42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45855</v>
      </c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45855</v>
      </c>
      <c r="AL20" s="22"/>
      <c r="AM20"/>
    </row>
    <row r="21" spans="1:39" ht="15" thickBot="1" x14ac:dyDescent="0.4">
      <c r="A21" s="43" t="s">
        <v>1969</v>
      </c>
      <c r="B21" s="76" t="s">
        <v>1971</v>
      </c>
      <c r="C21" s="45">
        <v>45044</v>
      </c>
      <c r="D21" s="46">
        <v>45855</v>
      </c>
      <c r="E21" s="47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v>45855</v>
      </c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45855</v>
      </c>
      <c r="AL21" s="22"/>
      <c r="AM21"/>
    </row>
    <row r="22" spans="1:39" x14ac:dyDescent="0.35">
      <c r="A22" s="41" t="s">
        <v>1974</v>
      </c>
      <c r="B22" t="s">
        <v>1972</v>
      </c>
      <c r="C22" s="5">
        <v>45048</v>
      </c>
      <c r="D22" s="3">
        <v>87189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>
        <v>87189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87189</v>
      </c>
      <c r="AL22" s="22"/>
      <c r="AM22"/>
    </row>
    <row r="23" spans="1:39" x14ac:dyDescent="0.35">
      <c r="A23" s="41" t="s">
        <v>1975</v>
      </c>
      <c r="B23" t="s">
        <v>1973</v>
      </c>
      <c r="C23" s="5">
        <v>45048</v>
      </c>
      <c r="D23" s="3">
        <v>45855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>
        <v>45855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45855</v>
      </c>
      <c r="AL23" s="22"/>
      <c r="AM23"/>
    </row>
    <row r="24" spans="1:39" x14ac:dyDescent="0.35">
      <c r="A24" s="41" t="s">
        <v>1986</v>
      </c>
      <c r="B24" t="s">
        <v>1988</v>
      </c>
      <c r="C24" s="5">
        <v>45049</v>
      </c>
      <c r="D24" s="3">
        <v>87189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87189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87189</v>
      </c>
      <c r="AL24" s="22"/>
      <c r="AM24"/>
    </row>
    <row r="25" spans="1:39" x14ac:dyDescent="0.35">
      <c r="A25" s="41" t="s">
        <v>1987</v>
      </c>
      <c r="B25" t="s">
        <v>1989</v>
      </c>
      <c r="C25" s="5">
        <v>45049</v>
      </c>
      <c r="D25" s="3">
        <v>87189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>
        <v>87189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87189</v>
      </c>
      <c r="AL25" s="22"/>
      <c r="AM25"/>
    </row>
    <row r="26" spans="1:39" x14ac:dyDescent="0.35">
      <c r="A26" s="41" t="s">
        <v>1980</v>
      </c>
      <c r="B26" t="s">
        <v>1981</v>
      </c>
      <c r="C26" s="5">
        <v>45051</v>
      </c>
      <c r="D26" s="3">
        <v>87189</v>
      </c>
      <c r="E26" s="42" t="s">
        <v>1345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>
        <v>87189</v>
      </c>
      <c r="AI26" s="3"/>
      <c r="AK26" s="3">
        <f>SUM($F26:AJ26)</f>
        <v>87189</v>
      </c>
      <c r="AL26" s="22"/>
      <c r="AM26"/>
    </row>
    <row r="27" spans="1:39" x14ac:dyDescent="0.35">
      <c r="A27" s="41" t="s">
        <v>1991</v>
      </c>
      <c r="B27" t="s">
        <v>1180</v>
      </c>
      <c r="C27" s="5">
        <v>45055</v>
      </c>
      <c r="D27" s="3">
        <v>87189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>
        <v>87189</v>
      </c>
      <c r="AE27" s="3"/>
      <c r="AF27" s="3"/>
      <c r="AG27" s="3"/>
      <c r="AH27" s="3"/>
      <c r="AI27" s="3"/>
      <c r="AK27" s="3">
        <f>SUM($F27:AJ27)</f>
        <v>87189</v>
      </c>
      <c r="AL27" s="22"/>
      <c r="AM27"/>
    </row>
    <row r="28" spans="1:39" x14ac:dyDescent="0.35">
      <c r="A28" s="41" t="s">
        <v>1992</v>
      </c>
      <c r="B28" t="s">
        <v>1990</v>
      </c>
      <c r="C28" s="5">
        <v>45055</v>
      </c>
      <c r="D28" s="3">
        <v>87189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>
        <v>87189</v>
      </c>
      <c r="AE28" s="3"/>
      <c r="AF28" s="3"/>
      <c r="AG28" s="3"/>
      <c r="AH28" s="3"/>
      <c r="AI28" s="3"/>
      <c r="AK28" s="3">
        <f>SUM($F28:AJ28)</f>
        <v>87189</v>
      </c>
      <c r="AL28" s="22"/>
      <c r="AM28"/>
    </row>
    <row r="29" spans="1:39" x14ac:dyDescent="0.35">
      <c r="A29" s="41" t="s">
        <v>1994</v>
      </c>
      <c r="B29" t="s">
        <v>1995</v>
      </c>
      <c r="C29" s="5">
        <v>45056</v>
      </c>
      <c r="D29" s="3">
        <v>173855</v>
      </c>
      <c r="E29" s="42" t="s">
        <v>1345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>
        <v>173855</v>
      </c>
      <c r="AI29" s="3"/>
      <c r="AK29" s="3">
        <f>SUM($F29:AJ29)</f>
        <v>173855</v>
      </c>
      <c r="AL29" s="22"/>
      <c r="AM29"/>
    </row>
    <row r="30" spans="1:39" x14ac:dyDescent="0.35">
      <c r="A30" s="41" t="s">
        <v>2000</v>
      </c>
      <c r="B30" t="s">
        <v>2001</v>
      </c>
      <c r="C30" s="5">
        <v>45064</v>
      </c>
      <c r="D30" s="3">
        <v>87189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 t="s">
        <v>13</v>
      </c>
      <c r="P30" s="3"/>
      <c r="Q30" s="3"/>
      <c r="R30" s="3"/>
      <c r="S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>
        <v>87189</v>
      </c>
      <c r="AK30" s="3">
        <f>SUM($F30:AJ30)</f>
        <v>87189</v>
      </c>
      <c r="AL30" s="22"/>
      <c r="AM30"/>
    </row>
    <row r="31" spans="1:39" x14ac:dyDescent="0.35">
      <c r="A31" s="41" t="s">
        <v>2002</v>
      </c>
      <c r="B31" t="s">
        <v>2004</v>
      </c>
      <c r="C31" s="5">
        <v>45065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>
        <v>87189</v>
      </c>
      <c r="AK31" s="3">
        <f>SUM($F31:AJ31)</f>
        <v>87189</v>
      </c>
      <c r="AL31" s="22"/>
      <c r="AM31"/>
    </row>
    <row r="32" spans="1:39" x14ac:dyDescent="0.35">
      <c r="A32" s="41" t="s">
        <v>2020</v>
      </c>
      <c r="B32" t="s">
        <v>2021</v>
      </c>
      <c r="C32" s="5">
        <v>45065</v>
      </c>
      <c r="D32" s="3">
        <v>-45855</v>
      </c>
      <c r="E32" s="42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-45855</v>
      </c>
      <c r="AK32" s="3">
        <f>SUM($F32:AJ32)</f>
        <v>-45855</v>
      </c>
      <c r="AL32" s="22"/>
      <c r="AM32"/>
    </row>
    <row r="33" spans="1:39" x14ac:dyDescent="0.35">
      <c r="A33" s="41" t="s">
        <v>2003</v>
      </c>
      <c r="B33" t="s">
        <v>2005</v>
      </c>
      <c r="C33" s="5">
        <v>45065</v>
      </c>
      <c r="D33" s="3">
        <v>45855</v>
      </c>
      <c r="E33" s="42" t="s">
        <v>782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>
        <v>45855</v>
      </c>
      <c r="AK33" s="3">
        <f>SUM($F33:AJ33)</f>
        <v>45855</v>
      </c>
      <c r="AL33" s="22"/>
      <c r="AM33"/>
    </row>
    <row r="34" spans="1:39" x14ac:dyDescent="0.35">
      <c r="A34" s="41" t="s">
        <v>2006</v>
      </c>
      <c r="B34" t="s">
        <v>2008</v>
      </c>
      <c r="C34" s="5">
        <v>45065</v>
      </c>
      <c r="D34" s="3">
        <v>87189</v>
      </c>
      <c r="E34" s="42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>
        <v>87189</v>
      </c>
      <c r="AK34" s="3">
        <f>SUM($F34:AJ34)</f>
        <v>87189</v>
      </c>
      <c r="AL34" s="22"/>
      <c r="AM34"/>
    </row>
    <row r="35" spans="1:39" x14ac:dyDescent="0.35">
      <c r="A35" s="41" t="s">
        <v>2007</v>
      </c>
      <c r="B35" t="s">
        <v>2009</v>
      </c>
      <c r="C35" s="5">
        <v>45065</v>
      </c>
      <c r="D35" s="3">
        <v>87189</v>
      </c>
      <c r="E35" s="42" t="s">
        <v>782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>
        <v>87189</v>
      </c>
      <c r="AK35" s="3">
        <f>SUM($F35:AJ35)</f>
        <v>87189</v>
      </c>
      <c r="AL35" s="22"/>
      <c r="AM35"/>
    </row>
    <row r="36" spans="1:39" x14ac:dyDescent="0.35">
      <c r="A36" s="41" t="s">
        <v>2012</v>
      </c>
      <c r="B36" t="s">
        <v>2013</v>
      </c>
      <c r="C36" s="5">
        <v>45072</v>
      </c>
      <c r="D36" s="3">
        <v>87189</v>
      </c>
      <c r="E36" s="42" t="s">
        <v>1345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0</v>
      </c>
      <c r="AL36" s="22"/>
      <c r="AM36"/>
    </row>
    <row r="37" spans="1:39" x14ac:dyDescent="0.35">
      <c r="A37" s="41" t="s">
        <v>2014</v>
      </c>
      <c r="B37" t="s">
        <v>2015</v>
      </c>
      <c r="C37" s="5">
        <v>45065</v>
      </c>
      <c r="D37" s="3">
        <v>45855</v>
      </c>
      <c r="E37" s="42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  <c r="AM37"/>
    </row>
    <row r="38" spans="1:39" x14ac:dyDescent="0.35">
      <c r="A38" s="41"/>
      <c r="C38" s="5"/>
      <c r="D38" s="3"/>
      <c r="E38" s="4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0</v>
      </c>
      <c r="AL38" s="22"/>
      <c r="AM38"/>
    </row>
    <row r="39" spans="1:39" x14ac:dyDescent="0.35">
      <c r="A39" s="41" t="s">
        <v>1998</v>
      </c>
      <c r="C39" s="5">
        <v>45062</v>
      </c>
      <c r="D39" s="3">
        <v>42000</v>
      </c>
      <c r="E39" s="4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v>42000</v>
      </c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42000</v>
      </c>
      <c r="AL39" s="22"/>
      <c r="AM39"/>
    </row>
    <row r="40" spans="1:39" ht="15" thickBot="1" x14ac:dyDescent="0.4">
      <c r="A40" s="43" t="s">
        <v>1997</v>
      </c>
      <c r="B40" s="76"/>
      <c r="C40" s="45">
        <v>45061</v>
      </c>
      <c r="D40" s="46">
        <v>15914</v>
      </c>
      <c r="E40" s="4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>
        <v>15914</v>
      </c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15914</v>
      </c>
      <c r="AL40" s="22"/>
    </row>
    <row r="41" spans="1:39" x14ac:dyDescent="0.35">
      <c r="A41" t="s">
        <v>13</v>
      </c>
      <c r="D41" s="3" t="s">
        <v>13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 t="s">
        <v>13</v>
      </c>
      <c r="AD41" s="3"/>
      <c r="AE41" s="3"/>
      <c r="AF41" s="3"/>
      <c r="AG41" s="3"/>
      <c r="AH41" s="3"/>
      <c r="AI41" s="3"/>
      <c r="AK41" s="324" t="s">
        <v>1962</v>
      </c>
      <c r="AL41" s="22" t="s">
        <v>1352</v>
      </c>
    </row>
    <row r="42" spans="1:39" x14ac:dyDescent="0.35">
      <c r="A42" s="2" t="s">
        <v>1676</v>
      </c>
      <c r="D42" s="3">
        <f>SUM(D22:D38)</f>
        <v>1224644</v>
      </c>
      <c r="F42" s="3">
        <f t="shared" ref="F42:U42" si="1">SUM(F5:F41)</f>
        <v>0</v>
      </c>
      <c r="G42" s="3">
        <f t="shared" si="1"/>
        <v>0</v>
      </c>
      <c r="H42" s="3">
        <f t="shared" si="1"/>
        <v>503100</v>
      </c>
      <c r="I42" s="3">
        <f t="shared" si="1"/>
        <v>655955</v>
      </c>
      <c r="J42" s="3">
        <f t="shared" si="1"/>
        <v>0</v>
      </c>
      <c r="K42" s="3">
        <f t="shared" si="1"/>
        <v>0</v>
      </c>
      <c r="L42" s="3">
        <f t="shared" si="1"/>
        <v>0</v>
      </c>
      <c r="M42" s="3">
        <f t="shared" si="1"/>
        <v>95188</v>
      </c>
      <c r="N42" s="3">
        <f t="shared" si="1"/>
        <v>0</v>
      </c>
      <c r="O42" s="3">
        <f t="shared" si="1"/>
        <v>0</v>
      </c>
      <c r="P42" s="3">
        <f t="shared" si="1"/>
        <v>183420</v>
      </c>
      <c r="Q42" s="3">
        <f t="shared" si="1"/>
        <v>0</v>
      </c>
      <c r="R42" s="3">
        <f t="shared" si="1"/>
        <v>0</v>
      </c>
      <c r="S42" s="3">
        <f t="shared" si="1"/>
        <v>0</v>
      </c>
      <c r="T42" s="3">
        <f t="shared" si="1"/>
        <v>15914</v>
      </c>
      <c r="U42" s="3">
        <f t="shared" si="1"/>
        <v>42000</v>
      </c>
      <c r="V42" s="3">
        <f>SUM(V6:V41)</f>
        <v>0</v>
      </c>
      <c r="W42" s="3">
        <f t="shared" ref="W42:AJ42" si="2">SUM(W5:W41)</f>
        <v>307422</v>
      </c>
      <c r="X42" s="3">
        <f t="shared" si="2"/>
        <v>0</v>
      </c>
      <c r="Y42" s="3">
        <f t="shared" si="2"/>
        <v>0</v>
      </c>
      <c r="Z42" s="3">
        <f t="shared" si="2"/>
        <v>0</v>
      </c>
      <c r="AA42" s="3">
        <f t="shared" si="2"/>
        <v>61451.913157894727</v>
      </c>
      <c r="AB42" s="3">
        <f t="shared" si="2"/>
        <v>0</v>
      </c>
      <c r="AC42" s="3">
        <f t="shared" si="2"/>
        <v>0</v>
      </c>
      <c r="AD42" s="3">
        <f t="shared" si="2"/>
        <v>174378</v>
      </c>
      <c r="AE42" s="3">
        <f t="shared" si="2"/>
        <v>0</v>
      </c>
      <c r="AF42" s="3">
        <f t="shared" si="2"/>
        <v>0</v>
      </c>
      <c r="AG42" s="3">
        <f t="shared" si="2"/>
        <v>0</v>
      </c>
      <c r="AH42" s="3">
        <f t="shared" si="2"/>
        <v>261044</v>
      </c>
      <c r="AI42" s="3">
        <f t="shared" si="2"/>
        <v>348756</v>
      </c>
      <c r="AJ42" s="3">
        <f t="shared" si="2"/>
        <v>0</v>
      </c>
      <c r="AK42" s="72">
        <f>SUM(AK6:AK40)</f>
        <v>2648628.9131578947</v>
      </c>
      <c r="AL42" s="22">
        <f>+D43-AK42</f>
        <v>133044.39999999991</v>
      </c>
    </row>
    <row r="43" spans="1:39" x14ac:dyDescent="0.35">
      <c r="A43" s="2" t="s">
        <v>1780</v>
      </c>
      <c r="B43" t="s">
        <v>13</v>
      </c>
      <c r="C43" s="3" t="s">
        <v>13</v>
      </c>
      <c r="D43" s="3">
        <f>SUM(D6:D40)</f>
        <v>2781673.3131578946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9" x14ac:dyDescent="0.35">
      <c r="A44" s="2" t="s">
        <v>2</v>
      </c>
      <c r="F44" s="3"/>
      <c r="G44" s="3"/>
      <c r="H44" s="3"/>
      <c r="I44" s="3"/>
      <c r="J44" s="3"/>
      <c r="K44" s="3"/>
      <c r="L44" s="3" t="s">
        <v>13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9" ht="15" thickBot="1" x14ac:dyDescent="0.4">
      <c r="A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9" x14ac:dyDescent="0.35">
      <c r="A46" s="358" t="s">
        <v>1008</v>
      </c>
      <c r="B46" s="37" t="s">
        <v>337</v>
      </c>
      <c r="C46" s="38"/>
      <c r="D46" s="39">
        <v>2400000</v>
      </c>
      <c r="E46" s="40"/>
      <c r="F46" s="3"/>
      <c r="G46" s="3"/>
      <c r="H46" s="3" t="s">
        <v>13</v>
      </c>
      <c r="I46" s="3" t="s">
        <v>13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0</v>
      </c>
    </row>
    <row r="47" spans="1:39" x14ac:dyDescent="0.35">
      <c r="A47" s="41" t="s">
        <v>1924</v>
      </c>
      <c r="B47" t="s">
        <v>337</v>
      </c>
      <c r="C47" s="5">
        <v>45046</v>
      </c>
      <c r="D47" s="3">
        <v>411230.00000000006</v>
      </c>
      <c r="E47" s="42"/>
      <c r="F47" s="3" t="s">
        <v>13</v>
      </c>
      <c r="G47" s="3"/>
      <c r="I47" s="3">
        <v>411230.00000000006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K47" s="3">
        <f>SUM($F47:AJ47)</f>
        <v>411230.00000000006</v>
      </c>
    </row>
    <row r="48" spans="1:39" x14ac:dyDescent="0.35">
      <c r="A48" s="343" t="s">
        <v>1161</v>
      </c>
      <c r="B48" s="24" t="s">
        <v>1959</v>
      </c>
      <c r="C48" s="5">
        <v>44989</v>
      </c>
      <c r="D48" s="3">
        <v>7080</v>
      </c>
      <c r="E48" s="344" t="s">
        <v>4</v>
      </c>
      <c r="F48" s="3"/>
      <c r="G48" s="3"/>
      <c r="H48" s="3"/>
      <c r="I48" s="3"/>
      <c r="J48" s="3"/>
      <c r="K48" s="3"/>
      <c r="L48" s="3"/>
      <c r="M48" s="3"/>
      <c r="O48" s="3"/>
      <c r="P48" s="3" t="s">
        <v>13</v>
      </c>
      <c r="Q48" s="3"/>
      <c r="R48" s="3"/>
      <c r="S48" s="3"/>
      <c r="T48" s="3"/>
      <c r="U48" s="3"/>
      <c r="V48" s="3"/>
      <c r="W48" s="3"/>
      <c r="Y48" s="3"/>
      <c r="Z48" s="3"/>
      <c r="AA48" s="3"/>
      <c r="AB48" s="3"/>
      <c r="AC48" s="3"/>
      <c r="AD48" s="3"/>
      <c r="AE48" s="3" t="s">
        <v>13</v>
      </c>
      <c r="AF48" s="3"/>
      <c r="AG48" s="3"/>
      <c r="AH48" s="3"/>
      <c r="AI48" s="3"/>
      <c r="AJ48" s="3"/>
      <c r="AK48" s="3">
        <f>SUM($F48:AJ48)</f>
        <v>0</v>
      </c>
      <c r="AL48" s="6" t="s">
        <v>13</v>
      </c>
      <c r="AM48" s="6" t="s">
        <v>13</v>
      </c>
    </row>
    <row r="49" spans="1:41" x14ac:dyDescent="0.35">
      <c r="A49" s="343" t="s">
        <v>1921</v>
      </c>
      <c r="B49" s="24">
        <v>1077739</v>
      </c>
      <c r="C49" s="5">
        <v>45021</v>
      </c>
      <c r="D49" s="7">
        <v>103756</v>
      </c>
      <c r="E49" s="344" t="s">
        <v>503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V49" s="3">
        <v>103756</v>
      </c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103756</v>
      </c>
      <c r="AL49" s="6" t="s">
        <v>13</v>
      </c>
      <c r="AN49" s="26"/>
      <c r="AO49" s="3"/>
    </row>
    <row r="50" spans="1:41" ht="15" thickBot="1" x14ac:dyDescent="0.4">
      <c r="A50" s="345" t="s">
        <v>1958</v>
      </c>
      <c r="B50" s="44"/>
      <c r="C50" s="45">
        <v>45023</v>
      </c>
      <c r="D50" s="46">
        <v>4999</v>
      </c>
      <c r="E50" s="347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0</v>
      </c>
      <c r="AL50" s="6" t="s">
        <v>13</v>
      </c>
      <c r="AN50" s="26"/>
      <c r="AO50" s="3"/>
    </row>
    <row r="51" spans="1:41" x14ac:dyDescent="0.35">
      <c r="A51" s="343" t="s">
        <v>1976</v>
      </c>
      <c r="B51" s="24"/>
      <c r="C51" s="5">
        <v>45051</v>
      </c>
      <c r="D51" s="3">
        <v>13905</v>
      </c>
      <c r="E51" s="344"/>
      <c r="F51" s="3"/>
      <c r="G51" s="3"/>
      <c r="H51" s="3"/>
      <c r="I51" s="3"/>
      <c r="J51" s="3">
        <v>13905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13905</v>
      </c>
      <c r="AL51" s="6" t="s">
        <v>1557</v>
      </c>
      <c r="AN51" s="26"/>
      <c r="AO51" s="3"/>
    </row>
    <row r="52" spans="1:41" x14ac:dyDescent="0.35">
      <c r="A52" s="343" t="s">
        <v>1161</v>
      </c>
      <c r="B52" s="24" t="s">
        <v>1978</v>
      </c>
      <c r="C52" s="5">
        <v>45048</v>
      </c>
      <c r="D52" s="3">
        <v>10790</v>
      </c>
      <c r="E52" s="344" t="s">
        <v>1704</v>
      </c>
      <c r="F52" s="3"/>
      <c r="G52" s="3">
        <v>10790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f>SUM($F52:AJ52)</f>
        <v>10790</v>
      </c>
      <c r="AL52" s="6" t="s">
        <v>83</v>
      </c>
      <c r="AN52" s="26"/>
      <c r="AO52" s="3"/>
    </row>
    <row r="53" spans="1:41" x14ac:dyDescent="0.35">
      <c r="A53" s="343" t="s">
        <v>1161</v>
      </c>
      <c r="B53" s="24" t="s">
        <v>1979</v>
      </c>
      <c r="C53" s="5">
        <v>45049</v>
      </c>
      <c r="D53" s="3">
        <v>10790</v>
      </c>
      <c r="E53" s="344" t="s">
        <v>1704</v>
      </c>
      <c r="F53" s="3"/>
      <c r="H53" s="3">
        <v>10790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f>SUM($F53:AJ53)</f>
        <v>10790</v>
      </c>
      <c r="AL53" s="6" t="s">
        <v>83</v>
      </c>
      <c r="AN53" s="26"/>
      <c r="AO53" s="3"/>
    </row>
    <row r="54" spans="1:41" x14ac:dyDescent="0.35">
      <c r="A54" s="343" t="s">
        <v>1982</v>
      </c>
      <c r="B54" s="24"/>
      <c r="C54" s="5">
        <v>45052</v>
      </c>
      <c r="D54" s="3">
        <v>14000</v>
      </c>
      <c r="E54" s="344" t="s">
        <v>503</v>
      </c>
      <c r="F54" s="3"/>
      <c r="H54" s="3"/>
      <c r="I54" s="3"/>
      <c r="J54" s="3"/>
      <c r="K54" s="3">
        <v>14000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14000</v>
      </c>
      <c r="AL54" s="6" t="s">
        <v>81</v>
      </c>
      <c r="AN54" s="26"/>
      <c r="AO54" s="3"/>
    </row>
    <row r="55" spans="1:41" x14ac:dyDescent="0.35">
      <c r="A55" s="343" t="s">
        <v>1983</v>
      </c>
      <c r="B55" s="24"/>
      <c r="C55" s="5">
        <v>45052</v>
      </c>
      <c r="D55" s="3">
        <v>35000</v>
      </c>
      <c r="E55" s="344" t="s">
        <v>503</v>
      </c>
      <c r="F55" s="3"/>
      <c r="H55" s="3"/>
      <c r="I55" s="3"/>
      <c r="J55" s="3"/>
      <c r="K55" s="3">
        <v>35000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f>SUM($F55:AJ55)</f>
        <v>35000</v>
      </c>
      <c r="AL55" s="6" t="s">
        <v>81</v>
      </c>
      <c r="AN55" s="26"/>
      <c r="AO55" s="3"/>
    </row>
    <row r="56" spans="1:41" x14ac:dyDescent="0.35">
      <c r="A56" s="343" t="s">
        <v>1984</v>
      </c>
      <c r="B56" s="24"/>
      <c r="C56" s="5">
        <v>45052</v>
      </c>
      <c r="D56" s="3">
        <v>14000</v>
      </c>
      <c r="E56" s="344" t="s">
        <v>503</v>
      </c>
      <c r="F56" s="3"/>
      <c r="H56" s="3"/>
      <c r="I56" s="3"/>
      <c r="J56" s="3"/>
      <c r="K56" s="3">
        <v>14000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f>SUM($F56:AJ56)</f>
        <v>14000</v>
      </c>
      <c r="AL56" s="6" t="s">
        <v>81</v>
      </c>
      <c r="AN56" s="26"/>
      <c r="AO56" s="3"/>
    </row>
    <row r="57" spans="1:41" x14ac:dyDescent="0.35">
      <c r="A57" s="343" t="s">
        <v>1161</v>
      </c>
      <c r="B57" s="24" t="s">
        <v>1985</v>
      </c>
      <c r="C57" s="5">
        <v>45054</v>
      </c>
      <c r="D57" s="3">
        <v>14750</v>
      </c>
      <c r="E57" s="344" t="s">
        <v>1704</v>
      </c>
      <c r="F57" s="3"/>
      <c r="H57" s="3"/>
      <c r="I57" s="3"/>
      <c r="J57" s="3"/>
      <c r="K57" s="3"/>
      <c r="L57" s="3"/>
      <c r="M57" s="3"/>
      <c r="N57" s="3">
        <v>14750</v>
      </c>
      <c r="O57" s="3"/>
      <c r="P57" s="3"/>
      <c r="Q57" s="3"/>
      <c r="R57" s="3"/>
      <c r="S57" s="3"/>
      <c r="T57" s="3"/>
      <c r="U57" s="3"/>
      <c r="V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>
        <f>SUM($F57:AJ57)</f>
        <v>14750</v>
      </c>
      <c r="AL57" s="6" t="s">
        <v>83</v>
      </c>
      <c r="AN57" s="26"/>
      <c r="AO57" s="3"/>
    </row>
    <row r="58" spans="1:41" x14ac:dyDescent="0.35">
      <c r="A58" s="343" t="s">
        <v>1993</v>
      </c>
      <c r="B58" s="24"/>
      <c r="C58" s="5">
        <v>45055</v>
      </c>
      <c r="D58" s="3">
        <v>11000</v>
      </c>
      <c r="E58" s="344" t="s">
        <v>503</v>
      </c>
      <c r="F58" s="3"/>
      <c r="H58" s="3"/>
      <c r="I58" s="3"/>
      <c r="J58" s="3"/>
      <c r="K58" s="3"/>
      <c r="L58" s="3"/>
      <c r="M58" s="3"/>
      <c r="N58" s="3">
        <v>11000</v>
      </c>
      <c r="O58" s="3"/>
      <c r="P58" s="3"/>
      <c r="Q58" s="3"/>
      <c r="R58" s="3"/>
      <c r="S58" s="3"/>
      <c r="T58" s="3"/>
      <c r="U58" s="3"/>
      <c r="V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f>SUM($F58:AJ58)</f>
        <v>11000</v>
      </c>
      <c r="AL58" s="6" t="s">
        <v>81</v>
      </c>
      <c r="AN58" s="26"/>
      <c r="AO58" s="3"/>
    </row>
    <row r="59" spans="1:41" x14ac:dyDescent="0.35">
      <c r="A59" s="41" t="s">
        <v>1996</v>
      </c>
      <c r="C59" s="5">
        <v>45056</v>
      </c>
      <c r="D59" s="3">
        <v>65422</v>
      </c>
      <c r="E59" s="344" t="s">
        <v>503</v>
      </c>
      <c r="F59" s="3"/>
      <c r="H59" s="3"/>
      <c r="I59" s="3"/>
      <c r="J59" s="3"/>
      <c r="K59" s="3"/>
      <c r="L59" s="3"/>
      <c r="M59" s="3"/>
      <c r="N59" s="3"/>
      <c r="O59" s="3">
        <v>65422</v>
      </c>
      <c r="P59" s="3"/>
      <c r="Q59" s="3"/>
      <c r="R59" s="3"/>
      <c r="S59" s="3"/>
      <c r="T59" s="3"/>
      <c r="U59" s="3"/>
      <c r="V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f>SUM($F59:AJ59)</f>
        <v>65422</v>
      </c>
      <c r="AL59" s="6" t="s">
        <v>81</v>
      </c>
      <c r="AN59" s="26"/>
      <c r="AO59" s="3"/>
    </row>
    <row r="60" spans="1:41" x14ac:dyDescent="0.35">
      <c r="A60" s="343" t="s">
        <v>1161</v>
      </c>
      <c r="B60" s="24" t="s">
        <v>2093</v>
      </c>
      <c r="C60" s="5">
        <v>45063</v>
      </c>
      <c r="D60" s="3">
        <v>8140</v>
      </c>
      <c r="E60" s="344" t="s">
        <v>1704</v>
      </c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 t="s">
        <v>13</v>
      </c>
      <c r="W60" s="3">
        <v>8140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f>SUM($F60:AJ60)</f>
        <v>8140</v>
      </c>
      <c r="AL60" s="6" t="s">
        <v>83</v>
      </c>
      <c r="AN60" s="26"/>
      <c r="AO60" s="3"/>
    </row>
    <row r="61" spans="1:41" x14ac:dyDescent="0.35">
      <c r="A61" s="343" t="s">
        <v>32</v>
      </c>
      <c r="B61" t="s">
        <v>1999</v>
      </c>
      <c r="C61" s="5">
        <v>45063</v>
      </c>
      <c r="D61" s="3">
        <v>7140</v>
      </c>
      <c r="E61" s="344" t="s">
        <v>503</v>
      </c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7140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f>SUM($F61:AJ61)</f>
        <v>7140</v>
      </c>
      <c r="AL61" s="6" t="s">
        <v>81</v>
      </c>
      <c r="AN61" s="26"/>
      <c r="AO61" s="3"/>
    </row>
    <row r="62" spans="1:41" x14ac:dyDescent="0.35">
      <c r="A62" s="343" t="s">
        <v>1161</v>
      </c>
      <c r="B62" s="24" t="s">
        <v>2094</v>
      </c>
      <c r="C62" s="5">
        <v>45065</v>
      </c>
      <c r="D62" s="3">
        <v>9700</v>
      </c>
      <c r="E62" s="344" t="s">
        <v>1704</v>
      </c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>
        <v>9700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f>SUM($F62:AJ62)</f>
        <v>9700</v>
      </c>
      <c r="AL62" s="6" t="s">
        <v>83</v>
      </c>
      <c r="AN62" s="26"/>
      <c r="AO62" s="3"/>
    </row>
    <row r="63" spans="1:41" x14ac:dyDescent="0.35">
      <c r="A63" s="343" t="s">
        <v>1104</v>
      </c>
      <c r="B63" s="24" t="s">
        <v>2010</v>
      </c>
      <c r="C63" s="5">
        <v>45070</v>
      </c>
      <c r="D63" s="3">
        <v>53896</v>
      </c>
      <c r="E63" s="344" t="s">
        <v>4</v>
      </c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f>SUM($F63:AJ63)</f>
        <v>0</v>
      </c>
      <c r="AL63" s="6" t="s">
        <v>83</v>
      </c>
      <c r="AN63" s="26"/>
      <c r="AO63" s="3"/>
    </row>
    <row r="64" spans="1:41" x14ac:dyDescent="0.35">
      <c r="A64" s="343" t="s">
        <v>1161</v>
      </c>
      <c r="B64" s="24" t="s">
        <v>2092</v>
      </c>
      <c r="C64" s="5">
        <v>45071</v>
      </c>
      <c r="D64" s="3">
        <v>15840</v>
      </c>
      <c r="E64" s="344" t="s">
        <v>1704</v>
      </c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Y64" s="3"/>
      <c r="Z64" s="3"/>
      <c r="AA64" s="3"/>
      <c r="AB64" s="3"/>
      <c r="AC64" s="3"/>
      <c r="AD64" s="3"/>
      <c r="AE64" s="3">
        <v>15840</v>
      </c>
      <c r="AF64" s="3"/>
      <c r="AG64" s="3"/>
      <c r="AH64" s="3"/>
      <c r="AI64" s="3"/>
      <c r="AJ64" s="3"/>
      <c r="AK64" s="3">
        <f>SUM($F64:AJ64)</f>
        <v>15840</v>
      </c>
      <c r="AL64" s="6" t="s">
        <v>83</v>
      </c>
      <c r="AN64" s="26"/>
      <c r="AO64" s="3"/>
    </row>
    <row r="65" spans="1:47" x14ac:dyDescent="0.35">
      <c r="A65" s="343" t="s">
        <v>1104</v>
      </c>
      <c r="B65" s="24" t="s">
        <v>2011</v>
      </c>
      <c r="C65" s="5">
        <v>45072</v>
      </c>
      <c r="D65" s="3">
        <v>16273</v>
      </c>
      <c r="E65" s="344" t="s">
        <v>4</v>
      </c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>
        <f>SUM($F65:AJ65)</f>
        <v>0</v>
      </c>
      <c r="AL65" s="6" t="s">
        <v>83</v>
      </c>
      <c r="AN65" s="26"/>
      <c r="AO65" s="3"/>
    </row>
    <row r="66" spans="1:47" x14ac:dyDescent="0.35">
      <c r="A66" s="343" t="s">
        <v>1934</v>
      </c>
      <c r="B66" s="363" t="s">
        <v>1502</v>
      </c>
      <c r="C66" s="365">
        <v>45069</v>
      </c>
      <c r="D66" s="3">
        <v>104720</v>
      </c>
      <c r="E66" s="344" t="s">
        <v>503</v>
      </c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f>SUM($F66:AJ66)</f>
        <v>0</v>
      </c>
      <c r="AL66" s="364"/>
      <c r="AN66" s="26"/>
      <c r="AO66" s="3"/>
    </row>
    <row r="67" spans="1:47" x14ac:dyDescent="0.35">
      <c r="A67" s="343" t="s">
        <v>1958</v>
      </c>
      <c r="B67" s="24"/>
      <c r="C67" s="5">
        <v>45053</v>
      </c>
      <c r="D67" s="3">
        <v>4999</v>
      </c>
      <c r="E67" s="344" t="s">
        <v>4</v>
      </c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>
        <f>SUM($F67:AJ67)</f>
        <v>0</v>
      </c>
      <c r="AL67" s="6" t="s">
        <v>81</v>
      </c>
      <c r="AN67" s="26"/>
      <c r="AO67" s="3"/>
    </row>
    <row r="68" spans="1:47" x14ac:dyDescent="0.35">
      <c r="A68" s="343"/>
      <c r="B68" s="24"/>
      <c r="C68" s="5"/>
      <c r="D68" s="3"/>
      <c r="E68" s="344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>
        <f>SUM($F68:AJ68)</f>
        <v>0</v>
      </c>
      <c r="AN68" s="26"/>
      <c r="AO68" s="3"/>
    </row>
    <row r="69" spans="1:47" x14ac:dyDescent="0.35">
      <c r="A69" s="343" t="s">
        <v>665</v>
      </c>
      <c r="B69" s="24"/>
      <c r="C69" s="5">
        <v>45065</v>
      </c>
      <c r="D69" s="3">
        <v>234876</v>
      </c>
      <c r="E69" s="34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Y69" s="3">
        <v>234876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>
        <f>SUM($F69:AJ69)</f>
        <v>234876</v>
      </c>
      <c r="AN69" s="26" t="s">
        <v>13</v>
      </c>
      <c r="AO69" s="3"/>
    </row>
    <row r="70" spans="1:47" ht="15" thickBot="1" x14ac:dyDescent="0.4">
      <c r="A70" s="43" t="s">
        <v>1977</v>
      </c>
      <c r="B70" s="76" t="s">
        <v>337</v>
      </c>
      <c r="C70" s="45">
        <v>45077</v>
      </c>
      <c r="D70" s="46">
        <f>+(AK42-AK39-AK40)*0.17</f>
        <v>440421.53523684212</v>
      </c>
      <c r="E70" s="47"/>
      <c r="F70" s="3"/>
      <c r="G70" s="3" t="s">
        <v>13</v>
      </c>
      <c r="H70" s="3" t="s">
        <v>13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>
        <f>SUM($F70:AJ70)</f>
        <v>0</v>
      </c>
      <c r="AL70" s="6" t="s">
        <v>1846</v>
      </c>
      <c r="AM70" s="6" t="s">
        <v>13</v>
      </c>
      <c r="AN70" s="26" t="s">
        <v>13</v>
      </c>
      <c r="AO70" s="3"/>
    </row>
    <row r="71" spans="1:47" x14ac:dyDescent="0.35">
      <c r="A71" s="4" t="s">
        <v>2023</v>
      </c>
      <c r="B71" s="24">
        <f>84.052/8</f>
        <v>10.506500000000001</v>
      </c>
      <c r="C71" s="67" t="s">
        <v>13</v>
      </c>
      <c r="D71" s="3">
        <f>+B71*C72</f>
        <v>373737.63826000004</v>
      </c>
      <c r="E71" s="153"/>
      <c r="F71" s="3"/>
      <c r="G71" s="3"/>
      <c r="H71" s="3" t="s">
        <v>13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 t="s">
        <v>13</v>
      </c>
      <c r="AH71" s="3" t="s">
        <v>13</v>
      </c>
      <c r="AI71" s="3"/>
      <c r="AJ71" s="3" t="s">
        <v>13</v>
      </c>
      <c r="AK71" s="3">
        <f>SUM($F71:AJ71)</f>
        <v>0</v>
      </c>
      <c r="AL71" s="22" t="s">
        <v>13</v>
      </c>
      <c r="AM71" s="6" t="s">
        <v>13</v>
      </c>
      <c r="AO71" s="26" t="s">
        <v>13</v>
      </c>
      <c r="AQ71" s="6" t="s">
        <v>1675</v>
      </c>
      <c r="AR71" s="51" t="s">
        <v>2257</v>
      </c>
      <c r="AT71" s="51" t="s">
        <v>2258</v>
      </c>
    </row>
    <row r="72" spans="1:47" ht="15" thickBot="1" x14ac:dyDescent="0.4">
      <c r="A72" s="4"/>
      <c r="B72" s="67" t="s">
        <v>933</v>
      </c>
      <c r="C72" s="236">
        <v>35572.04</v>
      </c>
      <c r="D72" s="3"/>
      <c r="E72" s="15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22"/>
      <c r="AP72" s="64" t="e">
        <f>+[2]Hoja1!$L$235+[3]Hoja1!#REF!</f>
        <v>#REF!</v>
      </c>
      <c r="AQ72" s="64" t="e">
        <f>+[3]Hoja1!#REF!</f>
        <v>#REF!</v>
      </c>
      <c r="AR72" s="378" t="e">
        <f>+'Abr-23'!AR92+AQ72</f>
        <v>#REF!</v>
      </c>
      <c r="AT72" s="378" t="e">
        <f>+AR72+'Dic-22'!AR121</f>
        <v>#REF!</v>
      </c>
    </row>
    <row r="73" spans="1:47" x14ac:dyDescent="0.35">
      <c r="A73" s="4"/>
      <c r="B73" s="24"/>
      <c r="C73" s="67"/>
      <c r="D73" s="3"/>
      <c r="E73" s="15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22"/>
      <c r="AO73" s="11" t="s">
        <v>91</v>
      </c>
      <c r="AP73" s="53">
        <f>+D42/1.19</f>
        <v>1029112.6050420168</v>
      </c>
      <c r="AQ73" s="53">
        <f>+(SUMIF(E22:E37,"MD",D22:D37)+SUMIF(E22:E37,"MK",D22:D37))/1.19</f>
        <v>292632.77310924372</v>
      </c>
      <c r="AR73" s="53">
        <f>+'Abr-23'!AR93+AQ73</f>
        <v>5909027.9727377277</v>
      </c>
      <c r="AT73" s="10">
        <f>+AR73+'Dic-22'!AR122</f>
        <v>10091599.939124282</v>
      </c>
    </row>
    <row r="74" spans="1:47" x14ac:dyDescent="0.35">
      <c r="A74" s="3" t="s">
        <v>13</v>
      </c>
      <c r="B74" s="24"/>
      <c r="D74" s="3"/>
      <c r="E74" s="15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22"/>
      <c r="AO74" s="14" t="s">
        <v>1558</v>
      </c>
      <c r="AP74" s="15">
        <f ca="1">+SUMIF(AL51:AL72,"CD",D51:D70)/1.19</f>
        <v>117797.47899159664</v>
      </c>
      <c r="AQ74" s="15" t="e">
        <f ca="1">+AP74*AQ$72/AP$72</f>
        <v>#REF!</v>
      </c>
      <c r="AR74" s="15" t="e">
        <f ca="1">+'Abr-23'!AR94+AQ74</f>
        <v>#REF!</v>
      </c>
      <c r="AT74" s="10" t="e">
        <f ca="1">+AR74+'Dic-22'!AR123</f>
        <v>#REF!</v>
      </c>
    </row>
    <row r="75" spans="1:47" x14ac:dyDescent="0.35">
      <c r="A75" s="4"/>
      <c r="B75" s="24"/>
      <c r="C75" s="67"/>
      <c r="D75" s="3"/>
      <c r="E75" s="153"/>
      <c r="F75" s="3" t="s">
        <v>13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22"/>
      <c r="AO75" s="14" t="s">
        <v>1559</v>
      </c>
      <c r="AP75" s="15">
        <f ca="1">+AP73-AP74</f>
        <v>911315.12605042022</v>
      </c>
      <c r="AQ75" s="15" t="e">
        <f ca="1">+AQ73-AQ74</f>
        <v>#REF!</v>
      </c>
      <c r="AR75" s="15" t="e">
        <f ca="1">+AR73-AR74</f>
        <v>#REF!</v>
      </c>
      <c r="AT75" s="10" t="e">
        <f ca="1">+AT73-AT74</f>
        <v>#REF!</v>
      </c>
    </row>
    <row r="76" spans="1:47" x14ac:dyDescent="0.35">
      <c r="A76" s="4"/>
      <c r="B76" s="24"/>
      <c r="C76" s="67"/>
      <c r="D76" s="3"/>
      <c r="E76" s="15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22"/>
      <c r="AO76" s="14" t="s">
        <v>1560</v>
      </c>
      <c r="AP76" s="327">
        <f ca="1">+AP75/AP73</f>
        <v>0.88553489830514009</v>
      </c>
      <c r="AQ76" s="327" t="e">
        <f ca="1">+AQ75/AQ73</f>
        <v>#REF!</v>
      </c>
      <c r="AR76" s="327" t="e">
        <f ca="1">+AR75/AR73</f>
        <v>#REF!</v>
      </c>
      <c r="AT76" s="377" t="e">
        <f ca="1">+AT75/AT73</f>
        <v>#REF!</v>
      </c>
    </row>
    <row r="77" spans="1:47" x14ac:dyDescent="0.35">
      <c r="A77" s="4"/>
      <c r="B77" s="67"/>
      <c r="C77" s="236"/>
      <c r="E77" s="15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  <c r="AJ77" s="3"/>
      <c r="AK77" s="3"/>
      <c r="AL77" s="22" t="s">
        <v>1388</v>
      </c>
      <c r="AM77" s="6" t="s">
        <v>1430</v>
      </c>
      <c r="AO77" s="14" t="s">
        <v>81</v>
      </c>
      <c r="AP77" s="15">
        <f>+SUMIF(AL51:AL70,"GAV",D51:D70)/1.19+SUMIF(AL51:AL70,"REM",D51:D70)</f>
        <v>567783.72011079174</v>
      </c>
      <c r="AQ77" s="15" t="e">
        <f>+AP77*AQ$72/AP$72+(600000+300000)*2/7</f>
        <v>#REF!</v>
      </c>
      <c r="AR77" s="15" t="e">
        <f>+'Abr-23'!AR97+AQ77</f>
        <v>#REF!</v>
      </c>
      <c r="AT77" s="10" t="e">
        <f>+AR77+'Dic-22'!AR126</f>
        <v>#REF!</v>
      </c>
    </row>
    <row r="78" spans="1:47" x14ac:dyDescent="0.35">
      <c r="A78" s="2" t="s">
        <v>9</v>
      </c>
      <c r="D78" s="72">
        <f>SUM(D46:D76)-D46</f>
        <v>1986465.1734968424</v>
      </c>
      <c r="F78" s="3">
        <f t="shared" ref="F78:AJ78" si="3">SUM(F46:F77)</f>
        <v>0</v>
      </c>
      <c r="G78" s="3">
        <f t="shared" si="3"/>
        <v>10790</v>
      </c>
      <c r="H78" s="3">
        <f t="shared" si="3"/>
        <v>10790</v>
      </c>
      <c r="I78" s="3">
        <f t="shared" si="3"/>
        <v>411230.00000000006</v>
      </c>
      <c r="J78" s="3">
        <f t="shared" si="3"/>
        <v>13905</v>
      </c>
      <c r="K78" s="3">
        <f t="shared" si="3"/>
        <v>63000</v>
      </c>
      <c r="L78" s="3">
        <f t="shared" si="3"/>
        <v>0</v>
      </c>
      <c r="M78" s="3">
        <f t="shared" si="3"/>
        <v>0</v>
      </c>
      <c r="N78" s="3">
        <f t="shared" si="3"/>
        <v>25750</v>
      </c>
      <c r="O78" s="3">
        <f t="shared" si="3"/>
        <v>65422</v>
      </c>
      <c r="P78" s="3">
        <f t="shared" si="3"/>
        <v>0</v>
      </c>
      <c r="Q78" s="3">
        <f t="shared" si="3"/>
        <v>0</v>
      </c>
      <c r="R78" s="3">
        <f t="shared" si="3"/>
        <v>0</v>
      </c>
      <c r="S78" s="3">
        <f t="shared" si="3"/>
        <v>0</v>
      </c>
      <c r="T78" s="3">
        <f t="shared" si="3"/>
        <v>0</v>
      </c>
      <c r="U78" s="3">
        <f t="shared" si="3"/>
        <v>0</v>
      </c>
      <c r="V78" s="3">
        <f t="shared" si="3"/>
        <v>110896</v>
      </c>
      <c r="W78" s="3">
        <f t="shared" si="3"/>
        <v>8140</v>
      </c>
      <c r="X78" s="3">
        <f t="shared" si="3"/>
        <v>9700</v>
      </c>
      <c r="Y78" s="3">
        <f t="shared" si="3"/>
        <v>234876</v>
      </c>
      <c r="Z78" s="3">
        <f t="shared" si="3"/>
        <v>0</v>
      </c>
      <c r="AA78" s="3">
        <f t="shared" si="3"/>
        <v>0</v>
      </c>
      <c r="AB78" s="3">
        <f t="shared" si="3"/>
        <v>0</v>
      </c>
      <c r="AC78" s="3">
        <f t="shared" si="3"/>
        <v>0</v>
      </c>
      <c r="AD78" s="3">
        <f t="shared" si="3"/>
        <v>0</v>
      </c>
      <c r="AE78" s="3">
        <f t="shared" si="3"/>
        <v>15840</v>
      </c>
      <c r="AF78" s="3">
        <f t="shared" si="3"/>
        <v>0</v>
      </c>
      <c r="AG78" s="3">
        <f t="shared" si="3"/>
        <v>0</v>
      </c>
      <c r="AH78" s="3">
        <f t="shared" si="3"/>
        <v>0</v>
      </c>
      <c r="AI78" s="3">
        <f t="shared" si="3"/>
        <v>0</v>
      </c>
      <c r="AJ78" s="3">
        <f t="shared" si="3"/>
        <v>0</v>
      </c>
      <c r="AK78" s="72">
        <f>SUM(AK46:AK76)-AK46</f>
        <v>980339</v>
      </c>
      <c r="AL78" s="324">
        <f>+D78-AK78</f>
        <v>1006126.1734968424</v>
      </c>
      <c r="AM78" s="324">
        <f>+AJ79+AL42-AL78-1200000</f>
        <v>1946097.4133450203</v>
      </c>
      <c r="AO78" s="14" t="s">
        <v>1561</v>
      </c>
      <c r="AP78" s="15">
        <f ca="1">+AP75-AP77</f>
        <v>343531.40593962849</v>
      </c>
      <c r="AQ78" s="387" t="e">
        <f ca="1">+AQ75-AQ77</f>
        <v>#REF!</v>
      </c>
      <c r="AR78" s="15" t="e">
        <f ca="1">+AR75-AR77</f>
        <v>#REF!</v>
      </c>
      <c r="AT78" s="10" t="e">
        <f ca="1">+AT75-AT77</f>
        <v>#REF!</v>
      </c>
      <c r="AU78" s="388" t="e">
        <f ca="1">+AQ78/AQ73</f>
        <v>#REF!</v>
      </c>
    </row>
    <row r="79" spans="1:47" x14ac:dyDescent="0.35">
      <c r="A79" t="s">
        <v>8</v>
      </c>
      <c r="F79" s="3">
        <f t="shared" ref="F79:AJ79" si="4">+F42+F3-F78</f>
        <v>2350889.273683968</v>
      </c>
      <c r="G79" s="3">
        <f t="shared" si="4"/>
        <v>2340099.273683968</v>
      </c>
      <c r="H79" s="3">
        <f t="shared" si="4"/>
        <v>2832409.273683968</v>
      </c>
      <c r="I79" s="3">
        <f t="shared" si="4"/>
        <v>3077134.273683968</v>
      </c>
      <c r="J79" s="3">
        <f t="shared" si="4"/>
        <v>3063229.273683968</v>
      </c>
      <c r="K79" s="3">
        <f t="shared" si="4"/>
        <v>3000229.273683968</v>
      </c>
      <c r="L79" s="3">
        <f t="shared" si="4"/>
        <v>3000229.273683968</v>
      </c>
      <c r="M79" s="3">
        <f t="shared" si="4"/>
        <v>3095417.273683968</v>
      </c>
      <c r="N79" s="3">
        <f t="shared" si="4"/>
        <v>3069667.273683968</v>
      </c>
      <c r="O79" s="3">
        <f t="shared" si="4"/>
        <v>3004245.273683968</v>
      </c>
      <c r="P79" s="3">
        <f t="shared" si="4"/>
        <v>3187665.273683968</v>
      </c>
      <c r="Q79" s="3">
        <f t="shared" si="4"/>
        <v>3187665.273683968</v>
      </c>
      <c r="R79" s="3">
        <f t="shared" si="4"/>
        <v>3187665.273683968</v>
      </c>
      <c r="S79" s="3">
        <f t="shared" si="4"/>
        <v>3187665.273683968</v>
      </c>
      <c r="T79" s="3">
        <f t="shared" si="4"/>
        <v>3203579.273683968</v>
      </c>
      <c r="U79" s="3">
        <f t="shared" si="4"/>
        <v>3245579.273683968</v>
      </c>
      <c r="V79" s="3">
        <f t="shared" si="4"/>
        <v>3134683.273683968</v>
      </c>
      <c r="W79" s="3">
        <f t="shared" si="4"/>
        <v>3433965.273683968</v>
      </c>
      <c r="X79" s="3">
        <f t="shared" si="4"/>
        <v>3424265.273683968</v>
      </c>
      <c r="Y79" s="3">
        <f t="shared" si="4"/>
        <v>3189389.273683968</v>
      </c>
      <c r="Z79" s="3">
        <f t="shared" si="4"/>
        <v>3189389.273683968</v>
      </c>
      <c r="AA79" s="3">
        <f t="shared" si="4"/>
        <v>3250841.1868418627</v>
      </c>
      <c r="AB79" s="3">
        <f t="shared" si="4"/>
        <v>3250841.1868418627</v>
      </c>
      <c r="AC79" s="3">
        <f t="shared" si="4"/>
        <v>3250841.1868418627</v>
      </c>
      <c r="AD79" s="3">
        <f t="shared" si="4"/>
        <v>3425219.1868418627</v>
      </c>
      <c r="AE79" s="3">
        <f t="shared" si="4"/>
        <v>3409379.1868418627</v>
      </c>
      <c r="AF79" s="3">
        <f t="shared" si="4"/>
        <v>3409379.1868418627</v>
      </c>
      <c r="AG79" s="3">
        <f t="shared" si="4"/>
        <v>3409379.1868418627</v>
      </c>
      <c r="AH79" s="3">
        <f t="shared" si="4"/>
        <v>3670423.1868418627</v>
      </c>
      <c r="AI79" s="3">
        <f t="shared" si="4"/>
        <v>4019179.1868418627</v>
      </c>
      <c r="AJ79" s="3">
        <f t="shared" si="4"/>
        <v>4019179.1868418627</v>
      </c>
      <c r="AK79" s="3" t="s">
        <v>13</v>
      </c>
      <c r="AM79" s="22" t="s">
        <v>13</v>
      </c>
      <c r="AO79" s="14" t="s">
        <v>1563</v>
      </c>
      <c r="AP79" s="15">
        <f>+SUMIF(AL51:AL70,"GF",D51:D70)</f>
        <v>13905</v>
      </c>
      <c r="AQ79" s="15">
        <v>0</v>
      </c>
      <c r="AR79" s="15">
        <f>+'Abr-23'!AR99+AQ79</f>
        <v>0</v>
      </c>
      <c r="AT79" s="10">
        <f>+AR79+'Dic-22'!AR128</f>
        <v>0</v>
      </c>
    </row>
    <row r="80" spans="1:47" x14ac:dyDescent="0.35">
      <c r="F80" s="3"/>
      <c r="G80" s="3"/>
      <c r="H80" s="3"/>
      <c r="I80" s="3" t="s">
        <v>13</v>
      </c>
      <c r="J80" s="3"/>
      <c r="K80" s="3" t="s">
        <v>13</v>
      </c>
      <c r="L80" s="3"/>
      <c r="M80" s="3"/>
      <c r="N80" s="3"/>
      <c r="O80" s="3"/>
      <c r="P80" s="3" t="s">
        <v>13</v>
      </c>
      <c r="Q80" s="3"/>
      <c r="R80" s="3"/>
      <c r="S80" s="3"/>
      <c r="T80" s="3" t="s">
        <v>13</v>
      </c>
      <c r="U80" s="3"/>
      <c r="V80" s="3"/>
      <c r="W80" s="3"/>
      <c r="Y80" s="3" t="s">
        <v>13</v>
      </c>
      <c r="Z80" s="3" t="s">
        <v>13</v>
      </c>
      <c r="AA80" s="3" t="s">
        <v>13</v>
      </c>
      <c r="AB80" s="3" t="s">
        <v>13</v>
      </c>
      <c r="AO80" s="14" t="s">
        <v>82</v>
      </c>
      <c r="AP80" s="15">
        <v>0</v>
      </c>
      <c r="AQ80" s="15">
        <f>+SUMIF(AL48:AL71,"AF",D48:D71)/1.19</f>
        <v>0</v>
      </c>
      <c r="AR80" s="15" t="e">
        <f>+'Abr-23'!AR100+AQ80</f>
        <v>#REF!</v>
      </c>
      <c r="AT80" s="10" t="e">
        <f>+AR80+'Dic-22'!AR129</f>
        <v>#REF!</v>
      </c>
    </row>
    <row r="81" spans="2:46" ht="15" thickBot="1" x14ac:dyDescent="0.4">
      <c r="F81" s="3" t="s">
        <v>13</v>
      </c>
      <c r="G81" s="3" t="s">
        <v>13</v>
      </c>
      <c r="H81" s="3" t="s">
        <v>13</v>
      </c>
      <c r="I81" s="3"/>
      <c r="J81" s="3"/>
      <c r="K81" s="3"/>
      <c r="L81" s="3"/>
      <c r="M81" s="3"/>
      <c r="N81" s="3"/>
      <c r="O81" s="3"/>
      <c r="P81" s="3" t="s">
        <v>13</v>
      </c>
      <c r="Q81" s="3" t="s">
        <v>13</v>
      </c>
      <c r="R81" s="3" t="s">
        <v>13</v>
      </c>
      <c r="S81" s="3"/>
      <c r="T81" s="3"/>
      <c r="U81" s="3" t="s">
        <v>13</v>
      </c>
      <c r="V81" s="3"/>
      <c r="W81" s="3"/>
      <c r="AB81" s="3" t="s">
        <v>13</v>
      </c>
      <c r="AG81" s="3" t="s">
        <v>13</v>
      </c>
      <c r="AJ81" s="3" t="s">
        <v>13</v>
      </c>
      <c r="AO81" s="16"/>
      <c r="AP81" s="19">
        <f ca="1">+AP78-AP79-AP80</f>
        <v>329626.40593962849</v>
      </c>
      <c r="AQ81" s="19" t="e">
        <f ca="1">+AQ78-AQ79-AQ80</f>
        <v>#REF!</v>
      </c>
      <c r="AR81" s="19" t="e">
        <f ca="1">+AR78-AR79-AR80</f>
        <v>#REF!</v>
      </c>
      <c r="AT81" s="20" t="e">
        <f ca="1">+AT78-AT79-AT80</f>
        <v>#REF!</v>
      </c>
    </row>
    <row r="82" spans="2:46" x14ac:dyDescent="0.35">
      <c r="E82" s="6" t="s">
        <v>13</v>
      </c>
      <c r="F82" s="3"/>
      <c r="G82" s="3" t="s">
        <v>13</v>
      </c>
      <c r="H82" s="3" t="s">
        <v>13</v>
      </c>
      <c r="I82" s="3"/>
      <c r="J82" s="3"/>
      <c r="K82" s="3"/>
      <c r="L82" s="3"/>
      <c r="M82" s="3"/>
      <c r="N82" s="3"/>
      <c r="O82" s="3"/>
      <c r="W82" s="3"/>
      <c r="AB82" s="3" t="s">
        <v>13</v>
      </c>
      <c r="AG82" s="3" t="s">
        <v>13</v>
      </c>
      <c r="AJ82" s="3" t="s">
        <v>13</v>
      </c>
      <c r="AO82" t="s">
        <v>1961</v>
      </c>
      <c r="AP82" s="26">
        <f ca="1">+AP81+'Abr-23'!AP102</f>
        <v>5626391.6596995238</v>
      </c>
      <c r="AQ82" s="3" t="e">
        <f ca="1">+AQ81+'Abr-23'!AQ102</f>
        <v>#REF!</v>
      </c>
      <c r="AR82" s="3" t="s">
        <v>13</v>
      </c>
    </row>
    <row r="83" spans="2:46" x14ac:dyDescent="0.35">
      <c r="F83" s="3"/>
      <c r="G83" s="3" t="s">
        <v>13</v>
      </c>
      <c r="H83" s="3"/>
      <c r="I83" s="3"/>
      <c r="J83" s="3"/>
      <c r="K83" s="3"/>
      <c r="L83" s="3"/>
      <c r="M83" s="3"/>
      <c r="N83" s="3"/>
      <c r="O83" s="3"/>
      <c r="W83" s="3" t="s">
        <v>13</v>
      </c>
      <c r="AB83" s="3" t="s">
        <v>13</v>
      </c>
      <c r="AG83" s="3" t="s">
        <v>13</v>
      </c>
      <c r="AJ83" s="3" t="s">
        <v>13</v>
      </c>
      <c r="AO83" t="s">
        <v>1960</v>
      </c>
      <c r="AP83" s="26">
        <f ca="1">+AP81+'Abr-23'!AP103</f>
        <v>7222529.5620772317</v>
      </c>
      <c r="AQ83" s="3" t="e">
        <f ca="1">+AQ81+'Abr-23'!AQ103</f>
        <v>#REF!</v>
      </c>
    </row>
    <row r="84" spans="2:46" x14ac:dyDescent="0.35">
      <c r="F84" s="3" t="s">
        <v>13</v>
      </c>
      <c r="G84" s="3" t="s">
        <v>13</v>
      </c>
      <c r="H84" s="3"/>
      <c r="I84" s="3"/>
      <c r="J84" s="3"/>
      <c r="K84" s="3"/>
      <c r="L84" s="3"/>
      <c r="M84" s="3">
        <v>538500</v>
      </c>
      <c r="N84" s="3"/>
      <c r="O84" s="3"/>
      <c r="W84" s="3"/>
      <c r="AB84" s="3" t="s">
        <v>13</v>
      </c>
      <c r="AG84" s="3" t="s">
        <v>13</v>
      </c>
      <c r="AJ84" s="3" t="s">
        <v>13</v>
      </c>
    </row>
    <row r="85" spans="2:46" x14ac:dyDescent="0.35">
      <c r="F85" s="3" t="s">
        <v>13</v>
      </c>
      <c r="G85" s="3" t="s">
        <v>13</v>
      </c>
      <c r="H85" s="3"/>
      <c r="I85" s="3"/>
      <c r="J85" s="3"/>
      <c r="K85" s="3"/>
      <c r="L85" s="3" t="s">
        <v>13</v>
      </c>
      <c r="M85" s="3">
        <v>682100</v>
      </c>
      <c r="N85" s="3"/>
      <c r="O85" s="3"/>
      <c r="W85" s="3"/>
      <c r="AB85" s="3" t="s">
        <v>13</v>
      </c>
      <c r="AG85" s="3" t="s">
        <v>13</v>
      </c>
      <c r="AJ85" s="3" t="s">
        <v>13</v>
      </c>
      <c r="AL85"/>
      <c r="AM85"/>
      <c r="AR85" t="s">
        <v>13</v>
      </c>
    </row>
    <row r="86" spans="2:46" x14ac:dyDescent="0.35">
      <c r="F86" s="3"/>
      <c r="G86" s="3" t="s">
        <v>13</v>
      </c>
      <c r="H86" s="3"/>
      <c r="I86" s="3"/>
      <c r="J86" s="3"/>
      <c r="K86" s="3"/>
      <c r="L86" s="3"/>
      <c r="M86" s="3">
        <f>SUM(M84:M85)</f>
        <v>1220600</v>
      </c>
      <c r="AG86" s="3" t="s">
        <v>13</v>
      </c>
      <c r="AJ86" s="3" t="s">
        <v>13</v>
      </c>
      <c r="AL86"/>
      <c r="AM86"/>
    </row>
    <row r="87" spans="2:46" x14ac:dyDescent="0.35">
      <c r="F87" s="3"/>
      <c r="G87" s="3" t="s">
        <v>13</v>
      </c>
      <c r="H87" s="3"/>
      <c r="I87" s="3"/>
      <c r="J87" s="3"/>
      <c r="K87" s="3"/>
      <c r="L87" s="3"/>
      <c r="AB87" t="s">
        <v>13</v>
      </c>
      <c r="AG87" s="3" t="s">
        <v>13</v>
      </c>
      <c r="AJ87" s="3" t="s">
        <v>13</v>
      </c>
      <c r="AL87"/>
      <c r="AM87"/>
    </row>
    <row r="88" spans="2:46" x14ac:dyDescent="0.35">
      <c r="F88" s="3"/>
      <c r="G88" s="3" t="s">
        <v>13</v>
      </c>
      <c r="H88" s="3"/>
      <c r="I88" s="3"/>
      <c r="J88" s="3"/>
      <c r="K88" s="3"/>
      <c r="L88" s="3"/>
      <c r="AG88" s="3" t="s">
        <v>13</v>
      </c>
      <c r="AJ88" s="3" t="s">
        <v>13</v>
      </c>
      <c r="AL88"/>
      <c r="AM88"/>
    </row>
    <row r="89" spans="2:46" x14ac:dyDescent="0.35">
      <c r="F89" s="3"/>
      <c r="G89" s="3" t="s">
        <v>13</v>
      </c>
      <c r="H89" s="3"/>
      <c r="I89" s="3"/>
      <c r="J89" s="3"/>
      <c r="K89" s="3"/>
      <c r="L89" s="3"/>
      <c r="AG89" s="3" t="s">
        <v>13</v>
      </c>
      <c r="AJ89" s="3" t="s">
        <v>13</v>
      </c>
      <c r="AL89"/>
      <c r="AM89"/>
    </row>
    <row r="90" spans="2:46" x14ac:dyDescent="0.35">
      <c r="F90" s="3"/>
      <c r="G90" s="3" t="s">
        <v>13</v>
      </c>
      <c r="H90" s="3"/>
      <c r="I90" s="3"/>
      <c r="J90" s="3"/>
      <c r="K90" s="3"/>
      <c r="L90" s="3"/>
      <c r="AG90" s="3" t="s">
        <v>13</v>
      </c>
      <c r="AJ90" s="3" t="s">
        <v>13</v>
      </c>
      <c r="AL90"/>
      <c r="AM90"/>
    </row>
    <row r="91" spans="2:46" x14ac:dyDescent="0.35">
      <c r="B91" t="s">
        <v>13</v>
      </c>
      <c r="F91" s="3"/>
      <c r="G91" s="3" t="s">
        <v>13</v>
      </c>
      <c r="H91" s="3"/>
      <c r="I91" s="3"/>
      <c r="J91" s="3"/>
      <c r="K91" s="3"/>
      <c r="L91" s="3"/>
      <c r="AG91" s="3" t="s">
        <v>13</v>
      </c>
      <c r="AJ91" s="3" t="s">
        <v>13</v>
      </c>
      <c r="AL91"/>
      <c r="AM91"/>
    </row>
    <row r="92" spans="2:46" x14ac:dyDescent="0.35">
      <c r="B92" t="s">
        <v>13</v>
      </c>
      <c r="F92" s="3"/>
      <c r="G92" s="3" t="s">
        <v>13</v>
      </c>
      <c r="H92" s="3"/>
      <c r="I92" s="3"/>
      <c r="J92" s="3"/>
      <c r="K92" s="3"/>
      <c r="L92" s="3"/>
      <c r="AG92" s="3" t="s">
        <v>13</v>
      </c>
      <c r="AJ92" s="3" t="s">
        <v>13</v>
      </c>
      <c r="AL92"/>
      <c r="AM92"/>
    </row>
    <row r="93" spans="2:46" x14ac:dyDescent="0.35">
      <c r="B93" t="s">
        <v>13</v>
      </c>
      <c r="F93" s="3"/>
      <c r="G93" s="3" t="s">
        <v>13</v>
      </c>
      <c r="H93" s="3"/>
      <c r="I93" s="3"/>
      <c r="J93" s="3"/>
      <c r="K93" s="3"/>
      <c r="L93" s="3"/>
      <c r="AG93" s="3" t="s">
        <v>13</v>
      </c>
      <c r="AJ93" s="3" t="s">
        <v>13</v>
      </c>
      <c r="AL93"/>
      <c r="AM93"/>
    </row>
    <row r="94" spans="2:46" x14ac:dyDescent="0.35">
      <c r="B94" t="s">
        <v>13</v>
      </c>
      <c r="F94" s="3"/>
      <c r="G94" s="3" t="s">
        <v>13</v>
      </c>
      <c r="H94" s="3"/>
      <c r="I94" s="3"/>
      <c r="J94" s="3"/>
      <c r="K94" s="3"/>
      <c r="L94" s="3"/>
      <c r="AG94" s="3" t="s">
        <v>13</v>
      </c>
      <c r="AJ94" s="3" t="s">
        <v>13</v>
      </c>
      <c r="AL94"/>
      <c r="AM94"/>
    </row>
    <row r="95" spans="2:46" x14ac:dyDescent="0.35">
      <c r="B95" t="s">
        <v>13</v>
      </c>
      <c r="F95" s="3"/>
      <c r="G95" s="3" t="s">
        <v>13</v>
      </c>
      <c r="H95" s="3"/>
      <c r="I95" s="3"/>
      <c r="J95" s="3"/>
      <c r="K95" s="3"/>
      <c r="L95" s="3"/>
      <c r="AG95" s="3" t="s">
        <v>13</v>
      </c>
      <c r="AJ95" s="3" t="s">
        <v>13</v>
      </c>
      <c r="AL95"/>
      <c r="AM95"/>
    </row>
    <row r="96" spans="2:46" x14ac:dyDescent="0.35">
      <c r="B96" t="s">
        <v>13</v>
      </c>
      <c r="F96" s="3"/>
      <c r="G96" s="3" t="s">
        <v>13</v>
      </c>
      <c r="H96" s="3"/>
      <c r="I96" s="3"/>
      <c r="J96" s="3"/>
      <c r="K96" s="3"/>
      <c r="L96" s="3"/>
      <c r="AG96" s="3" t="s">
        <v>13</v>
      </c>
      <c r="AJ96" s="3" t="s">
        <v>13</v>
      </c>
      <c r="AL96"/>
      <c r="AM96"/>
    </row>
    <row r="97" spans="2:39" x14ac:dyDescent="0.35">
      <c r="B97" t="s">
        <v>13</v>
      </c>
      <c r="F97" s="3"/>
      <c r="G97" s="3" t="s">
        <v>13</v>
      </c>
      <c r="H97" s="3"/>
      <c r="I97" s="3"/>
      <c r="J97" s="3"/>
      <c r="K97" s="3"/>
      <c r="L97" s="3"/>
      <c r="AG97" s="3" t="s">
        <v>13</v>
      </c>
      <c r="AJ97" s="3" t="s">
        <v>13</v>
      </c>
      <c r="AL97"/>
      <c r="AM97"/>
    </row>
    <row r="98" spans="2:39" x14ac:dyDescent="0.35">
      <c r="B98" t="s">
        <v>13</v>
      </c>
      <c r="F98" s="3"/>
      <c r="G98" s="3" t="s">
        <v>13</v>
      </c>
      <c r="H98" s="3"/>
      <c r="I98" s="3"/>
      <c r="J98" s="3"/>
      <c r="K98" s="3"/>
      <c r="L98" s="3"/>
      <c r="AG98" s="3" t="s">
        <v>13</v>
      </c>
      <c r="AJ98" s="3" t="s">
        <v>13</v>
      </c>
      <c r="AL98"/>
      <c r="AM98"/>
    </row>
    <row r="99" spans="2:39" x14ac:dyDescent="0.35">
      <c r="B99" t="s">
        <v>13</v>
      </c>
      <c r="F99" s="3"/>
      <c r="G99" s="3" t="s">
        <v>13</v>
      </c>
      <c r="H99" s="3"/>
      <c r="I99" s="3"/>
      <c r="J99" s="3"/>
      <c r="K99" s="3"/>
      <c r="L99" s="3"/>
      <c r="AL99"/>
      <c r="AM99"/>
    </row>
    <row r="100" spans="2:39" x14ac:dyDescent="0.35">
      <c r="B100" t="s">
        <v>13</v>
      </c>
      <c r="F100" s="3"/>
      <c r="G100" s="3" t="s">
        <v>13</v>
      </c>
      <c r="H100" s="3"/>
      <c r="I100" s="3"/>
      <c r="J100" s="3"/>
      <c r="K100" s="3"/>
      <c r="L100" s="3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  <row r="119" spans="2:39" x14ac:dyDescent="0.35">
      <c r="B119" t="s">
        <v>13</v>
      </c>
      <c r="E119"/>
      <c r="AL119"/>
      <c r="AM119"/>
    </row>
    <row r="120" spans="2:39" x14ac:dyDescent="0.35">
      <c r="B120" t="s">
        <v>13</v>
      </c>
      <c r="E120"/>
      <c r="AL120"/>
      <c r="AM120"/>
    </row>
    <row r="121" spans="2:39" x14ac:dyDescent="0.35">
      <c r="B121" t="s">
        <v>13</v>
      </c>
      <c r="E121"/>
      <c r="AL121"/>
      <c r="AM121"/>
    </row>
    <row r="122" spans="2:39" x14ac:dyDescent="0.35">
      <c r="B122" t="s">
        <v>13</v>
      </c>
      <c r="E122"/>
      <c r="AL122"/>
      <c r="AM122"/>
    </row>
    <row r="123" spans="2:39" x14ac:dyDescent="0.35">
      <c r="B123" t="s">
        <v>13</v>
      </c>
      <c r="E123"/>
      <c r="AL123"/>
      <c r="AM123"/>
    </row>
    <row r="124" spans="2:39" x14ac:dyDescent="0.35">
      <c r="B124" t="s">
        <v>13</v>
      </c>
      <c r="E124"/>
      <c r="AL124"/>
      <c r="AM124"/>
    </row>
    <row r="125" spans="2:39" x14ac:dyDescent="0.35">
      <c r="B125" t="s">
        <v>13</v>
      </c>
      <c r="E125"/>
      <c r="AL125"/>
      <c r="AM125"/>
    </row>
    <row r="126" spans="2:39" x14ac:dyDescent="0.35">
      <c r="B126" t="s">
        <v>13</v>
      </c>
      <c r="E126"/>
      <c r="AL126"/>
      <c r="AM126"/>
    </row>
    <row r="127" spans="2:39" x14ac:dyDescent="0.35">
      <c r="B127" t="s">
        <v>13</v>
      </c>
      <c r="E127"/>
      <c r="AL127"/>
      <c r="AM127"/>
    </row>
    <row r="128" spans="2:39" x14ac:dyDescent="0.35">
      <c r="B128" t="s">
        <v>13</v>
      </c>
      <c r="E128"/>
      <c r="AL128"/>
      <c r="AM128"/>
    </row>
    <row r="129" spans="2:39" x14ac:dyDescent="0.35">
      <c r="B129" t="s">
        <v>13</v>
      </c>
      <c r="E129"/>
      <c r="AL129"/>
      <c r="AM129"/>
    </row>
    <row r="130" spans="2:39" x14ac:dyDescent="0.35">
      <c r="B130" t="s">
        <v>13</v>
      </c>
      <c r="E130"/>
      <c r="AL130"/>
      <c r="AM130"/>
    </row>
    <row r="131" spans="2:39" x14ac:dyDescent="0.35">
      <c r="B131" t="s">
        <v>13</v>
      </c>
      <c r="E131"/>
      <c r="AL131"/>
      <c r="AM131"/>
    </row>
    <row r="132" spans="2:39" x14ac:dyDescent="0.35">
      <c r="B132" t="s">
        <v>13</v>
      </c>
      <c r="E132"/>
      <c r="AL132"/>
      <c r="AM132"/>
    </row>
    <row r="133" spans="2:39" x14ac:dyDescent="0.35">
      <c r="B133" t="s">
        <v>13</v>
      </c>
      <c r="E133"/>
      <c r="AL133"/>
      <c r="AM133"/>
    </row>
  </sheetData>
  <sortState xmlns:xlrd2="http://schemas.microsoft.com/office/spreadsheetml/2017/richdata2" ref="A37:AQ39">
    <sortCondition ref="C37:C39"/>
  </sortState>
  <pageMargins left="0.7" right="0.7" top="0.75" bottom="0.75" header="0.3" footer="0.3"/>
  <pageSetup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U127"/>
  <sheetViews>
    <sheetView topLeftCell="A53" workbookViewId="0">
      <selection activeCell="A65" sqref="A65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0.90625" style="6"/>
    <col min="40" max="40" width="14.453125" customWidth="1"/>
    <col min="44" max="44" width="15.26953125" customWidth="1"/>
    <col min="46" max="46" width="13.269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45078</v>
      </c>
      <c r="G2" s="1">
        <v>45079</v>
      </c>
      <c r="H2" s="1">
        <v>45080</v>
      </c>
      <c r="I2" s="1">
        <v>45081</v>
      </c>
      <c r="J2" s="1">
        <v>45082</v>
      </c>
      <c r="K2" s="1">
        <v>45083</v>
      </c>
      <c r="L2" s="1">
        <v>45084</v>
      </c>
      <c r="M2" s="1">
        <v>45085</v>
      </c>
      <c r="N2" s="1">
        <v>45086</v>
      </c>
      <c r="O2" s="1">
        <v>45087</v>
      </c>
      <c r="P2" s="1">
        <v>45088</v>
      </c>
      <c r="Q2" s="1">
        <v>45089</v>
      </c>
      <c r="R2" s="1">
        <v>45090</v>
      </c>
      <c r="S2" s="1">
        <v>45091</v>
      </c>
      <c r="T2" s="1">
        <v>45092</v>
      </c>
      <c r="U2" s="1">
        <v>45093</v>
      </c>
      <c r="V2" s="1">
        <v>45094</v>
      </c>
      <c r="W2" s="1">
        <v>45095</v>
      </c>
      <c r="X2" s="1">
        <v>45096</v>
      </c>
      <c r="Y2" s="1">
        <v>45097</v>
      </c>
      <c r="Z2" s="1">
        <v>45098</v>
      </c>
      <c r="AA2" s="1">
        <v>45099</v>
      </c>
      <c r="AB2" s="1">
        <v>45100</v>
      </c>
      <c r="AC2" s="1">
        <v>45101</v>
      </c>
      <c r="AD2" s="1">
        <v>45102</v>
      </c>
      <c r="AE2" s="1">
        <v>45103</v>
      </c>
      <c r="AF2" s="1">
        <v>45104</v>
      </c>
      <c r="AG2" s="1">
        <v>45105</v>
      </c>
      <c r="AH2" s="1">
        <v>45106</v>
      </c>
      <c r="AI2" s="1">
        <v>45107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+'May-23'!AJ79</f>
        <v>4019179.1868418627</v>
      </c>
      <c r="G3" s="3">
        <f t="shared" ref="G3:AJ3" si="0">+F73</f>
        <v>4019179.1868418627</v>
      </c>
      <c r="H3" s="3">
        <f t="shared" si="0"/>
        <v>4019179.1868418627</v>
      </c>
      <c r="I3" s="3">
        <f t="shared" si="0"/>
        <v>4019179.1868418627</v>
      </c>
      <c r="J3" s="3">
        <f t="shared" si="0"/>
        <v>4019179.1868418627</v>
      </c>
      <c r="K3" s="3">
        <f t="shared" si="0"/>
        <v>3996264.1868418627</v>
      </c>
      <c r="L3" s="3">
        <f t="shared" si="0"/>
        <v>3996264.1868418627</v>
      </c>
      <c r="M3" s="3">
        <f t="shared" si="0"/>
        <v>3368402.1868418627</v>
      </c>
      <c r="N3" s="3">
        <f t="shared" si="0"/>
        <v>3346822.1868418627</v>
      </c>
      <c r="O3" s="3">
        <f t="shared" si="0"/>
        <v>3275422.1868418627</v>
      </c>
      <c r="P3" s="3">
        <f t="shared" si="0"/>
        <v>3275422.1868418627</v>
      </c>
      <c r="Q3" s="3">
        <f t="shared" si="0"/>
        <v>3275422.1868418627</v>
      </c>
      <c r="R3" s="3">
        <f t="shared" si="0"/>
        <v>3204388.1868418627</v>
      </c>
      <c r="S3" s="3">
        <f t="shared" si="0"/>
        <v>3204388.1868418627</v>
      </c>
      <c r="T3" s="3">
        <f t="shared" si="0"/>
        <v>3204388.1868418627</v>
      </c>
      <c r="U3" s="3">
        <f t="shared" si="0"/>
        <v>3117141.1868418627</v>
      </c>
      <c r="V3" s="3">
        <f t="shared" si="0"/>
        <v>3117141.1868418627</v>
      </c>
      <c r="W3" s="3">
        <f t="shared" si="0"/>
        <v>3117141.1868418627</v>
      </c>
      <c r="X3" s="3">
        <f t="shared" si="0"/>
        <v>3117141.1868418627</v>
      </c>
      <c r="Y3" s="3">
        <f t="shared" si="0"/>
        <v>3293561.1868418627</v>
      </c>
      <c r="Z3" s="3">
        <f t="shared" si="0"/>
        <v>3293561.1868418627</v>
      </c>
      <c r="AA3" s="3">
        <f t="shared" si="0"/>
        <v>3284951.1868418627</v>
      </c>
      <c r="AB3" s="3">
        <f t="shared" si="0"/>
        <v>3284951.1868418627</v>
      </c>
      <c r="AC3" s="3">
        <f t="shared" si="0"/>
        <v>3284951.1868418627</v>
      </c>
      <c r="AD3" s="3">
        <f t="shared" si="0"/>
        <v>3284951.1868418627</v>
      </c>
      <c r="AE3" s="3">
        <f t="shared" si="0"/>
        <v>3284951.1868418627</v>
      </c>
      <c r="AF3" s="3">
        <f t="shared" si="0"/>
        <v>3284951.1868418627</v>
      </c>
      <c r="AG3" s="3">
        <f t="shared" si="0"/>
        <v>3485396.1868418627</v>
      </c>
      <c r="AH3" s="3">
        <f t="shared" si="0"/>
        <v>3463816.1868418627</v>
      </c>
      <c r="AI3" s="3">
        <f t="shared" si="0"/>
        <v>3463816.1868418627</v>
      </c>
      <c r="AJ3" s="3">
        <f t="shared" si="0"/>
        <v>3463816.1868418627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2012</v>
      </c>
      <c r="B6" s="66" t="s">
        <v>2013</v>
      </c>
      <c r="C6" s="38">
        <v>45072</v>
      </c>
      <c r="D6" s="39">
        <v>87189</v>
      </c>
      <c r="E6" s="40" t="s">
        <v>1345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Z6" s="3"/>
      <c r="AA6" s="3"/>
      <c r="AB6" s="3"/>
      <c r="AD6" s="3"/>
      <c r="AE6" s="3"/>
      <c r="AF6" s="3">
        <v>87189</v>
      </c>
      <c r="AG6" s="3"/>
      <c r="AH6" s="3"/>
      <c r="AI6" s="3"/>
      <c r="AK6" s="3">
        <f>SUM($F6:AJ6)</f>
        <v>87189</v>
      </c>
      <c r="AL6" s="22"/>
      <c r="AM6"/>
    </row>
    <row r="7" spans="1:39" ht="15" thickBot="1" x14ac:dyDescent="0.4">
      <c r="A7" s="43" t="s">
        <v>2014</v>
      </c>
      <c r="B7" s="76" t="s">
        <v>2015</v>
      </c>
      <c r="C7" s="45">
        <v>45065</v>
      </c>
      <c r="D7" s="46">
        <v>45855</v>
      </c>
      <c r="E7" s="47" t="s">
        <v>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>
        <v>45855</v>
      </c>
      <c r="Z7" s="3"/>
      <c r="AA7" s="3"/>
      <c r="AB7" s="3"/>
      <c r="AD7" s="3"/>
      <c r="AE7" s="3"/>
      <c r="AF7" s="3"/>
      <c r="AG7" s="3"/>
      <c r="AH7" s="3"/>
      <c r="AI7" s="3"/>
      <c r="AK7" s="3">
        <f>SUM($F7:AJ7)</f>
        <v>45855</v>
      </c>
      <c r="AL7" s="22"/>
      <c r="AM7"/>
    </row>
    <row r="8" spans="1:39" x14ac:dyDescent="0.35">
      <c r="A8" s="36" t="s">
        <v>2028</v>
      </c>
      <c r="B8" s="66" t="s">
        <v>2025</v>
      </c>
      <c r="C8" s="38">
        <v>45079</v>
      </c>
      <c r="D8" s="39">
        <v>87189</v>
      </c>
      <c r="E8" s="40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>
        <v>87189</v>
      </c>
      <c r="Z8" s="3"/>
      <c r="AA8" s="3"/>
      <c r="AB8" s="3"/>
      <c r="AD8" s="3"/>
      <c r="AE8" s="3"/>
      <c r="AF8" s="3"/>
      <c r="AG8" s="3"/>
      <c r="AH8" s="3"/>
      <c r="AI8" s="3"/>
      <c r="AK8" s="3">
        <f>SUM($F8:AJ8)</f>
        <v>87189</v>
      </c>
      <c r="AL8" s="22"/>
      <c r="AM8"/>
    </row>
    <row r="9" spans="1:39" x14ac:dyDescent="0.35">
      <c r="A9" s="41" t="s">
        <v>2029</v>
      </c>
      <c r="B9" t="s">
        <v>2026</v>
      </c>
      <c r="C9" s="5">
        <v>45079</v>
      </c>
      <c r="D9" s="3">
        <v>87189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>
        <v>87189</v>
      </c>
      <c r="Z9" s="3"/>
      <c r="AA9" s="3"/>
      <c r="AB9" s="3"/>
      <c r="AD9" s="3"/>
      <c r="AE9" s="3"/>
      <c r="AF9" s="3"/>
      <c r="AG9" s="3"/>
      <c r="AH9" s="3"/>
      <c r="AI9" s="3"/>
      <c r="AK9" s="3">
        <f>SUM($F9:AJ9)</f>
        <v>87189</v>
      </c>
      <c r="AL9" s="22"/>
      <c r="AM9"/>
    </row>
    <row r="10" spans="1:39" x14ac:dyDescent="0.35">
      <c r="A10" s="41" t="s">
        <v>2030</v>
      </c>
      <c r="B10" t="s">
        <v>2027</v>
      </c>
      <c r="C10" s="5">
        <v>45079</v>
      </c>
      <c r="D10" s="3">
        <v>87189</v>
      </c>
      <c r="E10" s="42" t="s">
        <v>1345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Z10" s="3"/>
      <c r="AA10" s="3"/>
      <c r="AB10" s="3"/>
      <c r="AD10" s="3"/>
      <c r="AE10" s="3"/>
      <c r="AF10" s="3"/>
      <c r="AG10" s="3"/>
      <c r="AH10" s="3"/>
      <c r="AI10" s="3"/>
      <c r="AK10" s="3">
        <f>SUM($F10:AJ10)</f>
        <v>0</v>
      </c>
      <c r="AL10" s="22"/>
      <c r="AM10"/>
    </row>
    <row r="11" spans="1:39" x14ac:dyDescent="0.35">
      <c r="A11" s="41" t="s">
        <v>2032</v>
      </c>
      <c r="B11" t="s">
        <v>2031</v>
      </c>
      <c r="C11" s="5">
        <v>45080</v>
      </c>
      <c r="D11" s="3">
        <v>54423</v>
      </c>
      <c r="E11" s="42" t="s">
        <v>782</v>
      </c>
      <c r="F11" s="3"/>
      <c r="G11" s="3" t="s"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>
        <v>54423</v>
      </c>
      <c r="Z11" s="3"/>
      <c r="AA11" s="3"/>
      <c r="AB11" s="3"/>
      <c r="AD11" s="3"/>
      <c r="AE11" s="3"/>
      <c r="AF11" s="3"/>
      <c r="AG11" s="3"/>
      <c r="AH11" s="3"/>
      <c r="AI11" s="3"/>
      <c r="AK11" s="3">
        <f>SUM($F11:AJ11)</f>
        <v>54423</v>
      </c>
      <c r="AL11" s="22"/>
      <c r="AM11"/>
    </row>
    <row r="12" spans="1:39" x14ac:dyDescent="0.35">
      <c r="A12" s="41" t="s">
        <v>2035</v>
      </c>
      <c r="B12" t="s">
        <v>2033</v>
      </c>
      <c r="C12" s="5">
        <v>45080</v>
      </c>
      <c r="D12" s="3">
        <v>87189</v>
      </c>
      <c r="E12" s="42" t="s">
        <v>782</v>
      </c>
      <c r="F12" s="3"/>
      <c r="G12" s="3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87189</v>
      </c>
      <c r="Z12" s="3"/>
      <c r="AA12" s="3"/>
      <c r="AB12" s="3"/>
      <c r="AD12" s="3"/>
      <c r="AE12" s="3"/>
      <c r="AF12" s="3"/>
      <c r="AG12" s="3"/>
      <c r="AH12" s="3"/>
      <c r="AI12" s="3"/>
      <c r="AK12" s="3">
        <f>SUM($F12:AJ12)</f>
        <v>87189</v>
      </c>
      <c r="AL12" s="22"/>
      <c r="AM12"/>
    </row>
    <row r="13" spans="1:39" x14ac:dyDescent="0.35">
      <c r="A13" s="41" t="s">
        <v>2040</v>
      </c>
      <c r="B13" t="s">
        <v>2034</v>
      </c>
      <c r="C13" s="5">
        <v>45082</v>
      </c>
      <c r="D13" s="3">
        <v>172458</v>
      </c>
      <c r="E13" s="42" t="s">
        <v>1345</v>
      </c>
      <c r="F13" s="3"/>
      <c r="G13" s="3" t="s">
        <v>13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  <c r="AM13"/>
    </row>
    <row r="14" spans="1:39" x14ac:dyDescent="0.35">
      <c r="A14" s="41" t="s">
        <v>2041</v>
      </c>
      <c r="B14" t="s">
        <v>2036</v>
      </c>
      <c r="C14" s="5">
        <v>45082</v>
      </c>
      <c r="D14" s="3">
        <v>172458</v>
      </c>
      <c r="E14" s="42" t="s">
        <v>1345</v>
      </c>
      <c r="F14" s="3"/>
      <c r="G14" s="3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  <c r="AM14"/>
    </row>
    <row r="15" spans="1:39" x14ac:dyDescent="0.35">
      <c r="A15" s="41" t="s">
        <v>2039</v>
      </c>
      <c r="B15" t="s">
        <v>2037</v>
      </c>
      <c r="C15" s="5">
        <v>45082</v>
      </c>
      <c r="D15" s="3">
        <v>73788</v>
      </c>
      <c r="E15" s="42" t="s">
        <v>1441</v>
      </c>
      <c r="F15" s="3"/>
      <c r="G15" s="3" t="s">
        <v>13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D15" s="3"/>
      <c r="AE15" s="3"/>
      <c r="AF15" s="3">
        <v>73788</v>
      </c>
      <c r="AG15" s="3"/>
      <c r="AH15" s="3"/>
      <c r="AI15" s="3"/>
      <c r="AK15" s="3">
        <f>SUM($F15:AJ15)</f>
        <v>73788</v>
      </c>
      <c r="AL15" s="22"/>
      <c r="AM15"/>
    </row>
    <row r="16" spans="1:39" x14ac:dyDescent="0.35">
      <c r="A16" s="41" t="s">
        <v>2042</v>
      </c>
      <c r="B16" t="s">
        <v>2038</v>
      </c>
      <c r="C16" s="5">
        <v>45082</v>
      </c>
      <c r="D16" s="3">
        <v>39468</v>
      </c>
      <c r="E16" s="42" t="s">
        <v>1441</v>
      </c>
      <c r="F16" s="323" t="s">
        <v>13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D16" s="3"/>
      <c r="AE16" s="3"/>
      <c r="AF16" s="3">
        <v>39468</v>
      </c>
      <c r="AG16" s="3"/>
      <c r="AH16" s="3"/>
      <c r="AI16" s="3"/>
      <c r="AK16" s="3">
        <f>SUM($F16:AJ16)</f>
        <v>39468</v>
      </c>
      <c r="AL16" s="22"/>
      <c r="AM16"/>
    </row>
    <row r="17" spans="1:42" x14ac:dyDescent="0.35">
      <c r="A17" s="41" t="s">
        <v>2052</v>
      </c>
      <c r="B17" t="s">
        <v>2048</v>
      </c>
      <c r="C17" s="5">
        <v>45084</v>
      </c>
      <c r="D17" s="3">
        <v>87189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  <c r="AM17"/>
    </row>
    <row r="18" spans="1:42" x14ac:dyDescent="0.35">
      <c r="A18" s="41" t="s">
        <v>2053</v>
      </c>
      <c r="B18" t="s">
        <v>2049</v>
      </c>
      <c r="C18" s="5">
        <v>45084</v>
      </c>
      <c r="D18" s="3">
        <v>45855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  <c r="AM18"/>
    </row>
    <row r="19" spans="1:42" x14ac:dyDescent="0.35">
      <c r="A19" s="41" t="s">
        <v>2051</v>
      </c>
      <c r="B19" t="s">
        <v>2050</v>
      </c>
      <c r="C19" s="5">
        <v>45086</v>
      </c>
      <c r="D19" s="3">
        <v>87189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 t="s">
        <v>13</v>
      </c>
      <c r="AD19" s="3"/>
      <c r="AE19" s="3"/>
      <c r="AF19" s="3"/>
      <c r="AG19" s="3"/>
      <c r="AH19" s="3"/>
      <c r="AI19" s="3"/>
      <c r="AK19" s="3">
        <f>SUM($F19:AJ19)</f>
        <v>0</v>
      </c>
    </row>
    <row r="20" spans="1:42" x14ac:dyDescent="0.35">
      <c r="A20" s="41" t="s">
        <v>2058</v>
      </c>
      <c r="B20" t="s">
        <v>2057</v>
      </c>
      <c r="C20" s="5">
        <v>45088</v>
      </c>
      <c r="D20" s="3">
        <f>(19055+60000+60000)*1.19</f>
        <v>165475.44999999998</v>
      </c>
      <c r="E20" s="42" t="s">
        <v>1441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2" x14ac:dyDescent="0.35">
      <c r="A21" s="41" t="s">
        <v>2065</v>
      </c>
      <c r="B21" t="s">
        <v>2060</v>
      </c>
      <c r="C21" s="5">
        <v>45094</v>
      </c>
      <c r="D21" s="3">
        <v>45855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42" x14ac:dyDescent="0.35">
      <c r="A22" s="41" t="s">
        <v>2066</v>
      </c>
      <c r="B22" t="s">
        <v>2061</v>
      </c>
      <c r="C22" s="5">
        <v>45094</v>
      </c>
      <c r="D22" s="3">
        <v>45855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42" x14ac:dyDescent="0.35">
      <c r="A23" s="41" t="s">
        <v>2067</v>
      </c>
      <c r="B23" t="s">
        <v>2062</v>
      </c>
      <c r="C23" s="5">
        <v>45094</v>
      </c>
      <c r="D23" s="3">
        <v>45855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42" x14ac:dyDescent="0.35">
      <c r="A24" s="41" t="s">
        <v>2068</v>
      </c>
      <c r="B24" t="s">
        <v>2063</v>
      </c>
      <c r="C24" s="5">
        <v>45094</v>
      </c>
      <c r="D24" s="3">
        <v>45855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42" x14ac:dyDescent="0.35">
      <c r="A25" s="41" t="s">
        <v>2069</v>
      </c>
      <c r="B25" t="s">
        <v>2064</v>
      </c>
      <c r="C25" s="5">
        <v>45094</v>
      </c>
      <c r="D25" s="3">
        <v>87189</v>
      </c>
      <c r="E25" s="42" t="s">
        <v>1345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42" x14ac:dyDescent="0.35">
      <c r="A26" s="41" t="s">
        <v>2082</v>
      </c>
      <c r="B26" t="s">
        <v>2079</v>
      </c>
      <c r="C26" s="5">
        <v>45099</v>
      </c>
      <c r="D26" s="3">
        <v>87189</v>
      </c>
      <c r="E26" s="42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42" x14ac:dyDescent="0.35">
      <c r="A27" s="41" t="s">
        <v>2083</v>
      </c>
      <c r="B27" t="s">
        <v>2080</v>
      </c>
      <c r="C27" s="5">
        <v>45099</v>
      </c>
      <c r="D27" s="3">
        <v>45855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42" x14ac:dyDescent="0.35">
      <c r="A28" s="41" t="s">
        <v>2084</v>
      </c>
      <c r="B28" t="s">
        <v>2081</v>
      </c>
      <c r="C28" s="5">
        <v>45099</v>
      </c>
      <c r="D28" s="3">
        <v>45855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</row>
    <row r="29" spans="1:42" x14ac:dyDescent="0.35">
      <c r="A29" s="41" t="s">
        <v>2086</v>
      </c>
      <c r="B29" t="s">
        <v>2085</v>
      </c>
      <c r="C29" s="5">
        <v>45100</v>
      </c>
      <c r="D29" s="3">
        <v>87189</v>
      </c>
      <c r="E29" s="42" t="s">
        <v>1345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0</v>
      </c>
      <c r="AL29" s="22"/>
    </row>
    <row r="30" spans="1:42" x14ac:dyDescent="0.35">
      <c r="A30" s="41" t="s">
        <v>2087</v>
      </c>
      <c r="B30" t="s">
        <v>2088</v>
      </c>
      <c r="C30" s="5">
        <v>45101</v>
      </c>
      <c r="D30" s="3">
        <v>45855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>
        <f>SUM($F30:AJ30)</f>
        <v>0</v>
      </c>
      <c r="AL30" s="22"/>
    </row>
    <row r="31" spans="1:42" x14ac:dyDescent="0.35">
      <c r="A31" s="41" t="s">
        <v>2096</v>
      </c>
      <c r="B31" t="s">
        <v>2089</v>
      </c>
      <c r="C31" s="5">
        <v>45101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">
        <f>SUM($F31:AJ31)</f>
        <v>0</v>
      </c>
      <c r="AL31" s="22"/>
    </row>
    <row r="32" spans="1:42" ht="15" thickBot="1" x14ac:dyDescent="0.4">
      <c r="A32" s="43"/>
      <c r="B32" s="76"/>
      <c r="C32" s="76"/>
      <c r="D32" s="46"/>
      <c r="E32" s="4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0</v>
      </c>
      <c r="AL32" s="22"/>
      <c r="AP32" t="s">
        <v>13</v>
      </c>
    </row>
    <row r="33" spans="1:41" x14ac:dyDescent="0.35">
      <c r="D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24" t="s">
        <v>1962</v>
      </c>
      <c r="AL33" s="22" t="s">
        <v>1352</v>
      </c>
    </row>
    <row r="34" spans="1:41" x14ac:dyDescent="0.35">
      <c r="A34" s="2" t="s">
        <v>1676</v>
      </c>
      <c r="D34" s="3">
        <f>SUM(D8:D32)</f>
        <v>1916800.45</v>
      </c>
      <c r="F34" s="3">
        <f t="shared" ref="F34:U34" si="1">SUM(F5:F19)</f>
        <v>0</v>
      </c>
      <c r="G34" s="3">
        <f t="shared" si="1"/>
        <v>0</v>
      </c>
      <c r="H34" s="3">
        <f t="shared" si="1"/>
        <v>0</v>
      </c>
      <c r="I34" s="3">
        <f t="shared" si="1"/>
        <v>0</v>
      </c>
      <c r="J34" s="3">
        <f t="shared" si="1"/>
        <v>0</v>
      </c>
      <c r="K34" s="3">
        <f t="shared" si="1"/>
        <v>0</v>
      </c>
      <c r="L34" s="3">
        <f t="shared" si="1"/>
        <v>0</v>
      </c>
      <c r="M34" s="3">
        <f t="shared" si="1"/>
        <v>0</v>
      </c>
      <c r="N34" s="3">
        <f t="shared" si="1"/>
        <v>0</v>
      </c>
      <c r="O34" s="3">
        <f t="shared" si="1"/>
        <v>0</v>
      </c>
      <c r="P34" s="3">
        <f t="shared" si="1"/>
        <v>0</v>
      </c>
      <c r="Q34" s="3">
        <f t="shared" si="1"/>
        <v>0</v>
      </c>
      <c r="R34" s="3">
        <f t="shared" si="1"/>
        <v>0</v>
      </c>
      <c r="S34" s="3">
        <f t="shared" si="1"/>
        <v>0</v>
      </c>
      <c r="T34" s="3">
        <f t="shared" si="1"/>
        <v>0</v>
      </c>
      <c r="U34" s="3">
        <f t="shared" si="1"/>
        <v>0</v>
      </c>
      <c r="V34" s="3">
        <f>SUM(V6:V19)</f>
        <v>0</v>
      </c>
      <c r="W34" s="3">
        <f t="shared" ref="W34:AJ34" si="2">SUM(W5:W19)</f>
        <v>0</v>
      </c>
      <c r="X34" s="3">
        <f t="shared" si="2"/>
        <v>361845</v>
      </c>
      <c r="Y34" s="3">
        <f t="shared" si="2"/>
        <v>0</v>
      </c>
      <c r="Z34" s="3">
        <f t="shared" si="2"/>
        <v>0</v>
      </c>
      <c r="AA34" s="3">
        <f t="shared" si="2"/>
        <v>0</v>
      </c>
      <c r="AB34" s="3">
        <f t="shared" si="2"/>
        <v>0</v>
      </c>
      <c r="AC34" s="3">
        <f t="shared" si="2"/>
        <v>0</v>
      </c>
      <c r="AD34" s="3">
        <f t="shared" si="2"/>
        <v>0</v>
      </c>
      <c r="AE34" s="3">
        <f t="shared" si="2"/>
        <v>0</v>
      </c>
      <c r="AF34" s="3">
        <f t="shared" si="2"/>
        <v>200445</v>
      </c>
      <c r="AG34" s="3">
        <f t="shared" si="2"/>
        <v>0</v>
      </c>
      <c r="AH34" s="3">
        <f t="shared" si="2"/>
        <v>0</v>
      </c>
      <c r="AI34" s="3">
        <f t="shared" si="2"/>
        <v>0</v>
      </c>
      <c r="AJ34" s="3">
        <f t="shared" si="2"/>
        <v>0</v>
      </c>
      <c r="AK34" s="72">
        <f>SUM(AK6:AK32)</f>
        <v>562290</v>
      </c>
      <c r="AL34" s="22">
        <f>+D35-AK34</f>
        <v>1487554.45</v>
      </c>
      <c r="AM34" s="6" t="s">
        <v>13</v>
      </c>
    </row>
    <row r="35" spans="1:41" x14ac:dyDescent="0.35">
      <c r="A35" s="2" t="s">
        <v>1780</v>
      </c>
      <c r="B35" t="s">
        <v>13</v>
      </c>
      <c r="C35" s="3" t="s">
        <v>13</v>
      </c>
      <c r="D35" s="3">
        <f>SUM(D6:D32)</f>
        <v>2049844.45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41" x14ac:dyDescent="0.35">
      <c r="A36" s="2"/>
      <c r="C36" s="3"/>
      <c r="D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41" x14ac:dyDescent="0.35">
      <c r="A37" s="2" t="s">
        <v>2</v>
      </c>
      <c r="F37" s="3"/>
      <c r="G37" s="3"/>
      <c r="H37" s="3"/>
      <c r="I37" s="3"/>
      <c r="J37" s="3"/>
      <c r="K37" s="3"/>
      <c r="L37" s="3" t="s">
        <v>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41" ht="15" thickBot="1" x14ac:dyDescent="0.4">
      <c r="A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41" x14ac:dyDescent="0.35">
      <c r="A39" s="358" t="s">
        <v>1008</v>
      </c>
      <c r="B39" s="37" t="s">
        <v>337</v>
      </c>
      <c r="C39" s="38"/>
      <c r="D39" s="39">
        <v>2400000</v>
      </c>
      <c r="E39" s="40"/>
      <c r="F39" s="3"/>
      <c r="G39" s="3"/>
      <c r="H39" s="3" t="s">
        <v>13</v>
      </c>
      <c r="I39" s="3" t="s">
        <v>13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</row>
    <row r="40" spans="1:41" x14ac:dyDescent="0.35">
      <c r="A40" s="41" t="s">
        <v>1977</v>
      </c>
      <c r="B40" t="s">
        <v>337</v>
      </c>
      <c r="C40" s="5">
        <v>45078</v>
      </c>
      <c r="D40" s="3">
        <v>440421.53523684212</v>
      </c>
      <c r="E40" s="42"/>
      <c r="I40" s="3" t="s">
        <v>13</v>
      </c>
      <c r="J40" s="3"/>
      <c r="K40" s="3"/>
      <c r="L40" s="3">
        <v>440422</v>
      </c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SUM($H40:AJ40)</f>
        <v>440422</v>
      </c>
    </row>
    <row r="41" spans="1:41" x14ac:dyDescent="0.35">
      <c r="A41" s="343" t="s">
        <v>1161</v>
      </c>
      <c r="B41" s="24" t="s">
        <v>1959</v>
      </c>
      <c r="C41" s="5">
        <v>44989</v>
      </c>
      <c r="D41" s="3">
        <v>7080</v>
      </c>
      <c r="E41" s="344" t="s">
        <v>4</v>
      </c>
      <c r="F41" s="3"/>
      <c r="G41" s="3"/>
      <c r="H41" s="3"/>
      <c r="I41" s="3"/>
      <c r="J41" s="3"/>
      <c r="K41" s="3"/>
      <c r="L41" s="3"/>
      <c r="M41" s="3"/>
      <c r="O41" s="3"/>
      <c r="P41" s="3" t="s">
        <v>13</v>
      </c>
      <c r="Q41" s="3"/>
      <c r="R41" s="3"/>
      <c r="S41" s="3"/>
      <c r="T41" s="3">
        <v>7080</v>
      </c>
      <c r="U41" s="3"/>
      <c r="V41" s="3"/>
      <c r="W41" s="3"/>
      <c r="Y41" s="3"/>
      <c r="Z41" s="3"/>
      <c r="AA41" s="3"/>
      <c r="AB41" s="3"/>
      <c r="AC41" s="3"/>
      <c r="AD41" s="3"/>
      <c r="AE41" s="3" t="s">
        <v>13</v>
      </c>
      <c r="AF41" s="3"/>
      <c r="AG41" s="3"/>
      <c r="AH41" s="3"/>
      <c r="AI41" s="3"/>
      <c r="AJ41" s="3"/>
      <c r="AK41" s="3">
        <f>SUM($F41:AJ41)</f>
        <v>7080</v>
      </c>
      <c r="AL41" s="6" t="s">
        <v>13</v>
      </c>
      <c r="AM41" s="6" t="s">
        <v>13</v>
      </c>
    </row>
    <row r="42" spans="1:41" x14ac:dyDescent="0.35">
      <c r="A42" s="343" t="s">
        <v>1958</v>
      </c>
      <c r="B42" s="24"/>
      <c r="C42" s="5">
        <v>45023</v>
      </c>
      <c r="D42" s="3">
        <v>4999</v>
      </c>
      <c r="E42" s="344" t="s">
        <v>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>
        <v>4999</v>
      </c>
      <c r="U42" s="3"/>
      <c r="V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4999</v>
      </c>
      <c r="AL42" s="6" t="s">
        <v>13</v>
      </c>
      <c r="AN42" s="26"/>
      <c r="AO42" s="3"/>
    </row>
    <row r="43" spans="1:41" x14ac:dyDescent="0.35">
      <c r="A43" s="343" t="s">
        <v>1958</v>
      </c>
      <c r="B43" s="24"/>
      <c r="C43" s="5">
        <v>45053</v>
      </c>
      <c r="D43" s="3">
        <v>4999</v>
      </c>
      <c r="E43" s="344" t="s">
        <v>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>
        <v>4999</v>
      </c>
      <c r="U43" s="3"/>
      <c r="V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4999</v>
      </c>
      <c r="AN43" s="26"/>
      <c r="AO43" s="3"/>
    </row>
    <row r="44" spans="1:41" x14ac:dyDescent="0.35">
      <c r="A44" s="343" t="s">
        <v>1104</v>
      </c>
      <c r="B44" s="24" t="s">
        <v>2010</v>
      </c>
      <c r="C44" s="5">
        <v>45070</v>
      </c>
      <c r="D44" s="3">
        <v>53896</v>
      </c>
      <c r="E44" s="344" t="s">
        <v>4</v>
      </c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>
        <v>53896</v>
      </c>
      <c r="U44" s="3"/>
      <c r="V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53896</v>
      </c>
      <c r="AL44" s="6" t="s">
        <v>13</v>
      </c>
      <c r="AN44" s="26"/>
      <c r="AO44" s="3"/>
    </row>
    <row r="45" spans="1:41" ht="15" thickBot="1" x14ac:dyDescent="0.4">
      <c r="A45" s="345" t="s">
        <v>1104</v>
      </c>
      <c r="B45" s="44" t="s">
        <v>2011</v>
      </c>
      <c r="C45" s="45">
        <v>45072</v>
      </c>
      <c r="D45" s="46">
        <v>16273</v>
      </c>
      <c r="E45" s="347" t="s">
        <v>4</v>
      </c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>
        <v>16273</v>
      </c>
      <c r="U45" s="3"/>
      <c r="V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16273</v>
      </c>
      <c r="AL45" s="6" t="s">
        <v>13</v>
      </c>
      <c r="AN45" s="26"/>
      <c r="AO45" s="3"/>
    </row>
    <row r="46" spans="1:41" x14ac:dyDescent="0.35">
      <c r="A46" s="343" t="s">
        <v>1161</v>
      </c>
      <c r="B46" s="24" t="s">
        <v>2043</v>
      </c>
      <c r="C46" s="5">
        <v>45080</v>
      </c>
      <c r="D46" s="3">
        <v>6560</v>
      </c>
      <c r="E46" s="344" t="s">
        <v>4</v>
      </c>
      <c r="F46" s="3"/>
      <c r="H46" s="3"/>
      <c r="I46" s="3"/>
      <c r="J46" s="3"/>
      <c r="K46" s="3"/>
      <c r="L46" s="3"/>
      <c r="M46" s="3"/>
      <c r="N46" s="3"/>
      <c r="O46" s="3"/>
      <c r="P46" s="3"/>
      <c r="Q46" s="3">
        <v>6560</v>
      </c>
      <c r="R46" s="3"/>
      <c r="S46" s="3"/>
      <c r="T46" s="3"/>
      <c r="U46" s="3"/>
      <c r="V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6560</v>
      </c>
      <c r="AL46" s="6" t="s">
        <v>83</v>
      </c>
      <c r="AN46" s="26"/>
      <c r="AO46" s="3"/>
    </row>
    <row r="47" spans="1:41" x14ac:dyDescent="0.35">
      <c r="A47" s="343" t="s">
        <v>2022</v>
      </c>
      <c r="B47" s="24"/>
      <c r="C47" s="5">
        <v>45082</v>
      </c>
      <c r="D47" s="3">
        <v>13905</v>
      </c>
      <c r="E47" s="344"/>
      <c r="F47" s="3"/>
      <c r="G47" s="3"/>
      <c r="H47" s="3"/>
      <c r="I47" s="3"/>
      <c r="J47" s="3">
        <v>13905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f>SUM($F47:AJ47)</f>
        <v>13905</v>
      </c>
      <c r="AL47" s="6" t="s">
        <v>1557</v>
      </c>
      <c r="AN47" s="26"/>
      <c r="AO47" s="3"/>
    </row>
    <row r="48" spans="1:41" x14ac:dyDescent="0.35">
      <c r="A48" s="343" t="s">
        <v>1161</v>
      </c>
      <c r="B48" s="24" t="s">
        <v>2024</v>
      </c>
      <c r="C48" s="5">
        <v>45082</v>
      </c>
      <c r="D48" s="3">
        <v>9010</v>
      </c>
      <c r="E48" s="344" t="s">
        <v>1704</v>
      </c>
      <c r="F48" s="3"/>
      <c r="H48" s="3"/>
      <c r="I48" s="3"/>
      <c r="J48" s="3">
        <v>9010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9010</v>
      </c>
      <c r="AL48" s="6" t="s">
        <v>83</v>
      </c>
      <c r="AN48" s="26"/>
      <c r="AO48" s="3"/>
    </row>
    <row r="49" spans="1:43" x14ac:dyDescent="0.35">
      <c r="A49" s="41" t="s">
        <v>2046</v>
      </c>
      <c r="B49" s="24" t="s">
        <v>535</v>
      </c>
      <c r="C49" s="5">
        <v>45082</v>
      </c>
      <c r="D49" s="3">
        <f>33000*1.1</f>
        <v>36300</v>
      </c>
      <c r="E49" s="344" t="s">
        <v>4</v>
      </c>
      <c r="F49" s="3"/>
      <c r="H49" s="3"/>
      <c r="I49" s="3"/>
      <c r="J49" s="3"/>
      <c r="K49" s="3"/>
      <c r="L49" s="3"/>
      <c r="M49" s="3"/>
      <c r="N49" s="3"/>
      <c r="O49" s="3"/>
      <c r="P49" s="3"/>
      <c r="Q49" s="3">
        <f>33000*1.1</f>
        <v>36300</v>
      </c>
      <c r="R49" s="3"/>
      <c r="S49" s="3"/>
      <c r="T49" s="3"/>
      <c r="U49" s="3"/>
      <c r="V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36300</v>
      </c>
      <c r="AL49" s="6" t="s">
        <v>81</v>
      </c>
      <c r="AN49" s="26"/>
      <c r="AO49" s="3"/>
    </row>
    <row r="50" spans="1:43" x14ac:dyDescent="0.35">
      <c r="A50" s="343" t="s">
        <v>2044</v>
      </c>
      <c r="B50" s="24"/>
      <c r="C50" s="5">
        <v>45083</v>
      </c>
      <c r="D50" s="3">
        <f>300*400*1.19</f>
        <v>142800</v>
      </c>
      <c r="E50" s="344" t="s">
        <v>503</v>
      </c>
      <c r="F50" s="3"/>
      <c r="H50" s="3"/>
      <c r="I50" s="3"/>
      <c r="J50" s="3"/>
      <c r="K50" s="3"/>
      <c r="L50" s="3">
        <v>142800</v>
      </c>
      <c r="M50" s="3"/>
      <c r="N50" s="3"/>
      <c r="O50" s="3"/>
      <c r="P50" s="3"/>
      <c r="Q50" s="3"/>
      <c r="R50" s="3"/>
      <c r="S50" s="3"/>
      <c r="T50" s="3"/>
      <c r="U50" s="3"/>
      <c r="V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142800</v>
      </c>
      <c r="AL50" s="6" t="s">
        <v>83</v>
      </c>
      <c r="AN50" s="26"/>
      <c r="AO50" s="3"/>
    </row>
    <row r="51" spans="1:43" x14ac:dyDescent="0.35">
      <c r="A51" s="343" t="s">
        <v>1792</v>
      </c>
      <c r="B51" s="24"/>
      <c r="C51" s="5">
        <v>45083</v>
      </c>
      <c r="D51" s="3">
        <f>82*2*1290/9+(700+700+800+800+1500)*2+(303+615)*2+3245+2686</f>
        <v>40273.666666666672</v>
      </c>
      <c r="E51" s="344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0</v>
      </c>
      <c r="AL51" s="6" t="s">
        <v>81</v>
      </c>
      <c r="AN51" s="26"/>
      <c r="AO51" s="3"/>
    </row>
    <row r="52" spans="1:43" x14ac:dyDescent="0.35">
      <c r="A52" s="343" t="s">
        <v>1958</v>
      </c>
      <c r="B52" s="24"/>
      <c r="C52" s="5">
        <v>45084</v>
      </c>
      <c r="D52" s="3">
        <v>5499</v>
      </c>
      <c r="E52" s="344" t="s">
        <v>4</v>
      </c>
      <c r="F52" s="3"/>
      <c r="H52" s="3"/>
      <c r="I52" s="3"/>
      <c r="J52" s="3"/>
      <c r="K52" s="3"/>
      <c r="L52" s="3" t="s">
        <v>13</v>
      </c>
      <c r="M52" s="3"/>
      <c r="N52" s="3"/>
      <c r="O52" s="3"/>
      <c r="P52" s="3"/>
      <c r="Q52" s="3">
        <v>5499</v>
      </c>
      <c r="R52" s="3"/>
      <c r="S52" s="3"/>
      <c r="T52" s="3"/>
      <c r="U52" s="3"/>
      <c r="V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f>SUM($F52:AJ52)</f>
        <v>5499</v>
      </c>
      <c r="AL52" s="6" t="s">
        <v>81</v>
      </c>
      <c r="AN52" s="26"/>
      <c r="AO52" s="3"/>
    </row>
    <row r="53" spans="1:43" x14ac:dyDescent="0.35">
      <c r="A53" s="41" t="s">
        <v>2045</v>
      </c>
      <c r="B53" s="24"/>
      <c r="C53" s="5">
        <v>45084</v>
      </c>
      <c r="D53" s="3">
        <v>44460</v>
      </c>
      <c r="E53" s="344" t="s">
        <v>503</v>
      </c>
      <c r="F53" s="3"/>
      <c r="H53" s="3"/>
      <c r="I53" s="3"/>
      <c r="J53" s="3"/>
      <c r="K53" s="3"/>
      <c r="L53" s="3">
        <v>44640</v>
      </c>
      <c r="M53" s="3"/>
      <c r="N53" s="3"/>
      <c r="O53" s="3"/>
      <c r="P53" s="3"/>
      <c r="Q53" s="3"/>
      <c r="R53" s="3"/>
      <c r="S53" s="3"/>
      <c r="T53" s="3"/>
      <c r="U53" s="3"/>
      <c r="V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f>SUM($F53:AJ53)</f>
        <v>44640</v>
      </c>
      <c r="AL53" s="6" t="s">
        <v>81</v>
      </c>
      <c r="AN53" s="26"/>
      <c r="AO53" s="3"/>
    </row>
    <row r="54" spans="1:43" x14ac:dyDescent="0.35">
      <c r="A54" s="343" t="s">
        <v>1161</v>
      </c>
      <c r="B54" s="291" t="s">
        <v>2095</v>
      </c>
      <c r="C54" s="5">
        <v>45085</v>
      </c>
      <c r="D54" s="3">
        <v>21580</v>
      </c>
      <c r="E54" s="344" t="s">
        <v>1704</v>
      </c>
      <c r="F54" s="3"/>
      <c r="H54" s="3"/>
      <c r="I54" s="3"/>
      <c r="J54" s="3"/>
      <c r="K54" s="3"/>
      <c r="L54" s="3"/>
      <c r="M54" s="3">
        <v>21580</v>
      </c>
      <c r="N54" s="3"/>
      <c r="O54" s="3"/>
      <c r="P54" s="3"/>
      <c r="Q54" s="3"/>
      <c r="R54" s="3"/>
      <c r="S54" s="3"/>
      <c r="T54" s="3"/>
      <c r="U54" s="3"/>
      <c r="V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21580</v>
      </c>
      <c r="AL54" s="6" t="s">
        <v>83</v>
      </c>
      <c r="AN54" s="26"/>
      <c r="AO54" s="3"/>
    </row>
    <row r="55" spans="1:43" x14ac:dyDescent="0.35">
      <c r="A55" s="41" t="s">
        <v>2055</v>
      </c>
      <c r="B55" s="24" t="s">
        <v>2056</v>
      </c>
      <c r="C55" s="5">
        <v>45085</v>
      </c>
      <c r="D55" s="3">
        <v>22675</v>
      </c>
      <c r="E55" s="344" t="s">
        <v>4</v>
      </c>
      <c r="F55" s="3"/>
      <c r="H55" s="3"/>
      <c r="I55" s="3"/>
      <c r="J55" s="3"/>
      <c r="K55" s="3"/>
      <c r="L55" s="3"/>
      <c r="M55" s="3"/>
      <c r="N55" s="3"/>
      <c r="O55" s="3"/>
      <c r="P55" s="3"/>
      <c r="Q55" s="3">
        <v>22675</v>
      </c>
      <c r="R55" s="3"/>
      <c r="S55" s="3"/>
      <c r="T55" s="3"/>
      <c r="U55" s="3"/>
      <c r="V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f>SUM($F55:AJ55)</f>
        <v>22675</v>
      </c>
      <c r="AL55" s="6" t="s">
        <v>81</v>
      </c>
      <c r="AN55" s="26"/>
      <c r="AO55" s="3"/>
    </row>
    <row r="56" spans="1:43" x14ac:dyDescent="0.35">
      <c r="A56" s="41" t="s">
        <v>2047</v>
      </c>
      <c r="B56" s="24" t="s">
        <v>2054</v>
      </c>
      <c r="C56" s="5">
        <v>45087</v>
      </c>
      <c r="D56" s="3">
        <f>60000*1.19</f>
        <v>71400</v>
      </c>
      <c r="E56" s="344" t="s">
        <v>503</v>
      </c>
      <c r="F56" s="3"/>
      <c r="H56" s="3"/>
      <c r="I56" s="3"/>
      <c r="J56" s="3"/>
      <c r="K56" s="3"/>
      <c r="L56" s="3"/>
      <c r="M56" s="3"/>
      <c r="N56" s="3">
        <f>60000*1.19</f>
        <v>71400</v>
      </c>
      <c r="O56" s="3"/>
      <c r="P56" s="3"/>
      <c r="Q56" s="3"/>
      <c r="R56" s="3"/>
      <c r="S56" s="3"/>
      <c r="T56" s="3"/>
      <c r="U56" s="3"/>
      <c r="V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f>SUM($F56:AJ56)</f>
        <v>71400</v>
      </c>
      <c r="AL56" s="6" t="s">
        <v>81</v>
      </c>
      <c r="AN56" s="26"/>
      <c r="AO56" s="3"/>
    </row>
    <row r="57" spans="1:43" x14ac:dyDescent="0.35">
      <c r="A57" s="343" t="s">
        <v>1161</v>
      </c>
      <c r="B57" s="24" t="s">
        <v>2059</v>
      </c>
      <c r="C57" s="5">
        <v>45094</v>
      </c>
      <c r="D57" s="3">
        <v>15840</v>
      </c>
      <c r="E57" s="344" t="s">
        <v>1704</v>
      </c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X57" s="3">
        <v>15840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>
        <f>SUM($F57:AJ57)</f>
        <v>15840</v>
      </c>
      <c r="AL57" s="6" t="s">
        <v>83</v>
      </c>
      <c r="AN57" s="26"/>
      <c r="AO57" s="3"/>
    </row>
    <row r="58" spans="1:43" x14ac:dyDescent="0.35">
      <c r="A58" s="343" t="s">
        <v>1161</v>
      </c>
      <c r="B58" s="24" t="s">
        <v>2078</v>
      </c>
      <c r="C58" s="5">
        <v>45098</v>
      </c>
      <c r="D58" s="3">
        <v>8610</v>
      </c>
      <c r="E58" s="344" t="s">
        <v>1704</v>
      </c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Y58" s="3"/>
      <c r="Z58" s="3">
        <v>8610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f>SUM($F58:AJ58)</f>
        <v>8610</v>
      </c>
      <c r="AL58" s="6" t="s">
        <v>83</v>
      </c>
      <c r="AN58" s="26"/>
      <c r="AO58" s="3"/>
    </row>
    <row r="59" spans="1:43" x14ac:dyDescent="0.35">
      <c r="A59" s="343" t="s">
        <v>1161</v>
      </c>
      <c r="B59" s="291" t="s">
        <v>2090</v>
      </c>
      <c r="C59" s="5">
        <v>45105</v>
      </c>
      <c r="D59" s="3">
        <v>21580</v>
      </c>
      <c r="E59" s="344" t="s">
        <v>1704</v>
      </c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Y59" s="3"/>
      <c r="Z59" s="3"/>
      <c r="AA59" s="3"/>
      <c r="AB59" s="3"/>
      <c r="AC59" s="3"/>
      <c r="AD59" s="3"/>
      <c r="AE59" s="3"/>
      <c r="AF59" s="3"/>
      <c r="AG59" s="3">
        <v>21580</v>
      </c>
      <c r="AH59" s="3"/>
      <c r="AI59" s="3"/>
      <c r="AJ59" s="3"/>
      <c r="AK59" s="3">
        <f>SUM($F59:AJ59)</f>
        <v>21580</v>
      </c>
      <c r="AL59" s="6" t="s">
        <v>83</v>
      </c>
      <c r="AN59" s="26"/>
      <c r="AO59" s="3"/>
    </row>
    <row r="60" spans="1:43" x14ac:dyDescent="0.35">
      <c r="A60" s="41"/>
      <c r="B60" s="24"/>
      <c r="C60" s="5"/>
      <c r="D60" s="3"/>
      <c r="E60" s="344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f>SUM($F60:AJ60)</f>
        <v>0</v>
      </c>
      <c r="AN60" s="26"/>
      <c r="AO60" s="3"/>
    </row>
    <row r="61" spans="1:43" x14ac:dyDescent="0.35">
      <c r="A61" s="41"/>
      <c r="B61" s="24"/>
      <c r="C61" s="5"/>
      <c r="D61" s="3"/>
      <c r="E61" s="344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f>SUM($F61:AJ61)</f>
        <v>0</v>
      </c>
      <c r="AN61" s="26"/>
      <c r="AO61" s="3"/>
    </row>
    <row r="62" spans="1:43" x14ac:dyDescent="0.35">
      <c r="A62" s="343"/>
      <c r="B62" s="24"/>
      <c r="C62" s="5"/>
      <c r="D62" s="3"/>
      <c r="E62" s="344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f>SUM($F62:AJ62)</f>
        <v>0</v>
      </c>
      <c r="AN62" s="26" t="s">
        <v>13</v>
      </c>
      <c r="AO62" s="3"/>
    </row>
    <row r="63" spans="1:43" x14ac:dyDescent="0.35">
      <c r="A63" s="343" t="s">
        <v>666</v>
      </c>
      <c r="B63" s="24"/>
      <c r="C63" s="5">
        <v>45096</v>
      </c>
      <c r="D63" s="3">
        <v>169585</v>
      </c>
      <c r="E63" s="34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 t="s">
        <v>13</v>
      </c>
      <c r="X63" s="3">
        <v>169585</v>
      </c>
      <c r="Y63" s="3" t="s">
        <v>13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f>SUM($F63:AJ63)</f>
        <v>169585</v>
      </c>
      <c r="AN63" s="26" t="s">
        <v>13</v>
      </c>
      <c r="AO63" s="3"/>
    </row>
    <row r="64" spans="1:43" ht="15" thickBot="1" x14ac:dyDescent="0.4">
      <c r="A64" s="43" t="s">
        <v>1977</v>
      </c>
      <c r="B64" s="76" t="s">
        <v>337</v>
      </c>
      <c r="C64" s="45">
        <v>45107</v>
      </c>
      <c r="D64" s="46">
        <f>+AK34*0.17</f>
        <v>95589.3</v>
      </c>
      <c r="E64" s="47"/>
      <c r="F64" s="3"/>
      <c r="G64" s="3" t="s">
        <v>13</v>
      </c>
      <c r="H64" s="3" t="s">
        <v>13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>
        <f>SUM($F64:AJ64)</f>
        <v>0</v>
      </c>
      <c r="AL64" s="6" t="s">
        <v>1846</v>
      </c>
      <c r="AM64" s="6" t="s">
        <v>13</v>
      </c>
      <c r="AO64" s="26" t="s">
        <v>13</v>
      </c>
      <c r="AP64" s="3" t="e">
        <f>+AP67/AP66</f>
        <v>#REF!</v>
      </c>
      <c r="AQ64" s="3" t="e">
        <f>+AQ67/AQ66</f>
        <v>#REF!</v>
      </c>
    </row>
    <row r="65" spans="1:47" x14ac:dyDescent="0.35">
      <c r="A65" s="4" t="s">
        <v>2023</v>
      </c>
      <c r="B65" s="24">
        <f>84.052/8</f>
        <v>10.506500000000001</v>
      </c>
      <c r="C65" s="67" t="s">
        <v>13</v>
      </c>
      <c r="D65" s="3">
        <f>+B65*C66</f>
        <v>373737.63826000004</v>
      </c>
      <c r="E65" s="153"/>
      <c r="F65" s="3"/>
      <c r="G65" s="3"/>
      <c r="H65" s="3" t="s">
        <v>13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Z65" s="3"/>
      <c r="AA65" s="3"/>
      <c r="AB65" s="3"/>
      <c r="AC65" s="3"/>
      <c r="AD65" s="3"/>
      <c r="AE65" s="3"/>
      <c r="AF65" s="3"/>
      <c r="AG65" s="3" t="s">
        <v>13</v>
      </c>
      <c r="AH65" s="3" t="s">
        <v>13</v>
      </c>
      <c r="AI65" s="3"/>
      <c r="AJ65" s="3" t="s">
        <v>13</v>
      </c>
      <c r="AK65" s="3">
        <f>SUM($F65:AJ65)</f>
        <v>0</v>
      </c>
      <c r="AL65" s="22" t="s">
        <v>13</v>
      </c>
      <c r="AM65" s="6" t="s">
        <v>13</v>
      </c>
      <c r="AO65" s="26" t="s">
        <v>13</v>
      </c>
      <c r="AQ65" s="6" t="s">
        <v>1675</v>
      </c>
      <c r="AR65" s="226" t="s">
        <v>2257</v>
      </c>
      <c r="AT65" s="51" t="s">
        <v>2258</v>
      </c>
    </row>
    <row r="66" spans="1:47" ht="15" thickBot="1" x14ac:dyDescent="0.4">
      <c r="A66" s="4"/>
      <c r="B66" s="67" t="s">
        <v>933</v>
      </c>
      <c r="C66" s="236">
        <v>35572.04</v>
      </c>
      <c r="D66" s="3"/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22"/>
      <c r="AO66" s="26" t="s">
        <v>13</v>
      </c>
      <c r="AP66" s="64" t="e">
        <f>+[2]Hoja1!$L$251+[3]Hoja1!#REF!</f>
        <v>#REF!</v>
      </c>
      <c r="AQ66" s="64" t="e">
        <f>+[3]Hoja1!#REF!</f>
        <v>#REF!</v>
      </c>
      <c r="AR66" s="379" t="e">
        <f>+'May-23'!AR72+AQ66</f>
        <v>#REF!</v>
      </c>
      <c r="AT66" s="378" t="e">
        <f>+AR66+'Dic-22'!AR121</f>
        <v>#REF!</v>
      </c>
    </row>
    <row r="67" spans="1:47" x14ac:dyDescent="0.35">
      <c r="A67" s="4"/>
      <c r="B67" s="24"/>
      <c r="C67" s="67"/>
      <c r="D67" s="3"/>
      <c r="E67" s="15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22"/>
      <c r="AO67" s="11" t="s">
        <v>91</v>
      </c>
      <c r="AP67" s="53">
        <f>+D34/1.19</f>
        <v>1610756.6806722688</v>
      </c>
      <c r="AQ67" s="348">
        <f>+(SUMIF(E8:E31,"MD",D8:D31)+SUMIF(E8:E31,"MK",D8:D31))/1.19</f>
        <v>743877.68907563027</v>
      </c>
      <c r="AR67" s="185">
        <f>+AQ67+'May-23'!AR73</f>
        <v>6652905.6618133578</v>
      </c>
      <c r="AT67" s="10">
        <f>+AR67+'Dic-22'!AR122</f>
        <v>10835477.628199913</v>
      </c>
    </row>
    <row r="68" spans="1:47" x14ac:dyDescent="0.35">
      <c r="A68" s="3" t="s">
        <v>13</v>
      </c>
      <c r="B68" s="24"/>
      <c r="D68" s="3"/>
      <c r="E68" s="15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22"/>
      <c r="AO68" s="14" t="s">
        <v>1558</v>
      </c>
      <c r="AP68" s="15">
        <f>+SUMIF(AL46:AL64,"CD",D46:D64)/1.19</f>
        <v>189899.15966386555</v>
      </c>
      <c r="AQ68" s="342" t="e">
        <f>+AP68*AQ$66/AP$66</f>
        <v>#REF!</v>
      </c>
      <c r="AR68" s="185" t="e">
        <f ca="1">+AQ68+'May-23'!AR74</f>
        <v>#REF!</v>
      </c>
      <c r="AT68" s="10" t="e">
        <f ca="1">+AR68+'Dic-22'!AR123</f>
        <v>#REF!</v>
      </c>
    </row>
    <row r="69" spans="1:47" x14ac:dyDescent="0.35">
      <c r="A69" s="4"/>
      <c r="B69" s="24"/>
      <c r="C69" s="67"/>
      <c r="D69" s="3"/>
      <c r="E69" s="153"/>
      <c r="F69" s="3" t="s">
        <v>13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22"/>
      <c r="AO69" s="14" t="s">
        <v>1559</v>
      </c>
      <c r="AP69" s="15">
        <f>+AP67-AP68</f>
        <v>1420857.5210084033</v>
      </c>
      <c r="AQ69" s="342" t="e">
        <f>+AQ67-AQ68</f>
        <v>#REF!</v>
      </c>
      <c r="AR69" s="185" t="e">
        <f ca="1">+AR67-AR68</f>
        <v>#REF!</v>
      </c>
      <c r="AT69" s="10" t="e">
        <f ca="1">+AT67-AT68</f>
        <v>#REF!</v>
      </c>
    </row>
    <row r="70" spans="1:47" x14ac:dyDescent="0.35">
      <c r="A70" s="4"/>
      <c r="B70" s="24"/>
      <c r="C70" s="67"/>
      <c r="D70" s="3"/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22"/>
      <c r="AO70" s="14" t="s">
        <v>1560</v>
      </c>
      <c r="AP70" s="327">
        <f>+AP69/AP67</f>
        <v>0.88210562033204865</v>
      </c>
      <c r="AQ70" s="349" t="e">
        <f>+AQ69/AQ67</f>
        <v>#REF!</v>
      </c>
      <c r="AR70" s="356" t="e">
        <f ca="1">+AR69/AR67</f>
        <v>#REF!</v>
      </c>
      <c r="AT70" s="377" t="e">
        <f ca="1">+AT69/AT67</f>
        <v>#REF!</v>
      </c>
    </row>
    <row r="71" spans="1:47" x14ac:dyDescent="0.35">
      <c r="A71" s="4"/>
      <c r="B71" s="67"/>
      <c r="C71" s="236"/>
      <c r="E71" s="15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Y71" s="3"/>
      <c r="AJ71" s="3"/>
      <c r="AK71" s="3"/>
      <c r="AL71" s="22" t="s">
        <v>1388</v>
      </c>
      <c r="AM71" s="6" t="s">
        <v>1430</v>
      </c>
      <c r="AO71" s="14" t="s">
        <v>81</v>
      </c>
      <c r="AP71" s="15">
        <f>+SUMIF(AL46:AL64,"GAV",D46:D64)/1.19+SUMIF(AL44:AL64,"REM",D44:D64)</f>
        <v>280973.89383753506</v>
      </c>
      <c r="AQ71" s="342" t="e">
        <f>+AP71*AQ$66/AP$66+(600000+300000)*2/7</f>
        <v>#REF!</v>
      </c>
      <c r="AR71" s="185" t="e">
        <f>+AQ71+'May-23'!AR77</f>
        <v>#REF!</v>
      </c>
      <c r="AT71" s="10" t="e">
        <f>+AR71+'Dic-22'!AR126</f>
        <v>#REF!</v>
      </c>
    </row>
    <row r="72" spans="1:47" x14ac:dyDescent="0.35">
      <c r="A72" s="2" t="s">
        <v>9</v>
      </c>
      <c r="D72" s="72">
        <f>SUM(D39:D70)-D39</f>
        <v>1627073.1401635082</v>
      </c>
      <c r="F72" s="3">
        <f t="shared" ref="F72:AJ72" si="3">SUM(F39:F71)</f>
        <v>0</v>
      </c>
      <c r="G72" s="3">
        <f t="shared" si="3"/>
        <v>0</v>
      </c>
      <c r="H72" s="3">
        <f t="shared" si="3"/>
        <v>0</v>
      </c>
      <c r="I72" s="3">
        <f t="shared" si="3"/>
        <v>0</v>
      </c>
      <c r="J72" s="3">
        <f t="shared" si="3"/>
        <v>22915</v>
      </c>
      <c r="K72" s="3">
        <f t="shared" si="3"/>
        <v>0</v>
      </c>
      <c r="L72" s="3">
        <f t="shared" si="3"/>
        <v>627862</v>
      </c>
      <c r="M72" s="3">
        <f t="shared" si="3"/>
        <v>21580</v>
      </c>
      <c r="N72" s="3">
        <f t="shared" si="3"/>
        <v>71400</v>
      </c>
      <c r="O72" s="3">
        <f t="shared" si="3"/>
        <v>0</v>
      </c>
      <c r="P72" s="3">
        <f t="shared" si="3"/>
        <v>0</v>
      </c>
      <c r="Q72" s="3">
        <f t="shared" si="3"/>
        <v>71034</v>
      </c>
      <c r="R72" s="3">
        <f t="shared" si="3"/>
        <v>0</v>
      </c>
      <c r="S72" s="3">
        <f t="shared" si="3"/>
        <v>0</v>
      </c>
      <c r="T72" s="3">
        <f t="shared" si="3"/>
        <v>87247</v>
      </c>
      <c r="U72" s="3">
        <f t="shared" si="3"/>
        <v>0</v>
      </c>
      <c r="V72" s="3">
        <f t="shared" si="3"/>
        <v>0</v>
      </c>
      <c r="W72" s="3">
        <f t="shared" si="3"/>
        <v>0</v>
      </c>
      <c r="X72" s="3">
        <f t="shared" si="3"/>
        <v>185425</v>
      </c>
      <c r="Y72" s="3">
        <f t="shared" si="3"/>
        <v>0</v>
      </c>
      <c r="Z72" s="3">
        <f t="shared" si="3"/>
        <v>8610</v>
      </c>
      <c r="AA72" s="3">
        <f t="shared" si="3"/>
        <v>0</v>
      </c>
      <c r="AB72" s="3">
        <f t="shared" si="3"/>
        <v>0</v>
      </c>
      <c r="AC72" s="3">
        <f t="shared" si="3"/>
        <v>0</v>
      </c>
      <c r="AD72" s="3">
        <f t="shared" si="3"/>
        <v>0</v>
      </c>
      <c r="AE72" s="3">
        <f t="shared" si="3"/>
        <v>0</v>
      </c>
      <c r="AF72" s="3">
        <f t="shared" si="3"/>
        <v>0</v>
      </c>
      <c r="AG72" s="3">
        <f t="shared" si="3"/>
        <v>21580</v>
      </c>
      <c r="AH72" s="3">
        <f t="shared" si="3"/>
        <v>0</v>
      </c>
      <c r="AI72" s="3">
        <f t="shared" si="3"/>
        <v>0</v>
      </c>
      <c r="AJ72" s="3">
        <f t="shared" si="3"/>
        <v>0</v>
      </c>
      <c r="AK72" s="72">
        <f>SUM(AK39:AK70)-AK39</f>
        <v>1117653</v>
      </c>
      <c r="AL72" s="324">
        <f>+D72-AK72</f>
        <v>509420.14016350824</v>
      </c>
      <c r="AM72" s="324">
        <f>+AJ73+AL34-AL72-1200000</f>
        <v>3241950.4966783542</v>
      </c>
      <c r="AO72" s="14" t="s">
        <v>1561</v>
      </c>
      <c r="AP72" s="15">
        <f>+AP69-AP71</f>
        <v>1139883.6271708682</v>
      </c>
      <c r="AQ72" s="342" t="e">
        <f>+AQ69-AQ71</f>
        <v>#REF!</v>
      </c>
      <c r="AR72" s="185" t="e">
        <f ca="1">+AR69-AR71</f>
        <v>#REF!</v>
      </c>
      <c r="AT72" s="10" t="e">
        <f ca="1">+AT69-AT71</f>
        <v>#REF!</v>
      </c>
      <c r="AU72" s="388" t="e">
        <f>+AQ72/AQ67</f>
        <v>#REF!</v>
      </c>
    </row>
    <row r="73" spans="1:47" x14ac:dyDescent="0.35">
      <c r="A73" t="s">
        <v>8</v>
      </c>
      <c r="F73" s="3">
        <f t="shared" ref="F73:AJ73" si="4">+F34+F3-F72</f>
        <v>4019179.1868418627</v>
      </c>
      <c r="G73" s="3">
        <f t="shared" si="4"/>
        <v>4019179.1868418627</v>
      </c>
      <c r="H73" s="3">
        <f t="shared" si="4"/>
        <v>4019179.1868418627</v>
      </c>
      <c r="I73" s="3">
        <f t="shared" si="4"/>
        <v>4019179.1868418627</v>
      </c>
      <c r="J73" s="3">
        <f t="shared" si="4"/>
        <v>3996264.1868418627</v>
      </c>
      <c r="K73" s="3">
        <f t="shared" si="4"/>
        <v>3996264.1868418627</v>
      </c>
      <c r="L73" s="3">
        <f t="shared" si="4"/>
        <v>3368402.1868418627</v>
      </c>
      <c r="M73" s="3">
        <f t="shared" si="4"/>
        <v>3346822.1868418627</v>
      </c>
      <c r="N73" s="3">
        <f t="shared" si="4"/>
        <v>3275422.1868418627</v>
      </c>
      <c r="O73" s="3">
        <f t="shared" si="4"/>
        <v>3275422.1868418627</v>
      </c>
      <c r="P73" s="3">
        <f t="shared" si="4"/>
        <v>3275422.1868418627</v>
      </c>
      <c r="Q73" s="3">
        <f t="shared" si="4"/>
        <v>3204388.1868418627</v>
      </c>
      <c r="R73" s="3">
        <f t="shared" si="4"/>
        <v>3204388.1868418627</v>
      </c>
      <c r="S73" s="3">
        <f t="shared" si="4"/>
        <v>3204388.1868418627</v>
      </c>
      <c r="T73" s="3">
        <f t="shared" si="4"/>
        <v>3117141.1868418627</v>
      </c>
      <c r="U73" s="3">
        <f t="shared" si="4"/>
        <v>3117141.1868418627</v>
      </c>
      <c r="V73" s="3">
        <f t="shared" si="4"/>
        <v>3117141.1868418627</v>
      </c>
      <c r="W73" s="3">
        <f t="shared" si="4"/>
        <v>3117141.1868418627</v>
      </c>
      <c r="X73" s="3">
        <f t="shared" si="4"/>
        <v>3293561.1868418627</v>
      </c>
      <c r="Y73" s="3">
        <f t="shared" si="4"/>
        <v>3293561.1868418627</v>
      </c>
      <c r="Z73" s="3">
        <f t="shared" si="4"/>
        <v>3284951.1868418627</v>
      </c>
      <c r="AA73" s="3">
        <f t="shared" si="4"/>
        <v>3284951.1868418627</v>
      </c>
      <c r="AB73" s="3">
        <f t="shared" si="4"/>
        <v>3284951.1868418627</v>
      </c>
      <c r="AC73" s="3">
        <f t="shared" si="4"/>
        <v>3284951.1868418627</v>
      </c>
      <c r="AD73" s="3">
        <f t="shared" si="4"/>
        <v>3284951.1868418627</v>
      </c>
      <c r="AE73" s="3">
        <f t="shared" si="4"/>
        <v>3284951.1868418627</v>
      </c>
      <c r="AF73" s="3">
        <f t="shared" si="4"/>
        <v>3485396.1868418627</v>
      </c>
      <c r="AG73" s="3">
        <f t="shared" si="4"/>
        <v>3463816.1868418627</v>
      </c>
      <c r="AH73" s="3">
        <f t="shared" si="4"/>
        <v>3463816.1868418627</v>
      </c>
      <c r="AI73" s="3">
        <f t="shared" si="4"/>
        <v>3463816.1868418627</v>
      </c>
      <c r="AJ73" s="3">
        <f t="shared" si="4"/>
        <v>3463816.1868418627</v>
      </c>
      <c r="AK73" s="3" t="s">
        <v>13</v>
      </c>
      <c r="AM73" s="22" t="s">
        <v>13</v>
      </c>
      <c r="AO73" s="14" t="s">
        <v>1563</v>
      </c>
      <c r="AP73" s="15">
        <f ca="1">+SUMIF(AL46:AL764,"GF",D46:D64)</f>
        <v>13905</v>
      </c>
      <c r="AQ73" s="342">
        <v>0</v>
      </c>
      <c r="AR73" s="185">
        <f>+AQ73+'May-23'!AR79</f>
        <v>0</v>
      </c>
      <c r="AT73" s="10">
        <f>+AR73+'Dic-22'!AR128</f>
        <v>0</v>
      </c>
    </row>
    <row r="74" spans="1:47" x14ac:dyDescent="0.35">
      <c r="F74" s="3"/>
      <c r="G74" s="3"/>
      <c r="H74" s="3"/>
      <c r="I74" s="3" t="s">
        <v>13</v>
      </c>
      <c r="J74" s="3"/>
      <c r="K74" s="3" t="s">
        <v>13</v>
      </c>
      <c r="L74" s="3"/>
      <c r="M74" s="3"/>
      <c r="N74" s="3"/>
      <c r="O74" s="3"/>
      <c r="P74" s="3" t="s">
        <v>13</v>
      </c>
      <c r="Q74" s="3"/>
      <c r="R74" s="3"/>
      <c r="S74" s="3"/>
      <c r="T74" s="3" t="s">
        <v>13</v>
      </c>
      <c r="U74" s="3"/>
      <c r="V74" s="3"/>
      <c r="W74" s="3"/>
      <c r="Y74" s="3" t="s">
        <v>13</v>
      </c>
      <c r="Z74" s="3" t="s">
        <v>13</v>
      </c>
      <c r="AA74" s="3" t="s">
        <v>13</v>
      </c>
      <c r="AB74" s="3" t="s">
        <v>13</v>
      </c>
      <c r="AO74" s="14" t="s">
        <v>82</v>
      </c>
      <c r="AP74" s="15">
        <v>0</v>
      </c>
      <c r="AQ74" s="342">
        <f>+SUMIF(AL41:AL65,"AF",D41:D65)/1.19</f>
        <v>0</v>
      </c>
      <c r="AR74" s="185" t="e">
        <f>+AQ74+'May-23'!AR80</f>
        <v>#REF!</v>
      </c>
      <c r="AT74" s="10" t="e">
        <f>+AR74+'Dic-22'!AR129</f>
        <v>#REF!</v>
      </c>
    </row>
    <row r="75" spans="1:47" ht="15" thickBot="1" x14ac:dyDescent="0.4">
      <c r="F75" s="3" t="s">
        <v>13</v>
      </c>
      <c r="G75" s="3" t="s">
        <v>13</v>
      </c>
      <c r="H75" s="3" t="s">
        <v>13</v>
      </c>
      <c r="I75" s="3"/>
      <c r="J75" s="3"/>
      <c r="K75" s="3"/>
      <c r="L75" s="3"/>
      <c r="M75" s="3"/>
      <c r="N75" s="3"/>
      <c r="O75" s="3"/>
      <c r="P75" s="3" t="s">
        <v>13</v>
      </c>
      <c r="Q75" s="3" t="s">
        <v>13</v>
      </c>
      <c r="R75" s="3" t="s">
        <v>13</v>
      </c>
      <c r="S75" s="3"/>
      <c r="T75" s="3"/>
      <c r="U75" s="3" t="s">
        <v>13</v>
      </c>
      <c r="V75" s="3"/>
      <c r="W75" s="3"/>
      <c r="AB75" s="3" t="s">
        <v>13</v>
      </c>
      <c r="AG75" s="3" t="s">
        <v>13</v>
      </c>
      <c r="AJ75" s="3" t="s">
        <v>13</v>
      </c>
      <c r="AO75" s="16"/>
      <c r="AP75" s="19">
        <f ca="1">+AP72-AP73-AP74</f>
        <v>1125978.6271708682</v>
      </c>
      <c r="AQ75" s="350" t="e">
        <f>+AQ72-AQ73-AQ74</f>
        <v>#REF!</v>
      </c>
      <c r="AR75" s="258" t="e">
        <f ca="1">+AR72-AR73-AR74</f>
        <v>#REF!</v>
      </c>
      <c r="AT75" s="20" t="e">
        <f ca="1">+AT72-AT73-AT74</f>
        <v>#REF!</v>
      </c>
    </row>
    <row r="76" spans="1:47" x14ac:dyDescent="0.35">
      <c r="E76" s="6" t="s">
        <v>13</v>
      </c>
      <c r="F76" s="3"/>
      <c r="G76" s="3" t="s">
        <v>13</v>
      </c>
      <c r="H76" s="3" t="s">
        <v>13</v>
      </c>
      <c r="I76" s="3"/>
      <c r="J76" s="3"/>
      <c r="K76" s="3"/>
      <c r="L76" s="3"/>
      <c r="M76" s="3"/>
      <c r="N76" s="3"/>
      <c r="O76" s="3"/>
      <c r="W76" s="3"/>
      <c r="AB76" s="3" t="s">
        <v>13</v>
      </c>
      <c r="AG76" s="3" t="s">
        <v>13</v>
      </c>
      <c r="AJ76" s="3" t="s">
        <v>13</v>
      </c>
      <c r="AO76" t="s">
        <v>1961</v>
      </c>
      <c r="AP76" s="26">
        <f ca="1">+AP$75+'May-23'!AP82</f>
        <v>6752370.286870392</v>
      </c>
      <c r="AQ76" s="3" t="e">
        <f ca="1">+AQ$75+'May-23'!AQ82</f>
        <v>#REF!</v>
      </c>
    </row>
    <row r="77" spans="1:47" x14ac:dyDescent="0.35">
      <c r="F77" s="3"/>
      <c r="G77" s="3" t="s">
        <v>13</v>
      </c>
      <c r="H77" s="3"/>
      <c r="I77" s="3"/>
      <c r="J77" s="3"/>
      <c r="K77" s="3"/>
      <c r="L77" s="3"/>
      <c r="M77" s="3"/>
      <c r="N77" s="3"/>
      <c r="O77" s="3"/>
      <c r="W77" s="3" t="s">
        <v>13</v>
      </c>
      <c r="AB77" s="3" t="s">
        <v>13</v>
      </c>
      <c r="AG77" s="3" t="s">
        <v>13</v>
      </c>
      <c r="AJ77" s="3" t="s">
        <v>13</v>
      </c>
      <c r="AO77" t="s">
        <v>1960</v>
      </c>
      <c r="AP77" s="26">
        <f ca="1">+AP$75+'May-23'!AP83</f>
        <v>8348508.1892480999</v>
      </c>
      <c r="AQ77" s="3" t="e">
        <f ca="1">+AQ$75+'May-23'!AQ83</f>
        <v>#REF!</v>
      </c>
    </row>
    <row r="78" spans="1:47" x14ac:dyDescent="0.35">
      <c r="F78" s="3" t="s">
        <v>13</v>
      </c>
      <c r="G78" s="3" t="s">
        <v>13</v>
      </c>
      <c r="H78" s="3"/>
      <c r="I78" s="3"/>
      <c r="J78" s="3"/>
      <c r="K78" s="3"/>
      <c r="L78" s="3"/>
      <c r="M78" s="3">
        <v>538500</v>
      </c>
      <c r="N78" s="3"/>
      <c r="O78" s="3"/>
      <c r="W78" s="3"/>
      <c r="AB78" s="3" t="s">
        <v>13</v>
      </c>
      <c r="AG78" s="3" t="s">
        <v>13</v>
      </c>
      <c r="AJ78" s="3" t="s">
        <v>13</v>
      </c>
    </row>
    <row r="79" spans="1:47" x14ac:dyDescent="0.35">
      <c r="F79" s="3" t="s">
        <v>13</v>
      </c>
      <c r="G79" s="3" t="s">
        <v>13</v>
      </c>
      <c r="H79" s="3"/>
      <c r="I79" s="3"/>
      <c r="J79" s="3"/>
      <c r="K79" s="3"/>
      <c r="L79" s="3" t="s">
        <v>13</v>
      </c>
      <c r="M79" s="3">
        <v>682100</v>
      </c>
      <c r="N79" s="3"/>
      <c r="O79" s="3"/>
      <c r="W79" s="3"/>
      <c r="AB79" s="3" t="s">
        <v>13</v>
      </c>
      <c r="AG79" s="3" t="s">
        <v>13</v>
      </c>
      <c r="AJ79" s="3" t="s">
        <v>13</v>
      </c>
      <c r="AL79"/>
      <c r="AM79"/>
    </row>
    <row r="80" spans="1:47" x14ac:dyDescent="0.35">
      <c r="F80" s="3"/>
      <c r="G80" s="3" t="s">
        <v>13</v>
      </c>
      <c r="H80" s="3"/>
      <c r="I80" s="3"/>
      <c r="J80" s="3"/>
      <c r="K80" s="3"/>
      <c r="L80" s="3"/>
      <c r="M80" s="3">
        <f>SUM(M78:M79)</f>
        <v>1220600</v>
      </c>
      <c r="AG80" s="3" t="s">
        <v>13</v>
      </c>
      <c r="AJ80" s="3" t="s">
        <v>13</v>
      </c>
      <c r="AL80"/>
      <c r="AM80"/>
    </row>
    <row r="81" spans="2:39" x14ac:dyDescent="0.35">
      <c r="F81" s="3"/>
      <c r="G81" s="3" t="s">
        <v>13</v>
      </c>
      <c r="H81" s="3"/>
      <c r="I81" s="3"/>
      <c r="J81" s="3"/>
      <c r="K81" s="3"/>
      <c r="L81" s="3"/>
      <c r="AB81" t="s">
        <v>13</v>
      </c>
      <c r="AG81" s="3" t="s">
        <v>13</v>
      </c>
      <c r="AJ81" s="3" t="s">
        <v>13</v>
      </c>
      <c r="AL81"/>
      <c r="AM81"/>
    </row>
    <row r="82" spans="2:39" x14ac:dyDescent="0.35">
      <c r="F82" s="3"/>
      <c r="G82" s="3" t="s">
        <v>13</v>
      </c>
      <c r="H82" s="3"/>
      <c r="I82" s="3"/>
      <c r="J82" s="3"/>
      <c r="K82" s="3"/>
      <c r="L82" s="3"/>
      <c r="AG82" s="3" t="s">
        <v>13</v>
      </c>
      <c r="AJ82" s="3" t="s">
        <v>13</v>
      </c>
      <c r="AL82"/>
      <c r="AM82"/>
    </row>
    <row r="83" spans="2:39" x14ac:dyDescent="0.35">
      <c r="F83" s="3"/>
      <c r="G83" s="3" t="s">
        <v>13</v>
      </c>
      <c r="H83" s="3"/>
      <c r="I83" s="3"/>
      <c r="J83" s="3"/>
      <c r="K83" s="3"/>
      <c r="L83" s="3"/>
      <c r="AG83" s="3" t="s">
        <v>13</v>
      </c>
      <c r="AJ83" s="3" t="s">
        <v>13</v>
      </c>
      <c r="AL83"/>
      <c r="AM83"/>
    </row>
    <row r="84" spans="2:39" x14ac:dyDescent="0.35">
      <c r="F84" s="3"/>
      <c r="G84" s="3" t="s">
        <v>13</v>
      </c>
      <c r="H84" s="3"/>
      <c r="I84" s="3"/>
      <c r="J84" s="3"/>
      <c r="K84" s="3"/>
      <c r="L84" s="3"/>
      <c r="AG84" s="3" t="s">
        <v>13</v>
      </c>
      <c r="AJ84" s="3" t="s">
        <v>13</v>
      </c>
      <c r="AL84"/>
      <c r="AM84"/>
    </row>
    <row r="85" spans="2:39" x14ac:dyDescent="0.35">
      <c r="B85" t="s">
        <v>13</v>
      </c>
      <c r="F85" s="3"/>
      <c r="G85" s="3" t="s">
        <v>13</v>
      </c>
      <c r="H85" s="3"/>
      <c r="I85" s="3"/>
      <c r="J85" s="3"/>
      <c r="K85" s="3"/>
      <c r="L85" s="3"/>
      <c r="AG85" s="3" t="s">
        <v>13</v>
      </c>
      <c r="AJ85" s="3" t="s">
        <v>13</v>
      </c>
      <c r="AL85"/>
      <c r="AM85"/>
    </row>
    <row r="86" spans="2:39" x14ac:dyDescent="0.35">
      <c r="B86" t="s">
        <v>13</v>
      </c>
      <c r="F86" s="3"/>
      <c r="G86" s="3" t="s">
        <v>13</v>
      </c>
      <c r="H86" s="3"/>
      <c r="I86" s="3"/>
      <c r="J86" s="3"/>
      <c r="K86" s="3"/>
      <c r="L86" s="3"/>
      <c r="AG86" s="3" t="s">
        <v>13</v>
      </c>
      <c r="AJ86" s="3" t="s">
        <v>13</v>
      </c>
      <c r="AL86"/>
      <c r="AM86"/>
    </row>
    <row r="87" spans="2:39" x14ac:dyDescent="0.35">
      <c r="B87" t="s">
        <v>13</v>
      </c>
      <c r="F87" s="3"/>
      <c r="G87" s="3" t="s">
        <v>13</v>
      </c>
      <c r="H87" s="3"/>
      <c r="I87" s="3"/>
      <c r="J87" s="3"/>
      <c r="K87" s="3"/>
      <c r="L87" s="3"/>
      <c r="AG87" s="3" t="s">
        <v>13</v>
      </c>
      <c r="AJ87" s="3" t="s">
        <v>13</v>
      </c>
      <c r="AL87"/>
      <c r="AM87"/>
    </row>
    <row r="88" spans="2:39" x14ac:dyDescent="0.35">
      <c r="B88" t="s">
        <v>13</v>
      </c>
      <c r="F88" s="3"/>
      <c r="G88" s="3" t="s">
        <v>13</v>
      </c>
      <c r="H88" s="3"/>
      <c r="I88" s="3"/>
      <c r="J88" s="3"/>
      <c r="K88" s="3"/>
      <c r="L88" s="3"/>
      <c r="AG88" s="3" t="s">
        <v>13</v>
      </c>
      <c r="AJ88" s="3" t="s">
        <v>13</v>
      </c>
      <c r="AL88"/>
      <c r="AM88"/>
    </row>
    <row r="89" spans="2:39" x14ac:dyDescent="0.35">
      <c r="B89" t="s">
        <v>13</v>
      </c>
      <c r="F89" s="3"/>
      <c r="G89" s="3" t="s">
        <v>13</v>
      </c>
      <c r="H89" s="3"/>
      <c r="I89" s="3"/>
      <c r="J89" s="3"/>
      <c r="K89" s="3"/>
      <c r="L89" s="3"/>
      <c r="AG89" s="3" t="s">
        <v>13</v>
      </c>
      <c r="AJ89" s="3" t="s">
        <v>13</v>
      </c>
      <c r="AL89"/>
      <c r="AM89"/>
    </row>
    <row r="90" spans="2:39" x14ac:dyDescent="0.35">
      <c r="B90" t="s">
        <v>13</v>
      </c>
      <c r="F90" s="3"/>
      <c r="G90" s="3" t="s">
        <v>13</v>
      </c>
      <c r="H90" s="3"/>
      <c r="I90" s="3"/>
      <c r="J90" s="3"/>
      <c r="K90" s="3"/>
      <c r="L90" s="3"/>
      <c r="AG90" s="3" t="s">
        <v>13</v>
      </c>
      <c r="AJ90" s="3" t="s">
        <v>13</v>
      </c>
      <c r="AL90"/>
      <c r="AM90"/>
    </row>
    <row r="91" spans="2:39" x14ac:dyDescent="0.35">
      <c r="B91" t="s">
        <v>13</v>
      </c>
      <c r="F91" s="3"/>
      <c r="G91" s="3" t="s">
        <v>13</v>
      </c>
      <c r="H91" s="3"/>
      <c r="I91" s="3"/>
      <c r="J91" s="3"/>
      <c r="K91" s="3"/>
      <c r="L91" s="3"/>
      <c r="AG91" s="3" t="s">
        <v>13</v>
      </c>
      <c r="AJ91" s="3" t="s">
        <v>13</v>
      </c>
      <c r="AL91"/>
      <c r="AM91"/>
    </row>
    <row r="92" spans="2:39" x14ac:dyDescent="0.35">
      <c r="B92" t="s">
        <v>13</v>
      </c>
      <c r="F92" s="3"/>
      <c r="G92" s="3" t="s">
        <v>13</v>
      </c>
      <c r="H92" s="3"/>
      <c r="I92" s="3"/>
      <c r="J92" s="3"/>
      <c r="K92" s="3"/>
      <c r="L92" s="3"/>
      <c r="AG92" s="3" t="s">
        <v>13</v>
      </c>
      <c r="AJ92" s="3" t="s">
        <v>13</v>
      </c>
      <c r="AL92"/>
      <c r="AM92"/>
    </row>
    <row r="93" spans="2:39" x14ac:dyDescent="0.35">
      <c r="B93" t="s">
        <v>13</v>
      </c>
      <c r="F93" s="3"/>
      <c r="G93" s="3" t="s">
        <v>13</v>
      </c>
      <c r="H93" s="3"/>
      <c r="I93" s="3"/>
      <c r="J93" s="3"/>
      <c r="K93" s="3"/>
      <c r="L93" s="3"/>
      <c r="AL93"/>
      <c r="AM93"/>
    </row>
    <row r="94" spans="2:39" x14ac:dyDescent="0.35">
      <c r="B94" t="s">
        <v>13</v>
      </c>
      <c r="F94" s="3"/>
      <c r="G94" s="3" t="s">
        <v>13</v>
      </c>
      <c r="H94" s="3"/>
      <c r="I94" s="3"/>
      <c r="J94" s="3"/>
      <c r="K94" s="3"/>
      <c r="L94" s="3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  <row r="119" spans="2:39" x14ac:dyDescent="0.35">
      <c r="B119" t="s">
        <v>13</v>
      </c>
      <c r="E119"/>
      <c r="AL119"/>
      <c r="AM119"/>
    </row>
    <row r="120" spans="2:39" x14ac:dyDescent="0.35">
      <c r="B120" t="s">
        <v>13</v>
      </c>
      <c r="E120"/>
      <c r="AL120"/>
      <c r="AM120"/>
    </row>
    <row r="121" spans="2:39" x14ac:dyDescent="0.35">
      <c r="B121" t="s">
        <v>13</v>
      </c>
      <c r="E121"/>
      <c r="AL121"/>
      <c r="AM121"/>
    </row>
    <row r="122" spans="2:39" x14ac:dyDescent="0.35">
      <c r="B122" t="s">
        <v>13</v>
      </c>
      <c r="E122"/>
      <c r="AL122"/>
      <c r="AM122"/>
    </row>
    <row r="123" spans="2:39" x14ac:dyDescent="0.35">
      <c r="B123" t="s">
        <v>13</v>
      </c>
      <c r="E123"/>
      <c r="AL123"/>
      <c r="AM123"/>
    </row>
    <row r="124" spans="2:39" x14ac:dyDescent="0.35">
      <c r="B124" t="s">
        <v>13</v>
      </c>
      <c r="E124"/>
      <c r="AL124"/>
      <c r="AM124"/>
    </row>
    <row r="125" spans="2:39" x14ac:dyDescent="0.35">
      <c r="B125" t="s">
        <v>13</v>
      </c>
      <c r="E125"/>
      <c r="AL125"/>
      <c r="AM125"/>
    </row>
    <row r="126" spans="2:39" x14ac:dyDescent="0.35">
      <c r="B126" t="s">
        <v>13</v>
      </c>
      <c r="E126"/>
      <c r="AL126"/>
      <c r="AM126"/>
    </row>
    <row r="127" spans="2:39" x14ac:dyDescent="0.35">
      <c r="B127" t="s">
        <v>13</v>
      </c>
      <c r="E127"/>
      <c r="AL127"/>
      <c r="AM127"/>
    </row>
  </sheetData>
  <sortState xmlns:xlrd2="http://schemas.microsoft.com/office/spreadsheetml/2017/richdata2" ref="A32:AQ39">
    <sortCondition ref="C32:C39"/>
  </sortState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998B-9CE8-48E6-8877-9DE567DE4366}">
  <dimension ref="A1:AU138"/>
  <sheetViews>
    <sheetView topLeftCell="A44" zoomScale="68" zoomScaleNormal="68" workbookViewId="0">
      <selection activeCell="A62" sqref="A62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  <col min="44" max="44" width="15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45108</v>
      </c>
      <c r="G2" s="1">
        <v>45109</v>
      </c>
      <c r="H2" s="1">
        <v>45110</v>
      </c>
      <c r="I2" s="1">
        <v>45111</v>
      </c>
      <c r="J2" s="1">
        <v>45112</v>
      </c>
      <c r="K2" s="1">
        <v>45113</v>
      </c>
      <c r="L2" s="1">
        <v>45114</v>
      </c>
      <c r="M2" s="1">
        <v>45115</v>
      </c>
      <c r="N2" s="1">
        <v>45116</v>
      </c>
      <c r="O2" s="1">
        <v>45117</v>
      </c>
      <c r="P2" s="1">
        <v>45118</v>
      </c>
      <c r="Q2" s="1">
        <v>45119</v>
      </c>
      <c r="R2" s="1">
        <v>45120</v>
      </c>
      <c r="S2" s="1">
        <v>45121</v>
      </c>
      <c r="T2" s="1">
        <v>45122</v>
      </c>
      <c r="U2" s="1">
        <v>45123</v>
      </c>
      <c r="V2" s="1">
        <v>45124</v>
      </c>
      <c r="W2" s="1">
        <v>45125</v>
      </c>
      <c r="X2" s="1">
        <v>45126</v>
      </c>
      <c r="Y2" s="1">
        <v>45127</v>
      </c>
      <c r="Z2" s="1">
        <v>45128</v>
      </c>
      <c r="AA2" s="1">
        <v>45129</v>
      </c>
      <c r="AB2" s="1">
        <v>45130</v>
      </c>
      <c r="AC2" s="1">
        <v>45131</v>
      </c>
      <c r="AD2" s="1">
        <v>45132</v>
      </c>
      <c r="AE2" s="1">
        <v>45133</v>
      </c>
      <c r="AF2" s="1">
        <v>45134</v>
      </c>
      <c r="AG2" s="1">
        <v>45135</v>
      </c>
      <c r="AH2" s="1">
        <v>45136</v>
      </c>
      <c r="AI2" s="1">
        <v>45137</v>
      </c>
      <c r="AJ2" s="1">
        <v>45138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+'Jun-23'!AI73</f>
        <v>3463816.1868418627</v>
      </c>
      <c r="G3" s="3">
        <f t="shared" ref="G3:AJ3" si="0">+F84</f>
        <v>3463816.1868418627</v>
      </c>
      <c r="H3" s="3">
        <f t="shared" si="0"/>
        <v>3463816.1868418627</v>
      </c>
      <c r="I3" s="3">
        <f t="shared" si="0"/>
        <v>3354816.1868418627</v>
      </c>
      <c r="J3" s="3">
        <f t="shared" si="0"/>
        <v>3354816.1868418627</v>
      </c>
      <c r="K3" s="3">
        <f t="shared" si="0"/>
        <v>3319511.1868418627</v>
      </c>
      <c r="L3" s="3">
        <f t="shared" si="0"/>
        <v>3303511.1868418627</v>
      </c>
      <c r="M3" s="3">
        <f t="shared" si="0"/>
        <v>3303511.1868418627</v>
      </c>
      <c r="N3" s="3">
        <f t="shared" si="0"/>
        <v>3303511.1868418627</v>
      </c>
      <c r="O3" s="3">
        <f t="shared" si="0"/>
        <v>3303511.1868418627</v>
      </c>
      <c r="P3" s="3">
        <f t="shared" si="0"/>
        <v>3207921.8868418629</v>
      </c>
      <c r="Q3" s="3">
        <f t="shared" si="0"/>
        <v>3640026.8868418629</v>
      </c>
      <c r="R3" s="3">
        <f t="shared" si="0"/>
        <v>3615066.8868418629</v>
      </c>
      <c r="S3" s="3">
        <f t="shared" si="0"/>
        <v>3615066.8868418629</v>
      </c>
      <c r="T3" s="3">
        <f t="shared" si="0"/>
        <v>3851805.8868418634</v>
      </c>
      <c r="U3" s="3">
        <f t="shared" si="0"/>
        <v>3851805.8868418634</v>
      </c>
      <c r="V3" s="3">
        <f t="shared" si="0"/>
        <v>3851805.8868418634</v>
      </c>
      <c r="W3" s="3">
        <f t="shared" si="0"/>
        <v>3747988.8868418634</v>
      </c>
      <c r="X3" s="3">
        <f t="shared" si="0"/>
        <v>4142599.8868418634</v>
      </c>
      <c r="Y3" s="3">
        <f t="shared" si="0"/>
        <v>4142599.8868418634</v>
      </c>
      <c r="Z3" s="3">
        <f t="shared" si="0"/>
        <v>4324847.3368418636</v>
      </c>
      <c r="AA3" s="3">
        <f t="shared" si="0"/>
        <v>4807027.3368418636</v>
      </c>
      <c r="AB3" s="3">
        <f t="shared" si="0"/>
        <v>4807027.3368418636</v>
      </c>
      <c r="AC3" s="3">
        <f t="shared" si="0"/>
        <v>4807027.3368418636</v>
      </c>
      <c r="AD3" s="3">
        <f t="shared" si="0"/>
        <v>4807027.3368418636</v>
      </c>
      <c r="AE3" s="3">
        <f t="shared" si="0"/>
        <v>4807027.3368418636</v>
      </c>
      <c r="AF3" s="3">
        <f t="shared" si="0"/>
        <v>4807027.3368418636</v>
      </c>
      <c r="AG3" s="3">
        <f t="shared" si="0"/>
        <v>3650180.8588218633</v>
      </c>
      <c r="AH3" s="3">
        <f t="shared" si="0"/>
        <v>4026732.8588218633</v>
      </c>
      <c r="AI3" s="3">
        <f t="shared" si="0"/>
        <v>4026732.8588218633</v>
      </c>
      <c r="AJ3" s="3">
        <f t="shared" si="0"/>
        <v>4026732.8588218633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2030</v>
      </c>
      <c r="B6" s="66" t="s">
        <v>2027</v>
      </c>
      <c r="C6" s="38">
        <v>45079</v>
      </c>
      <c r="D6" s="39">
        <v>87189</v>
      </c>
      <c r="E6" s="40" t="s">
        <v>1345</v>
      </c>
      <c r="F6" s="3"/>
      <c r="G6" s="3"/>
      <c r="H6" s="3"/>
      <c r="I6" s="3"/>
      <c r="J6" s="3"/>
      <c r="K6" s="3"/>
      <c r="L6" s="3"/>
      <c r="M6" s="3"/>
      <c r="N6" s="3"/>
      <c r="O6" s="3"/>
      <c r="P6" s="3">
        <v>87189</v>
      </c>
      <c r="Q6" s="3"/>
      <c r="R6" s="3"/>
      <c r="S6" s="3"/>
      <c r="T6" s="3"/>
      <c r="U6" s="3"/>
      <c r="V6" s="3"/>
      <c r="W6" s="3"/>
      <c r="X6" s="3"/>
      <c r="Z6" s="3"/>
      <c r="AA6" s="3"/>
      <c r="AB6" s="3"/>
      <c r="AD6" s="3"/>
      <c r="AE6" s="3"/>
      <c r="AF6" s="3"/>
      <c r="AG6" s="3"/>
      <c r="AH6" s="3"/>
      <c r="AI6" s="3"/>
      <c r="AK6" s="3">
        <f>SUM($F6:AJ6)</f>
        <v>87189</v>
      </c>
      <c r="AL6" s="22"/>
      <c r="AM6"/>
    </row>
    <row r="7" spans="1:39" x14ac:dyDescent="0.35">
      <c r="A7" s="41" t="s">
        <v>2040</v>
      </c>
      <c r="B7" t="s">
        <v>2034</v>
      </c>
      <c r="C7" s="5">
        <v>45082</v>
      </c>
      <c r="D7" s="3">
        <v>172458</v>
      </c>
      <c r="E7" s="42" t="s">
        <v>1345</v>
      </c>
      <c r="F7" s="3"/>
      <c r="G7" s="3" t="s">
        <v>13</v>
      </c>
      <c r="H7" s="3"/>
      <c r="I7" s="3"/>
      <c r="J7" s="3"/>
      <c r="K7" s="3"/>
      <c r="L7" s="3"/>
      <c r="M7" s="3"/>
      <c r="N7" s="3"/>
      <c r="O7" s="3"/>
      <c r="P7" s="3">
        <v>172458</v>
      </c>
      <c r="Q7" s="3"/>
      <c r="R7" s="3"/>
      <c r="S7" s="3"/>
      <c r="T7" s="3"/>
      <c r="U7" s="3"/>
      <c r="V7" s="3"/>
      <c r="W7" s="3"/>
      <c r="Z7" s="3"/>
      <c r="AA7" s="3"/>
      <c r="AB7" s="3"/>
      <c r="AD7" s="3"/>
      <c r="AE7" s="3"/>
      <c r="AF7" s="3"/>
      <c r="AG7" s="3"/>
      <c r="AH7" s="3"/>
      <c r="AI7" s="3"/>
      <c r="AK7" s="3">
        <f>SUM($F7:AJ7)</f>
        <v>172458</v>
      </c>
      <c r="AL7" s="22"/>
      <c r="AM7"/>
    </row>
    <row r="8" spans="1:39" x14ac:dyDescent="0.35">
      <c r="A8" s="41" t="s">
        <v>2041</v>
      </c>
      <c r="B8" t="s">
        <v>2036</v>
      </c>
      <c r="C8" s="5">
        <v>45082</v>
      </c>
      <c r="D8" s="3">
        <v>172458</v>
      </c>
      <c r="E8" s="42" t="s">
        <v>1345</v>
      </c>
      <c r="F8" s="3"/>
      <c r="G8" s="3" t="s">
        <v>13</v>
      </c>
      <c r="H8" s="3"/>
      <c r="I8" s="3"/>
      <c r="J8" s="3"/>
      <c r="K8" s="3"/>
      <c r="L8" s="3"/>
      <c r="M8" s="3"/>
      <c r="N8" s="3"/>
      <c r="O8" s="3"/>
      <c r="P8" s="3">
        <v>172458</v>
      </c>
      <c r="Q8" s="3"/>
      <c r="R8" s="3"/>
      <c r="S8" s="3"/>
      <c r="T8" s="3"/>
      <c r="U8" s="3"/>
      <c r="V8" s="3"/>
      <c r="W8" s="3"/>
      <c r="Z8" s="3"/>
      <c r="AA8" s="3"/>
      <c r="AB8" s="3"/>
      <c r="AD8" s="3"/>
      <c r="AE8" s="3"/>
      <c r="AF8" s="3"/>
      <c r="AG8" s="3"/>
      <c r="AH8" s="3"/>
      <c r="AI8" s="3"/>
      <c r="AK8" s="3">
        <f>SUM($F8:AJ8)</f>
        <v>172458</v>
      </c>
      <c r="AL8" s="22"/>
      <c r="AM8"/>
    </row>
    <row r="9" spans="1:39" x14ac:dyDescent="0.35">
      <c r="A9" s="41" t="s">
        <v>2052</v>
      </c>
      <c r="B9" t="s">
        <v>2048</v>
      </c>
      <c r="C9" s="5">
        <v>45084</v>
      </c>
      <c r="D9" s="3">
        <v>87189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>
        <v>87189</v>
      </c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87189</v>
      </c>
      <c r="AL9" s="22"/>
      <c r="AM9"/>
    </row>
    <row r="10" spans="1:39" x14ac:dyDescent="0.35">
      <c r="A10" s="41" t="s">
        <v>2053</v>
      </c>
      <c r="B10" t="s">
        <v>2049</v>
      </c>
      <c r="C10" s="5">
        <v>45084</v>
      </c>
      <c r="D10" s="3">
        <v>45855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45855</v>
      </c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45855</v>
      </c>
      <c r="AL10" s="22"/>
      <c r="AM10"/>
    </row>
    <row r="11" spans="1:39" x14ac:dyDescent="0.35">
      <c r="A11" s="41" t="s">
        <v>2051</v>
      </c>
      <c r="B11" t="s">
        <v>2050</v>
      </c>
      <c r="C11" s="5">
        <v>45086</v>
      </c>
      <c r="D11" s="3">
        <v>87189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87189</v>
      </c>
      <c r="T11" s="3"/>
      <c r="U11" s="3"/>
      <c r="V11" s="3"/>
      <c r="W11" s="3"/>
      <c r="Z11" s="3"/>
      <c r="AA11" s="3"/>
      <c r="AB11" s="3"/>
      <c r="AC11" s="3" t="s">
        <v>13</v>
      </c>
      <c r="AD11" s="3"/>
      <c r="AE11" s="3"/>
      <c r="AF11" s="3"/>
      <c r="AG11" s="3"/>
      <c r="AH11" s="3"/>
      <c r="AI11" s="3"/>
      <c r="AK11" s="3">
        <f>SUM($F11:AJ11)</f>
        <v>87189</v>
      </c>
    </row>
    <row r="12" spans="1:39" x14ac:dyDescent="0.35">
      <c r="A12" s="41" t="s">
        <v>2058</v>
      </c>
      <c r="B12" t="s">
        <v>2057</v>
      </c>
      <c r="C12" s="5">
        <v>45088</v>
      </c>
      <c r="D12" s="3">
        <f>(19055+60000+60000)*1.19</f>
        <v>165475.44999999998</v>
      </c>
      <c r="E12" s="42" t="s">
        <v>1441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Y12" s="3">
        <f>(19055+60000+60000)*1.19</f>
        <v>165475.44999999998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165475.44999999998</v>
      </c>
      <c r="AL12" s="22"/>
      <c r="AM12" s="3">
        <f>(19055+60000+60000)*1.19</f>
        <v>165475.44999999998</v>
      </c>
    </row>
    <row r="13" spans="1:39" x14ac:dyDescent="0.35">
      <c r="A13" s="41" t="s">
        <v>2065</v>
      </c>
      <c r="B13" t="s">
        <v>2060</v>
      </c>
      <c r="C13" s="5">
        <v>45094</v>
      </c>
      <c r="D13" s="3">
        <v>45855</v>
      </c>
      <c r="E13" s="42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45855</v>
      </c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45855</v>
      </c>
      <c r="AL13" s="22"/>
    </row>
    <row r="14" spans="1:39" x14ac:dyDescent="0.35">
      <c r="A14" s="41" t="s">
        <v>2066</v>
      </c>
      <c r="B14" t="s">
        <v>2061</v>
      </c>
      <c r="C14" s="5">
        <v>45094</v>
      </c>
      <c r="D14" s="3">
        <v>45855</v>
      </c>
      <c r="E14" s="42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45855</v>
      </c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45855</v>
      </c>
      <c r="AL14" s="22"/>
    </row>
    <row r="15" spans="1:39" x14ac:dyDescent="0.35">
      <c r="A15" s="41" t="s">
        <v>2067</v>
      </c>
      <c r="B15" t="s">
        <v>2062</v>
      </c>
      <c r="C15" s="5">
        <v>45094</v>
      </c>
      <c r="D15" s="3">
        <v>45855</v>
      </c>
      <c r="E15" s="42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>
        <v>45855</v>
      </c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45855</v>
      </c>
      <c r="AL15" s="22"/>
    </row>
    <row r="16" spans="1:39" x14ac:dyDescent="0.35">
      <c r="A16" s="41" t="s">
        <v>2068</v>
      </c>
      <c r="B16" t="s">
        <v>2063</v>
      </c>
      <c r="C16" s="5">
        <v>45094</v>
      </c>
      <c r="D16" s="3">
        <v>66998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66998</v>
      </c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66998</v>
      </c>
      <c r="AL16" s="22"/>
    </row>
    <row r="17" spans="1:42" x14ac:dyDescent="0.35">
      <c r="A17" s="41" t="s">
        <v>2069</v>
      </c>
      <c r="B17" t="s">
        <v>2064</v>
      </c>
      <c r="C17" s="5">
        <v>45094</v>
      </c>
      <c r="D17" s="3">
        <v>87189</v>
      </c>
      <c r="E17" s="42" t="s">
        <v>1345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Y17" s="3">
        <v>87189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87189</v>
      </c>
      <c r="AL17" s="22"/>
      <c r="AM17" s="3">
        <v>87189</v>
      </c>
    </row>
    <row r="18" spans="1:42" x14ac:dyDescent="0.35">
      <c r="A18" s="41" t="s">
        <v>2082</v>
      </c>
      <c r="B18" t="s">
        <v>2079</v>
      </c>
      <c r="C18" s="5">
        <v>45099</v>
      </c>
      <c r="D18" s="3">
        <v>87189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>
        <v>87189</v>
      </c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87189</v>
      </c>
      <c r="AL18" s="22"/>
    </row>
    <row r="19" spans="1:42" x14ac:dyDescent="0.35">
      <c r="A19" s="41" t="s">
        <v>2083</v>
      </c>
      <c r="B19" t="s">
        <v>2080</v>
      </c>
      <c r="C19" s="5">
        <v>45099</v>
      </c>
      <c r="D19" s="3">
        <v>45855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45855</v>
      </c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45855</v>
      </c>
      <c r="AL19" s="22"/>
    </row>
    <row r="20" spans="1:42" x14ac:dyDescent="0.35">
      <c r="A20" s="41" t="s">
        <v>2084</v>
      </c>
      <c r="B20" t="s">
        <v>2081</v>
      </c>
      <c r="C20" s="5">
        <v>45099</v>
      </c>
      <c r="D20" s="3">
        <v>45855</v>
      </c>
      <c r="E20" s="42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>
        <v>45855</v>
      </c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45855</v>
      </c>
      <c r="AL20" s="22"/>
    </row>
    <row r="21" spans="1:42" x14ac:dyDescent="0.35">
      <c r="A21" s="41" t="s">
        <v>2086</v>
      </c>
      <c r="B21" t="s">
        <v>2085</v>
      </c>
      <c r="C21" s="5">
        <v>45100</v>
      </c>
      <c r="D21" s="3">
        <v>87189</v>
      </c>
      <c r="E21" s="42" t="s">
        <v>1345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Y21" s="3">
        <v>87189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87189</v>
      </c>
      <c r="AL21" s="22"/>
      <c r="AM21" s="3">
        <v>87189</v>
      </c>
    </row>
    <row r="22" spans="1:42" x14ac:dyDescent="0.35">
      <c r="A22" s="41" t="s">
        <v>2087</v>
      </c>
      <c r="B22" t="s">
        <v>2088</v>
      </c>
      <c r="C22" s="5">
        <v>45101</v>
      </c>
      <c r="D22" s="3">
        <v>45855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45855</v>
      </c>
      <c r="T22" s="3"/>
      <c r="U22" s="3"/>
      <c r="V22" s="3"/>
      <c r="W22" s="3"/>
      <c r="Y22" s="3" t="s">
        <v>13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45855</v>
      </c>
      <c r="AL22" s="22"/>
    </row>
    <row r="23" spans="1:42" ht="15" thickBot="1" x14ac:dyDescent="0.4">
      <c r="A23" s="43" t="s">
        <v>2065</v>
      </c>
      <c r="B23" s="76" t="s">
        <v>2089</v>
      </c>
      <c r="C23" s="45">
        <v>45101</v>
      </c>
      <c r="D23" s="46">
        <v>87189</v>
      </c>
      <c r="E23" s="47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87189</v>
      </c>
      <c r="T23" s="3"/>
      <c r="U23" s="3"/>
      <c r="V23" s="3"/>
      <c r="W23" s="3"/>
      <c r="Y23" s="3" t="s">
        <v>13</v>
      </c>
      <c r="Z23" s="3"/>
      <c r="AA23" s="3"/>
      <c r="AB23" s="3"/>
      <c r="AC23" s="3"/>
      <c r="AD23" s="3"/>
      <c r="AF23" s="3"/>
      <c r="AG23" s="3"/>
      <c r="AH23" s="3"/>
      <c r="AI23" s="3"/>
      <c r="AK23" s="3">
        <f>SUM($F23:AJ23)</f>
        <v>87189</v>
      </c>
      <c r="AL23" s="22"/>
    </row>
    <row r="24" spans="1:42" x14ac:dyDescent="0.35">
      <c r="A24" s="41" t="s">
        <v>2100</v>
      </c>
      <c r="B24" t="s">
        <v>2097</v>
      </c>
      <c r="C24" s="5">
        <v>45108</v>
      </c>
      <c r="D24" s="3">
        <v>87189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>
        <v>87189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87189</v>
      </c>
      <c r="AL24" s="22"/>
    </row>
    <row r="25" spans="1:42" x14ac:dyDescent="0.35">
      <c r="A25" s="41" t="s">
        <v>2101</v>
      </c>
      <c r="B25" t="s">
        <v>2098</v>
      </c>
      <c r="C25" s="5">
        <v>45110</v>
      </c>
      <c r="D25" s="3">
        <v>87189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>
        <v>87189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87189</v>
      </c>
      <c r="AL25" s="22"/>
    </row>
    <row r="26" spans="1:42" x14ac:dyDescent="0.35">
      <c r="A26" s="41" t="s">
        <v>2102</v>
      </c>
      <c r="B26" t="s">
        <v>2099</v>
      </c>
      <c r="C26" s="5">
        <v>45110</v>
      </c>
      <c r="D26" s="3">
        <v>87189</v>
      </c>
      <c r="E26" s="42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>
        <v>87189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87189</v>
      </c>
      <c r="AL26" s="22"/>
    </row>
    <row r="27" spans="1:42" x14ac:dyDescent="0.35">
      <c r="A27" s="41" t="s">
        <v>2105</v>
      </c>
      <c r="B27" t="s">
        <v>2103</v>
      </c>
      <c r="C27" s="5">
        <v>45112</v>
      </c>
      <c r="D27" s="3">
        <v>45855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>
        <v>45855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45855</v>
      </c>
      <c r="AL27" s="22"/>
      <c r="AP27" t="s">
        <v>13</v>
      </c>
    </row>
    <row r="28" spans="1:42" x14ac:dyDescent="0.35">
      <c r="A28" s="41" t="s">
        <v>2106</v>
      </c>
      <c r="B28" t="s">
        <v>2104</v>
      </c>
      <c r="C28" s="5">
        <v>45112</v>
      </c>
      <c r="D28" s="3">
        <v>87189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>
        <v>87189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87189</v>
      </c>
      <c r="AL28" s="22"/>
    </row>
    <row r="29" spans="1:42" x14ac:dyDescent="0.35">
      <c r="A29" s="41" t="s">
        <v>2109</v>
      </c>
      <c r="B29" t="s">
        <v>2110</v>
      </c>
      <c r="C29" s="5">
        <v>45114</v>
      </c>
      <c r="D29" s="3">
        <v>87189</v>
      </c>
      <c r="E29" s="42" t="s">
        <v>1345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40" t="s">
        <v>13</v>
      </c>
      <c r="T29" s="3"/>
      <c r="U29" s="3"/>
      <c r="V29" s="3"/>
      <c r="W29" s="3"/>
      <c r="Y29" s="3">
        <v>87189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87189</v>
      </c>
      <c r="AL29" s="22"/>
      <c r="AM29" s="3" t="s">
        <v>13</v>
      </c>
    </row>
    <row r="30" spans="1:42" x14ac:dyDescent="0.35">
      <c r="A30" s="41" t="s">
        <v>2112</v>
      </c>
      <c r="B30" t="s">
        <v>2113</v>
      </c>
      <c r="C30" s="5">
        <v>45116</v>
      </c>
      <c r="D30" s="3">
        <v>87189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>
        <v>87189</v>
      </c>
      <c r="AH30" s="3"/>
      <c r="AI30" s="3"/>
      <c r="AK30" s="3">
        <f>SUM($F30:AJ30)</f>
        <v>87189</v>
      </c>
      <c r="AL30" s="22"/>
    </row>
    <row r="31" spans="1:42" x14ac:dyDescent="0.35">
      <c r="A31" s="41" t="s">
        <v>2122</v>
      </c>
      <c r="B31" t="s">
        <v>2119</v>
      </c>
      <c r="C31" s="5">
        <v>45120</v>
      </c>
      <c r="D31" s="3">
        <v>45855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>
        <v>45855</v>
      </c>
      <c r="AH31" s="3"/>
      <c r="AI31" s="3"/>
      <c r="AK31" s="3">
        <f>SUM($F31:AJ31)</f>
        <v>45855</v>
      </c>
      <c r="AL31" s="22"/>
    </row>
    <row r="32" spans="1:42" x14ac:dyDescent="0.35">
      <c r="A32" s="41" t="s">
        <v>2121</v>
      </c>
      <c r="B32" t="s">
        <v>2120</v>
      </c>
      <c r="C32" s="5">
        <v>45120</v>
      </c>
      <c r="D32" s="3">
        <v>87189</v>
      </c>
      <c r="E32" s="42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>
        <v>87189</v>
      </c>
      <c r="AH32" s="3"/>
      <c r="AI32" s="3"/>
      <c r="AK32" s="3">
        <f>SUM($F32:AJ32)</f>
        <v>87189</v>
      </c>
      <c r="AL32" s="22"/>
    </row>
    <row r="33" spans="1:42" x14ac:dyDescent="0.35">
      <c r="A33" s="41" t="s">
        <v>2117</v>
      </c>
      <c r="B33" t="s">
        <v>2118</v>
      </c>
      <c r="C33" s="5">
        <v>45121</v>
      </c>
      <c r="D33" s="3">
        <v>132522</v>
      </c>
      <c r="E33" s="42" t="s">
        <v>1345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>
        <f>SUM($F33:AJ33)</f>
        <v>0</v>
      </c>
      <c r="AL33" s="22"/>
    </row>
    <row r="34" spans="1:42" x14ac:dyDescent="0.35">
      <c r="A34" s="41" t="s">
        <v>2128</v>
      </c>
      <c r="B34" t="s">
        <v>2130</v>
      </c>
      <c r="C34" s="5">
        <v>45127</v>
      </c>
      <c r="D34" s="3">
        <v>45855</v>
      </c>
      <c r="E34" s="42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>
        <v>45855</v>
      </c>
      <c r="AH34" s="3"/>
      <c r="AI34" s="3"/>
      <c r="AK34" s="3">
        <f>SUM($F34:AJ34)</f>
        <v>45855</v>
      </c>
      <c r="AL34" s="22"/>
    </row>
    <row r="35" spans="1:42" x14ac:dyDescent="0.35">
      <c r="A35" s="41" t="s">
        <v>2129</v>
      </c>
      <c r="B35" t="s">
        <v>2131</v>
      </c>
      <c r="C35" s="5">
        <v>45127</v>
      </c>
      <c r="D35" s="3">
        <v>87189</v>
      </c>
      <c r="E35" s="42" t="s">
        <v>782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>
        <v>87189</v>
      </c>
      <c r="AH35" s="3"/>
      <c r="AI35" s="3"/>
      <c r="AK35" s="3">
        <f>SUM($F35:AJ35)</f>
        <v>87189</v>
      </c>
      <c r="AL35" s="22"/>
    </row>
    <row r="36" spans="1:42" x14ac:dyDescent="0.35">
      <c r="A36" s="41" t="s">
        <v>2133</v>
      </c>
      <c r="B36" t="s">
        <v>2132</v>
      </c>
      <c r="C36" s="5">
        <v>45127</v>
      </c>
      <c r="D36" s="3">
        <v>45855</v>
      </c>
      <c r="E36" s="42" t="s">
        <v>782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>
        <v>45855</v>
      </c>
      <c r="AH36" s="3"/>
      <c r="AI36" s="3"/>
      <c r="AK36" s="3">
        <f>SUM($F36:AJ36)</f>
        <v>45855</v>
      </c>
      <c r="AL36" s="22"/>
    </row>
    <row r="37" spans="1:42" x14ac:dyDescent="0.35">
      <c r="A37" s="41" t="s">
        <v>2139</v>
      </c>
      <c r="B37" t="s">
        <v>2140</v>
      </c>
      <c r="C37" s="5">
        <v>45131</v>
      </c>
      <c r="D37" s="3">
        <v>87189</v>
      </c>
      <c r="E37" s="42" t="s">
        <v>782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</row>
    <row r="38" spans="1:42" x14ac:dyDescent="0.35">
      <c r="A38" s="41" t="s">
        <v>2145</v>
      </c>
      <c r="B38" t="s">
        <v>2141</v>
      </c>
      <c r="C38" s="5">
        <v>45133</v>
      </c>
      <c r="D38" s="3">
        <v>45855</v>
      </c>
      <c r="E38" s="42" t="s">
        <v>782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0</v>
      </c>
      <c r="AL38" s="22"/>
    </row>
    <row r="39" spans="1:42" x14ac:dyDescent="0.35">
      <c r="A39" s="41" t="s">
        <v>2146</v>
      </c>
      <c r="B39" t="s">
        <v>2142</v>
      </c>
      <c r="C39" s="5">
        <v>45133</v>
      </c>
      <c r="D39" s="3">
        <v>87189</v>
      </c>
      <c r="E39" s="42" t="s">
        <v>782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  <c r="AL39" s="22"/>
    </row>
    <row r="40" spans="1:42" x14ac:dyDescent="0.35">
      <c r="A40" s="41" t="s">
        <v>2147</v>
      </c>
      <c r="B40" t="s">
        <v>2143</v>
      </c>
      <c r="C40" s="5">
        <v>45134</v>
      </c>
      <c r="D40" s="3">
        <v>45855</v>
      </c>
      <c r="E40" s="42" t="s">
        <v>782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0</v>
      </c>
      <c r="AL40" s="22"/>
    </row>
    <row r="41" spans="1:42" x14ac:dyDescent="0.35">
      <c r="A41" s="41" t="s">
        <v>2148</v>
      </c>
      <c r="B41" t="s">
        <v>2144</v>
      </c>
      <c r="C41" s="5">
        <v>45134</v>
      </c>
      <c r="D41" s="3">
        <v>87189</v>
      </c>
      <c r="E41" s="42" t="s">
        <v>782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K41" s="3">
        <f>SUM($F41:AJ41)</f>
        <v>0</v>
      </c>
      <c r="AL41" s="22"/>
    </row>
    <row r="42" spans="1:42" x14ac:dyDescent="0.35">
      <c r="A42" s="41" t="s">
        <v>2151</v>
      </c>
      <c r="B42" t="s">
        <v>2150</v>
      </c>
      <c r="C42" s="5">
        <v>45134</v>
      </c>
      <c r="D42" s="3">
        <v>132522</v>
      </c>
      <c r="E42" s="42" t="s">
        <v>1345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K42" s="3">
        <f>SUM($F42:AJ42)</f>
        <v>0</v>
      </c>
      <c r="AL42" s="22"/>
    </row>
    <row r="43" spans="1:42" x14ac:dyDescent="0.35">
      <c r="A43" s="41"/>
      <c r="C43" s="5"/>
      <c r="D43" s="3"/>
      <c r="E43" s="4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K43" s="3">
        <f>SUM($F43:AJ43)</f>
        <v>0</v>
      </c>
      <c r="AL43" s="22"/>
    </row>
    <row r="44" spans="1:42" x14ac:dyDescent="0.35">
      <c r="A44" s="41"/>
      <c r="C44" s="5"/>
      <c r="D44" s="3"/>
      <c r="E44" s="4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K44" s="3">
        <f>SUM($F44:AJ44)</f>
        <v>0</v>
      </c>
      <c r="AL44" s="22"/>
    </row>
    <row r="45" spans="1:42" x14ac:dyDescent="0.35">
      <c r="A45" s="41"/>
      <c r="C45" s="5"/>
      <c r="D45" s="3"/>
      <c r="E45" s="4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K45" s="3">
        <f>SUM($F45:AJ45)</f>
        <v>0</v>
      </c>
      <c r="AL45" s="22"/>
    </row>
    <row r="46" spans="1:42" ht="15" thickBot="1" x14ac:dyDescent="0.4">
      <c r="A46" s="43" t="s">
        <v>2136</v>
      </c>
      <c r="B46" s="76"/>
      <c r="C46" s="45">
        <v>45128</v>
      </c>
      <c r="D46" s="46">
        <v>500000</v>
      </c>
      <c r="E46" s="4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Z46" s="3">
        <v>500000</v>
      </c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500000</v>
      </c>
      <c r="AL46" s="22"/>
      <c r="AP46" t="s">
        <v>13</v>
      </c>
    </row>
    <row r="47" spans="1:42" x14ac:dyDescent="0.35">
      <c r="D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K47" s="324" t="s">
        <v>1962</v>
      </c>
      <c r="AL47" s="22" t="s">
        <v>1352</v>
      </c>
    </row>
    <row r="48" spans="1:42" x14ac:dyDescent="0.35">
      <c r="A48" s="2" t="s">
        <v>1676</v>
      </c>
      <c r="D48" s="3">
        <f>SUM(D24:D45)</f>
        <v>1499253</v>
      </c>
      <c r="F48" s="3">
        <f>SUM(F5:F46)</f>
        <v>0</v>
      </c>
      <c r="G48" s="3">
        <f t="shared" ref="G48:AJ48" si="1">SUM(G5:G46)</f>
        <v>0</v>
      </c>
      <c r="H48" s="3">
        <f t="shared" si="1"/>
        <v>0</v>
      </c>
      <c r="I48" s="3">
        <f t="shared" si="1"/>
        <v>0</v>
      </c>
      <c r="J48" s="3">
        <f t="shared" si="1"/>
        <v>0</v>
      </c>
      <c r="K48" s="3">
        <f t="shared" si="1"/>
        <v>0</v>
      </c>
      <c r="L48" s="3">
        <f t="shared" si="1"/>
        <v>0</v>
      </c>
      <c r="M48" s="3">
        <f t="shared" si="1"/>
        <v>0</v>
      </c>
      <c r="N48" s="3">
        <f t="shared" si="1"/>
        <v>0</v>
      </c>
      <c r="O48" s="3">
        <f t="shared" si="1"/>
        <v>0</v>
      </c>
      <c r="P48" s="3">
        <f t="shared" si="1"/>
        <v>432105</v>
      </c>
      <c r="Q48" s="3">
        <f t="shared" si="1"/>
        <v>0</v>
      </c>
      <c r="R48" s="3">
        <f t="shared" si="1"/>
        <v>0</v>
      </c>
      <c r="S48" s="3">
        <f t="shared" si="1"/>
        <v>736739</v>
      </c>
      <c r="T48" s="3">
        <f t="shared" si="1"/>
        <v>0</v>
      </c>
      <c r="U48" s="3">
        <f t="shared" si="1"/>
        <v>0</v>
      </c>
      <c r="V48" s="3">
        <f t="shared" si="1"/>
        <v>0</v>
      </c>
      <c r="W48" s="3">
        <f t="shared" si="1"/>
        <v>394611</v>
      </c>
      <c r="X48" s="3">
        <f t="shared" si="1"/>
        <v>0</v>
      </c>
      <c r="Y48" s="3">
        <f t="shared" si="1"/>
        <v>427042.44999999995</v>
      </c>
      <c r="Z48" s="3">
        <f t="shared" si="1"/>
        <v>500000</v>
      </c>
      <c r="AA48" s="3">
        <f t="shared" si="1"/>
        <v>0</v>
      </c>
      <c r="AB48" s="3">
        <f t="shared" si="1"/>
        <v>0</v>
      </c>
      <c r="AC48" s="3">
        <f t="shared" si="1"/>
        <v>0</v>
      </c>
      <c r="AD48" s="3">
        <f t="shared" si="1"/>
        <v>0</v>
      </c>
      <c r="AE48" s="3">
        <f t="shared" si="1"/>
        <v>0</v>
      </c>
      <c r="AF48" s="3">
        <f t="shared" si="1"/>
        <v>0</v>
      </c>
      <c r="AG48" s="3">
        <f t="shared" si="1"/>
        <v>399132</v>
      </c>
      <c r="AH48" s="3">
        <f t="shared" si="1"/>
        <v>0</v>
      </c>
      <c r="AI48" s="3">
        <f t="shared" si="1"/>
        <v>0</v>
      </c>
      <c r="AJ48" s="3">
        <f t="shared" si="1"/>
        <v>0</v>
      </c>
      <c r="AK48" s="72">
        <f>SUM(AK6:AK45)</f>
        <v>2389629.4500000002</v>
      </c>
      <c r="AL48" s="22">
        <f>+D49-AK48</f>
        <v>1118321</v>
      </c>
      <c r="AM48" s="6" t="s">
        <v>13</v>
      </c>
    </row>
    <row r="49" spans="1:45" x14ac:dyDescent="0.35">
      <c r="A49" s="2" t="s">
        <v>1780</v>
      </c>
      <c r="B49" t="s">
        <v>13</v>
      </c>
      <c r="C49" s="3" t="s">
        <v>13</v>
      </c>
      <c r="D49" s="3">
        <f>SUM(D6:D46)</f>
        <v>3507950.45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45" x14ac:dyDescent="0.35">
      <c r="A50" s="2"/>
      <c r="C50" s="3"/>
      <c r="D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S50" t="s">
        <v>98</v>
      </c>
    </row>
    <row r="51" spans="1:45" x14ac:dyDescent="0.35">
      <c r="A51" s="2" t="s">
        <v>2</v>
      </c>
      <c r="F51" s="3"/>
      <c r="G51" s="3"/>
      <c r="H51" s="3"/>
      <c r="I51" s="3"/>
      <c r="J51" s="3"/>
      <c r="K51" s="3"/>
      <c r="L51" s="3" t="s">
        <v>13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45" ht="15" thickBot="1" x14ac:dyDescent="0.4">
      <c r="A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45" x14ac:dyDescent="0.35">
      <c r="A53" s="358" t="s">
        <v>1008</v>
      </c>
      <c r="B53" s="37" t="s">
        <v>337</v>
      </c>
      <c r="C53" s="38"/>
      <c r="D53" s="39">
        <v>2400000</v>
      </c>
      <c r="E53" s="40"/>
      <c r="F53" s="3"/>
      <c r="G53" s="3"/>
      <c r="H53" s="3" t="s">
        <v>13</v>
      </c>
      <c r="I53" s="3" t="s">
        <v>13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K53" s="3">
        <f>SUM($F53:AJ53)</f>
        <v>0</v>
      </c>
    </row>
    <row r="54" spans="1:45" x14ac:dyDescent="0.35">
      <c r="A54" s="41" t="s">
        <v>2107</v>
      </c>
      <c r="B54" t="s">
        <v>337</v>
      </c>
      <c r="C54" s="5">
        <v>45107</v>
      </c>
      <c r="D54" s="3">
        <v>95589.3</v>
      </c>
      <c r="E54" s="42"/>
      <c r="F54" s="3"/>
      <c r="G54" s="3"/>
      <c r="H54" s="3"/>
      <c r="I54" s="3"/>
      <c r="J54" s="3"/>
      <c r="K54" s="3"/>
      <c r="L54" s="3"/>
      <c r="M54" s="3"/>
      <c r="N54" s="3"/>
      <c r="O54" s="3">
        <v>95589.3</v>
      </c>
      <c r="P54" s="3"/>
      <c r="Q54" s="3"/>
      <c r="R54" s="3"/>
      <c r="S54" s="3"/>
      <c r="T54" s="3"/>
      <c r="U54" s="3"/>
      <c r="V54" s="3"/>
      <c r="W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K54" s="3">
        <f>SUM($F54:AJ54)</f>
        <v>95589.3</v>
      </c>
    </row>
    <row r="55" spans="1:45" x14ac:dyDescent="0.35">
      <c r="A55" s="41" t="s">
        <v>248</v>
      </c>
      <c r="B55" s="24" t="s">
        <v>2091</v>
      </c>
      <c r="C55" s="5">
        <v>45110</v>
      </c>
      <c r="D55" s="7">
        <v>109000</v>
      </c>
      <c r="E55" s="344" t="s">
        <v>503</v>
      </c>
      <c r="F55" s="3"/>
      <c r="H55" s="3">
        <v>109000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 t="s">
        <v>13</v>
      </c>
      <c r="AJ55" s="3"/>
      <c r="AK55" s="3">
        <f>SUM($F55:AJ55)</f>
        <v>109000</v>
      </c>
      <c r="AL55" s="6" t="s">
        <v>81</v>
      </c>
      <c r="AN55" s="26"/>
      <c r="AO55" s="3"/>
    </row>
    <row r="56" spans="1:45" x14ac:dyDescent="0.35">
      <c r="A56" s="343" t="s">
        <v>2127</v>
      </c>
      <c r="B56" s="24"/>
      <c r="C56" s="5">
        <v>45110</v>
      </c>
      <c r="D56" s="3">
        <v>2690</v>
      </c>
      <c r="E56" s="344" t="s">
        <v>4</v>
      </c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f>SUM($F56:AJ56)</f>
        <v>0</v>
      </c>
      <c r="AL56" s="6" t="s">
        <v>81</v>
      </c>
      <c r="AN56" s="26"/>
      <c r="AO56" s="3"/>
    </row>
    <row r="57" spans="1:45" x14ac:dyDescent="0.35">
      <c r="A57" s="4" t="s">
        <v>1161</v>
      </c>
      <c r="B57" s="291" t="s">
        <v>2115</v>
      </c>
      <c r="C57" s="5">
        <v>45112</v>
      </c>
      <c r="D57" s="3">
        <v>21400</v>
      </c>
      <c r="E57" s="344" t="s">
        <v>1704</v>
      </c>
      <c r="F57" s="3"/>
      <c r="H57" s="3"/>
      <c r="I57" s="3"/>
      <c r="J57" s="3">
        <v>21400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>
        <f>SUM($F57:AJ57)</f>
        <v>21400</v>
      </c>
      <c r="AL57" s="6" t="s">
        <v>83</v>
      </c>
      <c r="AN57" s="26"/>
      <c r="AO57" s="3"/>
    </row>
    <row r="58" spans="1:45" x14ac:dyDescent="0.35">
      <c r="A58" s="343" t="s">
        <v>2114</v>
      </c>
      <c r="B58" s="24"/>
      <c r="C58" s="5">
        <v>45112</v>
      </c>
      <c r="D58" s="3">
        <v>13905</v>
      </c>
      <c r="E58" s="344"/>
      <c r="F58" s="3"/>
      <c r="H58" s="3"/>
      <c r="I58" s="3"/>
      <c r="J58" s="3">
        <v>13905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f>SUM($F58:AJ58)</f>
        <v>13905</v>
      </c>
      <c r="AL58" s="6" t="s">
        <v>1557</v>
      </c>
      <c r="AN58" s="26"/>
      <c r="AO58" s="3"/>
    </row>
    <row r="59" spans="1:45" x14ac:dyDescent="0.35">
      <c r="A59" s="41" t="s">
        <v>2108</v>
      </c>
      <c r="B59" s="24"/>
      <c r="C59" s="5">
        <v>45113</v>
      </c>
      <c r="D59" s="3">
        <v>16000</v>
      </c>
      <c r="E59" s="344" t="s">
        <v>503</v>
      </c>
      <c r="F59" s="3"/>
      <c r="H59" s="3"/>
      <c r="I59" s="3"/>
      <c r="J59" s="3" t="s">
        <v>13</v>
      </c>
      <c r="K59" s="3">
        <v>16000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f>SUM($F59:AJ59)</f>
        <v>16000</v>
      </c>
      <c r="AL59" s="6" t="s">
        <v>81</v>
      </c>
      <c r="AN59" s="26"/>
      <c r="AO59" s="3"/>
    </row>
    <row r="60" spans="1:45" x14ac:dyDescent="0.35">
      <c r="A60" s="343" t="s">
        <v>1161</v>
      </c>
      <c r="B60" s="291" t="s">
        <v>2116</v>
      </c>
      <c r="C60" s="5">
        <v>45119</v>
      </c>
      <c r="D60" s="3">
        <v>24960</v>
      </c>
      <c r="E60" s="344" t="s">
        <v>1704</v>
      </c>
      <c r="F60" s="3"/>
      <c r="H60" s="3"/>
      <c r="I60" s="3"/>
      <c r="J60" s="3"/>
      <c r="K60" s="3"/>
      <c r="L60" s="3"/>
      <c r="M60" s="3"/>
      <c r="N60" s="3"/>
      <c r="O60" s="3"/>
      <c r="P60" s="3"/>
      <c r="Q60" s="3">
        <v>24960</v>
      </c>
      <c r="R60" s="3"/>
      <c r="S60" s="3"/>
      <c r="T60" s="3"/>
      <c r="U60" s="3"/>
      <c r="V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f>SUM($F60:AJ60)</f>
        <v>24960</v>
      </c>
      <c r="AL60" s="6" t="s">
        <v>83</v>
      </c>
      <c r="AN60" s="26"/>
      <c r="AO60" s="3"/>
    </row>
    <row r="61" spans="1:45" x14ac:dyDescent="0.35">
      <c r="A61" s="343" t="s">
        <v>2123</v>
      </c>
      <c r="B61" s="24"/>
      <c r="C61" s="5">
        <v>45121</v>
      </c>
      <c r="D61" s="3">
        <v>500000</v>
      </c>
      <c r="E61" s="344" t="s">
        <v>503</v>
      </c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>
        <v>500000</v>
      </c>
      <c r="T61" s="3"/>
      <c r="U61" s="3"/>
      <c r="V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f>SUM($F61:AJ61)</f>
        <v>500000</v>
      </c>
      <c r="AN61" s="26"/>
      <c r="AO61" s="3"/>
    </row>
    <row r="62" spans="1:45" x14ac:dyDescent="0.35">
      <c r="A62" s="41" t="s">
        <v>2124</v>
      </c>
      <c r="B62" s="24"/>
      <c r="C62" s="5">
        <v>45124</v>
      </c>
      <c r="D62" s="3">
        <v>55717</v>
      </c>
      <c r="E62" s="344" t="s">
        <v>503</v>
      </c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55717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f>SUM($F62:AJ62)</f>
        <v>55717</v>
      </c>
      <c r="AL62" s="6" t="s">
        <v>81</v>
      </c>
      <c r="AN62" s="26"/>
      <c r="AO62" s="3"/>
    </row>
    <row r="63" spans="1:45" x14ac:dyDescent="0.35">
      <c r="A63" s="41" t="s">
        <v>2125</v>
      </c>
      <c r="B63" s="24"/>
      <c r="C63" s="5">
        <v>45124</v>
      </c>
      <c r="D63" s="3">
        <v>48100</v>
      </c>
      <c r="E63" s="344" t="s">
        <v>503</v>
      </c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48100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f>SUM($F63:AJ63)</f>
        <v>48100</v>
      </c>
      <c r="AL63" s="6" t="s">
        <v>81</v>
      </c>
      <c r="AN63" s="26"/>
      <c r="AO63" s="3"/>
    </row>
    <row r="64" spans="1:45" x14ac:dyDescent="0.35">
      <c r="A64" s="343" t="s">
        <v>2126</v>
      </c>
      <c r="B64" s="24"/>
      <c r="C64" s="5">
        <v>45124</v>
      </c>
      <c r="D64" s="3">
        <v>5499</v>
      </c>
      <c r="E64" s="344" t="s">
        <v>4</v>
      </c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>
        <f>SUM($F64:AJ64)</f>
        <v>0</v>
      </c>
      <c r="AL64" s="6" t="s">
        <v>81</v>
      </c>
      <c r="AN64" s="26"/>
      <c r="AO64" s="3"/>
    </row>
    <row r="65" spans="1:46" x14ac:dyDescent="0.35">
      <c r="A65" s="343" t="s">
        <v>2134</v>
      </c>
      <c r="B65" s="24"/>
      <c r="C65" s="5">
        <v>45127</v>
      </c>
      <c r="D65" s="3">
        <v>244795</v>
      </c>
      <c r="E65" s="344" t="s">
        <v>503</v>
      </c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Y65" s="3">
        <v>244795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>
        <f>SUM($F65:AJ65)</f>
        <v>244795</v>
      </c>
      <c r="AN65" s="26"/>
      <c r="AO65" s="3"/>
    </row>
    <row r="66" spans="1:46" x14ac:dyDescent="0.35">
      <c r="A66" s="343" t="s">
        <v>1161</v>
      </c>
      <c r="B66" s="291" t="s">
        <v>2135</v>
      </c>
      <c r="C66" s="5">
        <v>45128</v>
      </c>
      <c r="D66" s="3">
        <v>17820</v>
      </c>
      <c r="E66" s="344" t="s">
        <v>1704</v>
      </c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Y66" s="3"/>
      <c r="Z66" s="3">
        <v>17820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f>SUM($F66:AJ66)</f>
        <v>17820</v>
      </c>
      <c r="AL66" s="6" t="s">
        <v>83</v>
      </c>
      <c r="AN66" s="26"/>
      <c r="AO66" s="3"/>
    </row>
    <row r="67" spans="1:46" x14ac:dyDescent="0.35">
      <c r="A67" s="343" t="s">
        <v>2137</v>
      </c>
      <c r="B67" s="24" t="s">
        <v>2138</v>
      </c>
      <c r="C67" s="5">
        <v>45133</v>
      </c>
      <c r="D67" s="3">
        <v>74465</v>
      </c>
      <c r="E67" s="344" t="s">
        <v>4</v>
      </c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>
        <f>SUM($F67:AJ67)</f>
        <v>0</v>
      </c>
      <c r="AL67" s="6" t="s">
        <v>83</v>
      </c>
      <c r="AN67" s="26"/>
      <c r="AO67" s="3"/>
    </row>
    <row r="68" spans="1:46" x14ac:dyDescent="0.35">
      <c r="A68" s="343" t="s">
        <v>2149</v>
      </c>
      <c r="B68" s="24"/>
      <c r="C68" s="5">
        <v>45134</v>
      </c>
      <c r="D68" s="3">
        <v>20305</v>
      </c>
      <c r="E68" s="344" t="s">
        <v>503</v>
      </c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Y68" s="3"/>
      <c r="Z68" s="3"/>
      <c r="AA68" s="3"/>
      <c r="AB68" s="3"/>
      <c r="AC68" s="3"/>
      <c r="AD68" s="3"/>
      <c r="AE68" s="3"/>
      <c r="AF68" s="3">
        <v>20305</v>
      </c>
      <c r="AG68" s="3"/>
      <c r="AH68" s="3"/>
      <c r="AI68" s="3"/>
      <c r="AJ68" s="3"/>
      <c r="AK68" s="3">
        <f>SUM($F68:AJ68)</f>
        <v>20305</v>
      </c>
      <c r="AL68" s="6" t="s">
        <v>81</v>
      </c>
      <c r="AN68" s="26"/>
      <c r="AO68" s="3"/>
    </row>
    <row r="69" spans="1:46" x14ac:dyDescent="0.35">
      <c r="A69" s="343" t="s">
        <v>2156</v>
      </c>
      <c r="B69" s="24" t="s">
        <v>2157</v>
      </c>
      <c r="C69" s="5">
        <v>45134</v>
      </c>
      <c r="D69" s="3">
        <v>1990</v>
      </c>
      <c r="E69" s="344" t="s">
        <v>2158</v>
      </c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>
        <f>SUM($F69:AJ69)</f>
        <v>0</v>
      </c>
      <c r="AL69" s="6" t="s">
        <v>81</v>
      </c>
      <c r="AN69" s="26"/>
      <c r="AO69" s="3"/>
    </row>
    <row r="70" spans="1:46" x14ac:dyDescent="0.35">
      <c r="A70" s="343" t="s">
        <v>1161</v>
      </c>
      <c r="B70" s="24" t="s">
        <v>2152</v>
      </c>
      <c r="C70" s="5">
        <v>45135</v>
      </c>
      <c r="D70" s="3">
        <v>22580</v>
      </c>
      <c r="E70" s="344" t="s">
        <v>1704</v>
      </c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Y70" s="3"/>
      <c r="Z70" s="3"/>
      <c r="AA70" s="3"/>
      <c r="AB70" s="3"/>
      <c r="AC70" s="3"/>
      <c r="AD70" s="3"/>
      <c r="AE70" s="3"/>
      <c r="AF70" s="3"/>
      <c r="AG70" s="3">
        <v>22580</v>
      </c>
      <c r="AH70" s="3"/>
      <c r="AI70" s="3"/>
      <c r="AJ70" s="3"/>
      <c r="AK70" s="3">
        <f>SUM($F70:AJ70)</f>
        <v>22580</v>
      </c>
      <c r="AL70" s="6" t="s">
        <v>83</v>
      </c>
      <c r="AN70" s="26"/>
      <c r="AO70" s="3"/>
    </row>
    <row r="71" spans="1:46" x14ac:dyDescent="0.35">
      <c r="A71" s="343" t="s">
        <v>2155</v>
      </c>
      <c r="B71" s="24" t="s">
        <v>2154</v>
      </c>
      <c r="C71" s="5">
        <v>45138</v>
      </c>
      <c r="D71" s="3">
        <v>15080</v>
      </c>
      <c r="E71" s="344" t="s">
        <v>4</v>
      </c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>
        <f>SUM($F71:AJ71)</f>
        <v>0</v>
      </c>
      <c r="AL71" s="6" t="s">
        <v>81</v>
      </c>
      <c r="AN71" s="26"/>
      <c r="AO71" s="3"/>
    </row>
    <row r="72" spans="1:46" x14ac:dyDescent="0.35">
      <c r="A72" s="343"/>
      <c r="B72" s="24"/>
      <c r="C72" s="5"/>
      <c r="D72" s="3" t="s">
        <v>13</v>
      </c>
      <c r="E72" s="344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>
        <f>SUM($F72:AJ72)</f>
        <v>0</v>
      </c>
      <c r="AN72" s="26"/>
      <c r="AO72" s="3"/>
    </row>
    <row r="73" spans="1:46" x14ac:dyDescent="0.35">
      <c r="A73" s="343"/>
      <c r="B73" s="24"/>
      <c r="C73" s="5"/>
      <c r="D73" s="3"/>
      <c r="E73" s="344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>
        <f>SUM($F73:AJ73)</f>
        <v>0</v>
      </c>
      <c r="AN73" s="26" t="s">
        <v>13</v>
      </c>
      <c r="AO73" s="3"/>
    </row>
    <row r="74" spans="1:46" x14ac:dyDescent="0.35">
      <c r="A74" s="343"/>
      <c r="B74" s="24"/>
      <c r="C74" s="5" t="s">
        <v>13</v>
      </c>
      <c r="D74" s="3" t="s">
        <v>13</v>
      </c>
      <c r="E74" s="34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 t="s">
        <v>13</v>
      </c>
      <c r="X74" s="3" t="s">
        <v>13</v>
      </c>
      <c r="Y74" s="3" t="s">
        <v>13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>
        <f>SUM($F74:AJ74)</f>
        <v>0</v>
      </c>
      <c r="AN74" s="26" t="s">
        <v>13</v>
      </c>
      <c r="AO74" s="3"/>
    </row>
    <row r="75" spans="1:46" ht="15" thickBot="1" x14ac:dyDescent="0.4">
      <c r="A75" s="43" t="s">
        <v>2111</v>
      </c>
      <c r="B75" s="76" t="s">
        <v>337</v>
      </c>
      <c r="C75" s="45">
        <v>45138</v>
      </c>
      <c r="D75" s="46">
        <f>+AK48*0.17</f>
        <v>406237.00650000008</v>
      </c>
      <c r="E75" s="47"/>
      <c r="F75" s="3"/>
      <c r="G75" s="3" t="s">
        <v>13</v>
      </c>
      <c r="H75" s="3" t="s">
        <v>13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>
        <f>SUM($F75:AJ75)</f>
        <v>0</v>
      </c>
      <c r="AL75" s="6" t="s">
        <v>1846</v>
      </c>
      <c r="AM75" s="6" t="s">
        <v>13</v>
      </c>
      <c r="AN75" s="26" t="s">
        <v>13</v>
      </c>
      <c r="AO75" s="3"/>
    </row>
    <row r="76" spans="1:46" ht="15" thickBot="1" x14ac:dyDescent="0.4">
      <c r="A76" s="4" t="s">
        <v>2216</v>
      </c>
      <c r="B76" s="372">
        <f>84.052*3/8</f>
        <v>31.519500000000001</v>
      </c>
      <c r="C76" s="67" t="s">
        <v>13</v>
      </c>
      <c r="D76" s="3">
        <f>+B76*C77</f>
        <v>1136541.47802</v>
      </c>
      <c r="E76" s="153"/>
      <c r="F76" s="3"/>
      <c r="G76" s="3"/>
      <c r="H76" s="3" t="s">
        <v>13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Y76" s="3"/>
      <c r="Z76" s="3"/>
      <c r="AA76" s="3"/>
      <c r="AB76" s="3"/>
      <c r="AC76" s="3"/>
      <c r="AD76" s="3"/>
      <c r="AE76" s="3"/>
      <c r="AF76" s="3">
        <v>1136541.47802</v>
      </c>
      <c r="AG76" s="3" t="s">
        <v>13</v>
      </c>
      <c r="AH76" s="3" t="s">
        <v>13</v>
      </c>
      <c r="AI76" s="3"/>
      <c r="AJ76" s="3" t="s">
        <v>13</v>
      </c>
      <c r="AK76" s="3">
        <f>SUM($F76:AJ76)</f>
        <v>1136541.47802</v>
      </c>
      <c r="AL76" s="22" t="s">
        <v>13</v>
      </c>
      <c r="AM76" s="6" t="s">
        <v>13</v>
      </c>
      <c r="AO76" s="26" t="s">
        <v>13</v>
      </c>
      <c r="AQ76" s="6" t="s">
        <v>1675</v>
      </c>
      <c r="AR76" s="110" t="s">
        <v>2257</v>
      </c>
      <c r="AT76" s="110" t="s">
        <v>2258</v>
      </c>
    </row>
    <row r="77" spans="1:46" ht="15" thickBot="1" x14ac:dyDescent="0.4">
      <c r="A77" s="4"/>
      <c r="B77" s="67" t="s">
        <v>933</v>
      </c>
      <c r="C77" s="236">
        <v>36058.36</v>
      </c>
      <c r="D77" s="3"/>
      <c r="E77" s="15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22"/>
      <c r="AP77" s="64" t="e">
        <f>+[2]Hoja1!$L$267+[3]Hoja1!#REF!</f>
        <v>#REF!</v>
      </c>
      <c r="AQ77" s="64" t="e">
        <f>+[3]Hoja1!#REF!</f>
        <v>#REF!</v>
      </c>
      <c r="AR77" s="380" t="e">
        <f>+AQ77+'Jun-23'!AR66</f>
        <v>#REF!</v>
      </c>
      <c r="AT77" s="380" t="e">
        <f>+AR77+'Dic-22'!AR121</f>
        <v>#REF!</v>
      </c>
    </row>
    <row r="78" spans="1:46" x14ac:dyDescent="0.35">
      <c r="A78" s="371" t="s">
        <v>255</v>
      </c>
      <c r="B78" s="372">
        <f>84.052-31.52</f>
        <v>52.532000000000011</v>
      </c>
      <c r="C78" s="67"/>
      <c r="D78" s="3"/>
      <c r="E78" s="15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22"/>
      <c r="AO78" s="11" t="s">
        <v>91</v>
      </c>
      <c r="AP78" s="53">
        <f>+D48/1.19</f>
        <v>1259876.4705882354</v>
      </c>
      <c r="AQ78" s="348">
        <f>+(SUMIF(E24:E42,"MD",D24:D42)+SUMIF(E24:E42,"MK",D24:D42))/1.19</f>
        <v>295994.11764705885</v>
      </c>
      <c r="AR78" s="93">
        <f>+AQ78+'Jun-23'!AR67</f>
        <v>6948899.7794604171</v>
      </c>
      <c r="AT78" s="93">
        <f>+AR78+'Dic-22'!AR122</f>
        <v>11131471.745846972</v>
      </c>
    </row>
    <row r="79" spans="1:46" x14ac:dyDescent="0.35">
      <c r="A79" s="3" t="s">
        <v>13</v>
      </c>
      <c r="B79" s="24"/>
      <c r="D79" s="3"/>
      <c r="E79" s="15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22"/>
      <c r="AO79" s="14" t="s">
        <v>1558</v>
      </c>
      <c r="AP79" s="15">
        <f>+SUMIF(AL55:AL75,"CD",D55:D75)/1.19</f>
        <v>135483.19327731093</v>
      </c>
      <c r="AQ79" s="342" t="e">
        <f>+AP79*AQ$77/AP$77</f>
        <v>#REF!</v>
      </c>
      <c r="AR79" s="93" t="e">
        <f ca="1">+AQ79+'Jun-23'!AR68</f>
        <v>#REF!</v>
      </c>
      <c r="AT79" s="93" t="e">
        <f ca="1">+AR79+'Dic-22'!AR123</f>
        <v>#REF!</v>
      </c>
    </row>
    <row r="80" spans="1:46" x14ac:dyDescent="0.35">
      <c r="A80" s="4"/>
      <c r="B80" s="24"/>
      <c r="C80" s="67"/>
      <c r="D80" s="3"/>
      <c r="E80" s="153"/>
      <c r="F80" s="3" t="s">
        <v>13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22"/>
      <c r="AO80" s="14" t="s">
        <v>1559</v>
      </c>
      <c r="AP80" s="15">
        <f>+AP78-AP79</f>
        <v>1124393.2773109246</v>
      </c>
      <c r="AQ80" s="342" t="e">
        <f>+AQ78-AQ79</f>
        <v>#REF!</v>
      </c>
      <c r="AR80" s="185" t="e">
        <f ca="1">+AR78-AR79</f>
        <v>#REF!</v>
      </c>
      <c r="AT80" s="185" t="e">
        <f ca="1">+AT78-AT79</f>
        <v>#REF!</v>
      </c>
    </row>
    <row r="81" spans="1:47" x14ac:dyDescent="0.35">
      <c r="A81" s="4"/>
      <c r="B81" s="24"/>
      <c r="C81" s="67"/>
      <c r="D81" s="3"/>
      <c r="E81" s="15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22"/>
      <c r="AO81" s="14" t="s">
        <v>1560</v>
      </c>
      <c r="AP81" s="327">
        <f>+AP80/AP78</f>
        <v>0.89246311329708872</v>
      </c>
      <c r="AQ81" s="349" t="e">
        <f>+AQ80/AQ78</f>
        <v>#REF!</v>
      </c>
      <c r="AR81" s="356" t="e">
        <f ca="1">+AR80/AR78</f>
        <v>#REF!</v>
      </c>
      <c r="AT81" s="356" t="e">
        <f ca="1">+AT80/AT78</f>
        <v>#REF!</v>
      </c>
    </row>
    <row r="82" spans="1:47" x14ac:dyDescent="0.35">
      <c r="A82" s="4"/>
      <c r="B82" s="67"/>
      <c r="C82" s="236"/>
      <c r="E82" s="15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Y82" s="3"/>
      <c r="AJ82" s="3"/>
      <c r="AK82" s="3"/>
      <c r="AL82" s="22" t="s">
        <v>1388</v>
      </c>
      <c r="AM82" s="6" t="s">
        <v>1430</v>
      </c>
      <c r="AO82" s="14" t="s">
        <v>81</v>
      </c>
      <c r="AP82" s="15">
        <f>+SUMIF(AL55:AL75,"GAV",D55:D75)/1.19+SUMIF(AL55:AL75,"REM",D55:D75)</f>
        <v>636809.27540756308</v>
      </c>
      <c r="AQ82" s="342" t="e">
        <f>+AP82*AQ$77/AP$77+(600000+300000)*2/7</f>
        <v>#REF!</v>
      </c>
      <c r="AR82" s="93" t="e">
        <f>+AQ82+'Jun-23'!AR71</f>
        <v>#REF!</v>
      </c>
      <c r="AT82" s="93" t="e">
        <f>+AR82+'Dic-22'!AR126</f>
        <v>#REF!</v>
      </c>
    </row>
    <row r="83" spans="1:47" x14ac:dyDescent="0.35">
      <c r="A83" s="2" t="s">
        <v>9</v>
      </c>
      <c r="D83" s="72">
        <f>SUM(D53:D81)-D53</f>
        <v>2832673.7845200002</v>
      </c>
      <c r="F83" s="3">
        <f t="shared" ref="F83:AJ83" si="2">SUM(F53:F82)</f>
        <v>0</v>
      </c>
      <c r="G83" s="3">
        <f t="shared" si="2"/>
        <v>0</v>
      </c>
      <c r="H83" s="3">
        <f t="shared" si="2"/>
        <v>109000</v>
      </c>
      <c r="I83" s="3">
        <f t="shared" si="2"/>
        <v>0</v>
      </c>
      <c r="J83" s="3">
        <f t="shared" si="2"/>
        <v>35305</v>
      </c>
      <c r="K83" s="3">
        <f t="shared" si="2"/>
        <v>16000</v>
      </c>
      <c r="L83" s="3">
        <f t="shared" si="2"/>
        <v>0</v>
      </c>
      <c r="M83" s="3">
        <f t="shared" si="2"/>
        <v>0</v>
      </c>
      <c r="N83" s="3">
        <f t="shared" si="2"/>
        <v>0</v>
      </c>
      <c r="O83" s="3">
        <f t="shared" si="2"/>
        <v>95589.3</v>
      </c>
      <c r="P83" s="3">
        <f t="shared" si="2"/>
        <v>0</v>
      </c>
      <c r="Q83" s="3">
        <f t="shared" si="2"/>
        <v>24960</v>
      </c>
      <c r="R83" s="3">
        <f t="shared" si="2"/>
        <v>0</v>
      </c>
      <c r="S83" s="3">
        <f t="shared" si="2"/>
        <v>500000</v>
      </c>
      <c r="T83" s="3">
        <f t="shared" si="2"/>
        <v>0</v>
      </c>
      <c r="U83" s="3">
        <f t="shared" si="2"/>
        <v>0</v>
      </c>
      <c r="V83" s="3">
        <f t="shared" si="2"/>
        <v>103817</v>
      </c>
      <c r="W83" s="3">
        <f t="shared" si="2"/>
        <v>0</v>
      </c>
      <c r="X83" s="3">
        <f t="shared" si="2"/>
        <v>0</v>
      </c>
      <c r="Y83" s="3">
        <f t="shared" si="2"/>
        <v>244795</v>
      </c>
      <c r="Z83" s="3">
        <f t="shared" si="2"/>
        <v>17820</v>
      </c>
      <c r="AA83" s="3">
        <f t="shared" si="2"/>
        <v>0</v>
      </c>
      <c r="AB83" s="3">
        <f t="shared" si="2"/>
        <v>0</v>
      </c>
      <c r="AC83" s="3">
        <f t="shared" si="2"/>
        <v>0</v>
      </c>
      <c r="AD83" s="3">
        <f t="shared" si="2"/>
        <v>0</v>
      </c>
      <c r="AE83" s="3">
        <f t="shared" si="2"/>
        <v>0</v>
      </c>
      <c r="AF83" s="3">
        <f t="shared" si="2"/>
        <v>1156846.47802</v>
      </c>
      <c r="AG83" s="3">
        <f t="shared" si="2"/>
        <v>22580</v>
      </c>
      <c r="AH83" s="3">
        <f t="shared" si="2"/>
        <v>0</v>
      </c>
      <c r="AI83" s="3">
        <f t="shared" si="2"/>
        <v>0</v>
      </c>
      <c r="AJ83" s="3">
        <f t="shared" si="2"/>
        <v>0</v>
      </c>
      <c r="AK83" s="72">
        <f>SUM(AK53:AK81)-AK53</f>
        <v>2326712.7780200001</v>
      </c>
      <c r="AL83" s="324">
        <f>+D83-AK83</f>
        <v>505961.00650000013</v>
      </c>
      <c r="AM83" s="324">
        <f>+AJ84+AL48-AL83-1200000</f>
        <v>3439092.8523218632</v>
      </c>
      <c r="AO83" s="14" t="s">
        <v>1561</v>
      </c>
      <c r="AP83" s="15">
        <f>+AP80-AP82</f>
        <v>487584.00190336152</v>
      </c>
      <c r="AQ83" s="389" t="e">
        <f>+AQ80-AQ82</f>
        <v>#REF!</v>
      </c>
      <c r="AR83" s="185" t="e">
        <f ca="1">+AR80-AR82</f>
        <v>#REF!</v>
      </c>
      <c r="AT83" s="185" t="e">
        <f ca="1">+AT80-AT82</f>
        <v>#REF!</v>
      </c>
      <c r="AU83" s="385" t="e">
        <f>+AQ83/AQ78</f>
        <v>#REF!</v>
      </c>
    </row>
    <row r="84" spans="1:47" x14ac:dyDescent="0.35">
      <c r="A84" t="s">
        <v>8</v>
      </c>
      <c r="F84" s="3">
        <f t="shared" ref="F84:AJ84" si="3">+F48+F3-F83</f>
        <v>3463816.1868418627</v>
      </c>
      <c r="G84" s="3">
        <f t="shared" si="3"/>
        <v>3463816.1868418627</v>
      </c>
      <c r="H84" s="3">
        <f t="shared" si="3"/>
        <v>3354816.1868418627</v>
      </c>
      <c r="I84" s="3">
        <f t="shared" si="3"/>
        <v>3354816.1868418627</v>
      </c>
      <c r="J84" s="3">
        <f t="shared" si="3"/>
        <v>3319511.1868418627</v>
      </c>
      <c r="K84" s="3">
        <f t="shared" si="3"/>
        <v>3303511.1868418627</v>
      </c>
      <c r="L84" s="3">
        <f t="shared" si="3"/>
        <v>3303511.1868418627</v>
      </c>
      <c r="M84" s="3">
        <f t="shared" si="3"/>
        <v>3303511.1868418627</v>
      </c>
      <c r="N84" s="3">
        <f t="shared" si="3"/>
        <v>3303511.1868418627</v>
      </c>
      <c r="O84" s="3">
        <f t="shared" si="3"/>
        <v>3207921.8868418629</v>
      </c>
      <c r="P84" s="3">
        <f t="shared" si="3"/>
        <v>3640026.8868418629</v>
      </c>
      <c r="Q84" s="3">
        <f t="shared" si="3"/>
        <v>3615066.8868418629</v>
      </c>
      <c r="R84" s="3">
        <f t="shared" si="3"/>
        <v>3615066.8868418629</v>
      </c>
      <c r="S84" s="3">
        <f t="shared" si="3"/>
        <v>3851805.8868418634</v>
      </c>
      <c r="T84" s="3">
        <f t="shared" si="3"/>
        <v>3851805.8868418634</v>
      </c>
      <c r="U84" s="3">
        <f t="shared" si="3"/>
        <v>3851805.8868418634</v>
      </c>
      <c r="V84" s="3">
        <f t="shared" si="3"/>
        <v>3747988.8868418634</v>
      </c>
      <c r="W84" s="3">
        <f t="shared" si="3"/>
        <v>4142599.8868418634</v>
      </c>
      <c r="X84" s="3">
        <f t="shared" si="3"/>
        <v>4142599.8868418634</v>
      </c>
      <c r="Y84" s="3">
        <f t="shared" si="3"/>
        <v>4324847.3368418636</v>
      </c>
      <c r="Z84" s="3">
        <f t="shared" si="3"/>
        <v>4807027.3368418636</v>
      </c>
      <c r="AA84" s="3">
        <f t="shared" si="3"/>
        <v>4807027.3368418636</v>
      </c>
      <c r="AB84" s="3">
        <f t="shared" si="3"/>
        <v>4807027.3368418636</v>
      </c>
      <c r="AC84" s="3">
        <f t="shared" si="3"/>
        <v>4807027.3368418636</v>
      </c>
      <c r="AD84" s="3">
        <f t="shared" si="3"/>
        <v>4807027.3368418636</v>
      </c>
      <c r="AE84" s="3">
        <f t="shared" si="3"/>
        <v>4807027.3368418636</v>
      </c>
      <c r="AF84" s="3">
        <f t="shared" si="3"/>
        <v>3650180.8588218633</v>
      </c>
      <c r="AG84" s="3">
        <f t="shared" si="3"/>
        <v>4026732.8588218633</v>
      </c>
      <c r="AH84" s="3">
        <f t="shared" si="3"/>
        <v>4026732.8588218633</v>
      </c>
      <c r="AI84" s="3">
        <f t="shared" si="3"/>
        <v>4026732.8588218633</v>
      </c>
      <c r="AJ84" s="3">
        <f t="shared" si="3"/>
        <v>4026732.8588218633</v>
      </c>
      <c r="AK84" s="3" t="s">
        <v>13</v>
      </c>
      <c r="AM84" s="22" t="s">
        <v>13</v>
      </c>
      <c r="AO84" s="14" t="s">
        <v>1563</v>
      </c>
      <c r="AP84" s="15">
        <f>+SUMIF(AL55:AL75,"GF",D55:D75)</f>
        <v>13905</v>
      </c>
      <c r="AQ84" s="342">
        <v>0</v>
      </c>
      <c r="AR84" s="93">
        <f>+AQ84+'Jun-23'!AR73</f>
        <v>0</v>
      </c>
      <c r="AT84" s="93">
        <f>+AR84+'Dic-22'!AR128</f>
        <v>0</v>
      </c>
    </row>
    <row r="85" spans="1:47" x14ac:dyDescent="0.35">
      <c r="F85" s="3"/>
      <c r="G85" s="3"/>
      <c r="H85" s="3"/>
      <c r="I85" s="3" t="s">
        <v>13</v>
      </c>
      <c r="J85" s="3"/>
      <c r="K85" s="3" t="s">
        <v>13</v>
      </c>
      <c r="L85" s="3"/>
      <c r="M85" s="3"/>
      <c r="N85" s="3"/>
      <c r="O85" s="3"/>
      <c r="P85" s="3" t="s">
        <v>13</v>
      </c>
      <c r="Q85" s="3"/>
      <c r="R85" s="3"/>
      <c r="S85" s="3"/>
      <c r="T85" s="3" t="s">
        <v>13</v>
      </c>
      <c r="U85" s="3"/>
      <c r="V85" s="3"/>
      <c r="W85" s="3"/>
      <c r="Y85" s="3" t="s">
        <v>13</v>
      </c>
      <c r="Z85" s="3" t="s">
        <v>13</v>
      </c>
      <c r="AA85" s="3" t="s">
        <v>13</v>
      </c>
      <c r="AB85" s="3" t="s">
        <v>13</v>
      </c>
      <c r="AO85" s="14" t="s">
        <v>82</v>
      </c>
      <c r="AP85" s="15">
        <v>0</v>
      </c>
      <c r="AQ85" s="342">
        <f>+SUMIF(AL55:AL76,"AF",D55:D76)/1.19</f>
        <v>0</v>
      </c>
      <c r="AR85" s="93" t="e">
        <f>+AQ85+'Jun-23'!AR74</f>
        <v>#REF!</v>
      </c>
      <c r="AT85" s="93" t="e">
        <f>+AR85+'Dic-22'!AR129</f>
        <v>#REF!</v>
      </c>
    </row>
    <row r="86" spans="1:47" ht="15" thickBot="1" x14ac:dyDescent="0.4">
      <c r="F86" s="3" t="s">
        <v>13</v>
      </c>
      <c r="G86" s="3" t="s">
        <v>13</v>
      </c>
      <c r="H86" s="3" t="s">
        <v>13</v>
      </c>
      <c r="I86" s="3"/>
      <c r="J86" s="3"/>
      <c r="K86" s="3"/>
      <c r="L86" s="3"/>
      <c r="M86" s="3"/>
      <c r="N86" s="3"/>
      <c r="O86" s="3"/>
      <c r="P86" s="3" t="s">
        <v>13</v>
      </c>
      <c r="Q86" s="3" t="s">
        <v>13</v>
      </c>
      <c r="R86" s="3" t="s">
        <v>13</v>
      </c>
      <c r="S86" s="3"/>
      <c r="T86" s="3"/>
      <c r="U86" s="3" t="s">
        <v>13</v>
      </c>
      <c r="V86" s="3"/>
      <c r="W86" s="3"/>
      <c r="AB86" s="3" t="s">
        <v>13</v>
      </c>
      <c r="AG86" s="3" t="s">
        <v>13</v>
      </c>
      <c r="AJ86" s="3" t="s">
        <v>13</v>
      </c>
      <c r="AO86" s="16"/>
      <c r="AP86" s="19">
        <f>+AP83-AP84-AP85</f>
        <v>473679.00190336152</v>
      </c>
      <c r="AQ86" s="350" t="e">
        <f>+AQ83-AQ84-AQ85</f>
        <v>#REF!</v>
      </c>
      <c r="AR86" s="258" t="e">
        <f ca="1">+AR83-AR84-AR85</f>
        <v>#REF!</v>
      </c>
      <c r="AT86" s="381" t="e">
        <f ca="1">+AT83-AT84-AT85</f>
        <v>#REF!</v>
      </c>
    </row>
    <row r="87" spans="1:47" x14ac:dyDescent="0.35">
      <c r="E87" s="6" t="s">
        <v>13</v>
      </c>
      <c r="F87" s="3"/>
      <c r="G87" s="3" t="s">
        <v>13</v>
      </c>
      <c r="H87" s="3" t="s">
        <v>13</v>
      </c>
      <c r="I87" s="3"/>
      <c r="J87" s="3"/>
      <c r="K87" s="3"/>
      <c r="L87" s="3"/>
      <c r="M87" s="3"/>
      <c r="N87" s="3"/>
      <c r="O87" s="3"/>
      <c r="W87" s="3"/>
      <c r="AB87" s="3" t="s">
        <v>13</v>
      </c>
      <c r="AG87" s="3" t="s">
        <v>13</v>
      </c>
      <c r="AJ87" s="3" t="s">
        <v>13</v>
      </c>
      <c r="AO87" t="s">
        <v>1961</v>
      </c>
      <c r="AP87" s="26">
        <f ca="1">+AP$86+'Jun-23'!AP76</f>
        <v>7226049.2887737537</v>
      </c>
      <c r="AQ87" s="3" t="e">
        <f ca="1">+AQ$86+'Jun-23'!AQ76</f>
        <v>#REF!</v>
      </c>
    </row>
    <row r="88" spans="1:47" x14ac:dyDescent="0.35">
      <c r="F88" s="3"/>
      <c r="G88" s="3" t="s">
        <v>13</v>
      </c>
      <c r="H88" s="3"/>
      <c r="I88" s="3"/>
      <c r="J88" s="3"/>
      <c r="K88" s="3"/>
      <c r="L88" s="3"/>
      <c r="M88" s="3"/>
      <c r="N88" s="3"/>
      <c r="O88" s="3"/>
      <c r="W88" s="3" t="s">
        <v>13</v>
      </c>
      <c r="AB88" s="3" t="s">
        <v>13</v>
      </c>
      <c r="AG88" s="3" t="s">
        <v>13</v>
      </c>
      <c r="AJ88" s="3" t="s">
        <v>13</v>
      </c>
      <c r="AO88" t="s">
        <v>1960</v>
      </c>
      <c r="AP88" s="26">
        <f ca="1">+AP$86+'Jun-23'!AP77</f>
        <v>8822187.1911514606</v>
      </c>
      <c r="AQ88" s="3" t="e">
        <f ca="1">+AQ$86+'Jun-23'!AQ77</f>
        <v>#REF!</v>
      </c>
    </row>
    <row r="89" spans="1:47" x14ac:dyDescent="0.35">
      <c r="A89" t="s">
        <v>13</v>
      </c>
      <c r="F89" s="3" t="s">
        <v>13</v>
      </c>
      <c r="G89" s="3" t="s">
        <v>13</v>
      </c>
      <c r="H89" s="3"/>
      <c r="I89" s="3"/>
      <c r="J89" s="3"/>
      <c r="K89" s="3"/>
      <c r="L89" s="3"/>
      <c r="M89" s="3">
        <v>538500</v>
      </c>
      <c r="N89" s="3"/>
      <c r="O89" s="3"/>
      <c r="W89" s="3"/>
      <c r="AB89" s="3" t="s">
        <v>13</v>
      </c>
      <c r="AG89" s="3" t="s">
        <v>13</v>
      </c>
      <c r="AJ89" s="3" t="s">
        <v>13</v>
      </c>
    </row>
    <row r="90" spans="1:47" x14ac:dyDescent="0.35">
      <c r="B90" t="s">
        <v>13</v>
      </c>
      <c r="F90" s="3" t="s">
        <v>13</v>
      </c>
      <c r="G90" s="3" t="s">
        <v>13</v>
      </c>
      <c r="H90" s="3"/>
      <c r="I90" s="3"/>
      <c r="J90" s="3"/>
      <c r="K90" s="3"/>
      <c r="L90" s="3" t="s">
        <v>13</v>
      </c>
      <c r="M90" s="3">
        <v>682100</v>
      </c>
      <c r="N90" s="3"/>
      <c r="O90" s="3"/>
      <c r="W90" s="3"/>
      <c r="AB90" s="3" t="s">
        <v>13</v>
      </c>
      <c r="AG90" s="3" t="s">
        <v>13</v>
      </c>
      <c r="AJ90" s="3" t="s">
        <v>13</v>
      </c>
      <c r="AL90"/>
      <c r="AM90"/>
    </row>
    <row r="91" spans="1:47" x14ac:dyDescent="0.35">
      <c r="F91" s="3"/>
      <c r="G91" s="3" t="s">
        <v>13</v>
      </c>
      <c r="H91" s="3"/>
      <c r="I91" s="3"/>
      <c r="J91" s="3"/>
      <c r="K91" s="3"/>
      <c r="L91" s="3"/>
      <c r="M91" s="3">
        <f>SUM(M89:M90)</f>
        <v>1220600</v>
      </c>
      <c r="AG91" s="3" t="s">
        <v>13</v>
      </c>
      <c r="AJ91" s="3" t="s">
        <v>13</v>
      </c>
      <c r="AL91"/>
      <c r="AM91"/>
    </row>
    <row r="92" spans="1:47" x14ac:dyDescent="0.35">
      <c r="F92" s="3"/>
      <c r="G92" s="3" t="s">
        <v>13</v>
      </c>
      <c r="H92" s="3"/>
      <c r="I92" s="3"/>
      <c r="J92" s="3"/>
      <c r="K92" s="3"/>
      <c r="L92" s="3"/>
      <c r="AB92" t="s">
        <v>13</v>
      </c>
      <c r="AG92" s="3" t="s">
        <v>13</v>
      </c>
      <c r="AJ92" s="3" t="s">
        <v>13</v>
      </c>
      <c r="AL92"/>
      <c r="AM92"/>
    </row>
    <row r="93" spans="1:47" x14ac:dyDescent="0.35">
      <c r="F93" s="3"/>
      <c r="G93" s="3" t="s">
        <v>13</v>
      </c>
      <c r="H93" s="3"/>
      <c r="I93" s="3"/>
      <c r="J93" s="3"/>
      <c r="K93" s="3"/>
      <c r="L93" s="3"/>
      <c r="AG93" s="3" t="s">
        <v>13</v>
      </c>
      <c r="AJ93" s="3" t="s">
        <v>13</v>
      </c>
      <c r="AL93"/>
      <c r="AM93"/>
    </row>
    <row r="94" spans="1:47" x14ac:dyDescent="0.35">
      <c r="F94" s="3"/>
      <c r="G94" s="3" t="s">
        <v>13</v>
      </c>
      <c r="H94" s="3"/>
      <c r="I94" s="3"/>
      <c r="J94" s="3"/>
      <c r="K94" s="3"/>
      <c r="L94" s="3"/>
      <c r="AG94" s="3" t="s">
        <v>13</v>
      </c>
      <c r="AJ94" s="3" t="s">
        <v>13</v>
      </c>
      <c r="AL94"/>
      <c r="AM94"/>
    </row>
    <row r="95" spans="1:47" x14ac:dyDescent="0.35">
      <c r="F95" s="3"/>
      <c r="G95" s="3" t="s">
        <v>13</v>
      </c>
      <c r="H95" s="3"/>
      <c r="I95" s="3"/>
      <c r="J95" s="3"/>
      <c r="K95" s="3"/>
      <c r="L95" s="3"/>
      <c r="AG95" s="3" t="s">
        <v>13</v>
      </c>
      <c r="AJ95" s="3" t="s">
        <v>13</v>
      </c>
      <c r="AL95"/>
      <c r="AM95"/>
    </row>
    <row r="96" spans="1:47" x14ac:dyDescent="0.35">
      <c r="B96" t="s">
        <v>13</v>
      </c>
      <c r="F96" s="3"/>
      <c r="G96" s="3" t="s">
        <v>13</v>
      </c>
      <c r="H96" s="3"/>
      <c r="I96" s="3"/>
      <c r="J96" s="3"/>
      <c r="K96" s="3"/>
      <c r="L96" s="3"/>
      <c r="AG96" s="3" t="s">
        <v>13</v>
      </c>
      <c r="AJ96" s="3" t="s">
        <v>13</v>
      </c>
      <c r="AL96"/>
      <c r="AM96"/>
    </row>
    <row r="97" spans="2:39" x14ac:dyDescent="0.35">
      <c r="B97" t="s">
        <v>13</v>
      </c>
      <c r="F97" s="3"/>
      <c r="G97" s="3" t="s">
        <v>13</v>
      </c>
      <c r="H97" s="3"/>
      <c r="I97" s="3"/>
      <c r="J97" s="3"/>
      <c r="K97" s="3"/>
      <c r="L97" s="3"/>
      <c r="AG97" s="3" t="s">
        <v>13</v>
      </c>
      <c r="AJ97" s="3" t="s">
        <v>13</v>
      </c>
      <c r="AL97"/>
      <c r="AM97"/>
    </row>
    <row r="98" spans="2:39" x14ac:dyDescent="0.35">
      <c r="B98" t="s">
        <v>13</v>
      </c>
      <c r="F98" s="3"/>
      <c r="G98" s="3" t="s">
        <v>13</v>
      </c>
      <c r="H98" s="3"/>
      <c r="I98" s="3"/>
      <c r="J98" s="3"/>
      <c r="K98" s="3"/>
      <c r="L98" s="3"/>
      <c r="AG98" s="3" t="s">
        <v>13</v>
      </c>
      <c r="AJ98" s="3" t="s">
        <v>13</v>
      </c>
      <c r="AL98"/>
      <c r="AM98"/>
    </row>
    <row r="99" spans="2:39" x14ac:dyDescent="0.35">
      <c r="B99" t="s">
        <v>13</v>
      </c>
      <c r="F99" s="3"/>
      <c r="G99" s="3" t="s">
        <v>13</v>
      </c>
      <c r="H99" s="3"/>
      <c r="I99" s="3"/>
      <c r="J99" s="3"/>
      <c r="K99" s="3"/>
      <c r="L99" s="3"/>
      <c r="AG99" s="3" t="s">
        <v>13</v>
      </c>
      <c r="AJ99" s="3" t="s">
        <v>13</v>
      </c>
      <c r="AL99"/>
      <c r="AM99"/>
    </row>
    <row r="100" spans="2:39" x14ac:dyDescent="0.35">
      <c r="B100" t="s">
        <v>13</v>
      </c>
      <c r="F100" s="3"/>
      <c r="G100" s="3" t="s">
        <v>13</v>
      </c>
      <c r="H100" s="3"/>
      <c r="I100" s="3"/>
      <c r="J100" s="3"/>
      <c r="K100" s="3"/>
      <c r="L100" s="3"/>
      <c r="AG100" s="3" t="s">
        <v>13</v>
      </c>
      <c r="AJ100" s="3" t="s">
        <v>13</v>
      </c>
      <c r="AL100"/>
      <c r="AM100"/>
    </row>
    <row r="101" spans="2:39" x14ac:dyDescent="0.35">
      <c r="B101" t="s">
        <v>13</v>
      </c>
      <c r="F101" s="3"/>
      <c r="G101" s="3" t="s">
        <v>13</v>
      </c>
      <c r="H101" s="3"/>
      <c r="I101" s="3"/>
      <c r="J101" s="3"/>
      <c r="K101" s="3"/>
      <c r="L101" s="3"/>
      <c r="AG101" s="3" t="s">
        <v>13</v>
      </c>
      <c r="AJ101" s="3" t="s">
        <v>13</v>
      </c>
      <c r="AL101"/>
      <c r="AM101"/>
    </row>
    <row r="102" spans="2:39" x14ac:dyDescent="0.35">
      <c r="B102" t="s">
        <v>13</v>
      </c>
      <c r="F102" s="3"/>
      <c r="G102" s="3" t="s">
        <v>13</v>
      </c>
      <c r="H102" s="3"/>
      <c r="I102" s="3"/>
      <c r="J102" s="3"/>
      <c r="K102" s="3"/>
      <c r="L102" s="3"/>
      <c r="AG102" s="3" t="s">
        <v>13</v>
      </c>
      <c r="AJ102" s="3" t="s">
        <v>13</v>
      </c>
      <c r="AL102"/>
      <c r="AM102"/>
    </row>
    <row r="103" spans="2:39" x14ac:dyDescent="0.35">
      <c r="B103" t="s">
        <v>13</v>
      </c>
      <c r="F103" s="3"/>
      <c r="G103" s="3" t="s">
        <v>13</v>
      </c>
      <c r="H103" s="3"/>
      <c r="I103" s="3"/>
      <c r="J103" s="3"/>
      <c r="K103" s="3"/>
      <c r="L103" s="3"/>
      <c r="AG103" s="3" t="s">
        <v>13</v>
      </c>
      <c r="AJ103" s="3" t="s">
        <v>13</v>
      </c>
      <c r="AL103"/>
      <c r="AM103"/>
    </row>
    <row r="104" spans="2:39" x14ac:dyDescent="0.35">
      <c r="B104" t="s">
        <v>13</v>
      </c>
      <c r="F104" s="3"/>
      <c r="G104" s="3" t="s">
        <v>13</v>
      </c>
      <c r="H104" s="3"/>
      <c r="I104" s="3"/>
      <c r="J104" s="3"/>
      <c r="K104" s="3"/>
      <c r="L104" s="3"/>
      <c r="AL104"/>
      <c r="AM104"/>
    </row>
    <row r="105" spans="2:39" x14ac:dyDescent="0.35">
      <c r="B105" t="s">
        <v>13</v>
      </c>
      <c r="F105" s="3"/>
      <c r="G105" s="3" t="s">
        <v>13</v>
      </c>
      <c r="H105" s="3"/>
      <c r="I105" s="3"/>
      <c r="J105" s="3"/>
      <c r="K105" s="3"/>
      <c r="L105" s="3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  <row r="119" spans="2:39" x14ac:dyDescent="0.35">
      <c r="B119" t="s">
        <v>13</v>
      </c>
      <c r="E119"/>
      <c r="AL119"/>
      <c r="AM119"/>
    </row>
    <row r="120" spans="2:39" x14ac:dyDescent="0.35">
      <c r="B120" t="s">
        <v>13</v>
      </c>
      <c r="E120"/>
      <c r="AL120"/>
      <c r="AM120"/>
    </row>
    <row r="121" spans="2:39" x14ac:dyDescent="0.35">
      <c r="B121" t="s">
        <v>13</v>
      </c>
      <c r="E121"/>
      <c r="AL121"/>
      <c r="AM121"/>
    </row>
    <row r="122" spans="2:39" x14ac:dyDescent="0.35">
      <c r="B122" t="s">
        <v>13</v>
      </c>
      <c r="E122"/>
      <c r="AL122"/>
      <c r="AM122"/>
    </row>
    <row r="123" spans="2:39" x14ac:dyDescent="0.35">
      <c r="B123" t="s">
        <v>13</v>
      </c>
      <c r="E123"/>
      <c r="AL123"/>
      <c r="AM123"/>
    </row>
    <row r="124" spans="2:39" x14ac:dyDescent="0.35">
      <c r="B124" t="s">
        <v>13</v>
      </c>
      <c r="E124"/>
      <c r="AL124"/>
      <c r="AM124"/>
    </row>
    <row r="125" spans="2:39" x14ac:dyDescent="0.35">
      <c r="B125" t="s">
        <v>13</v>
      </c>
      <c r="E125"/>
      <c r="AL125"/>
      <c r="AM125"/>
    </row>
    <row r="126" spans="2:39" x14ac:dyDescent="0.35">
      <c r="B126" t="s">
        <v>13</v>
      </c>
      <c r="E126"/>
      <c r="AL126"/>
      <c r="AM126"/>
    </row>
    <row r="127" spans="2:39" x14ac:dyDescent="0.35">
      <c r="B127" t="s">
        <v>13</v>
      </c>
      <c r="E127"/>
      <c r="AL127"/>
      <c r="AM127"/>
    </row>
    <row r="128" spans="2:39" x14ac:dyDescent="0.35">
      <c r="B128" t="s">
        <v>13</v>
      </c>
      <c r="E128"/>
      <c r="AL128"/>
      <c r="AM128"/>
    </row>
    <row r="129" spans="2:39" x14ac:dyDescent="0.35">
      <c r="B129" t="s">
        <v>13</v>
      </c>
      <c r="E129"/>
      <c r="AL129"/>
      <c r="AM129"/>
    </row>
    <row r="130" spans="2:39" x14ac:dyDescent="0.35">
      <c r="B130" t="s">
        <v>13</v>
      </c>
      <c r="E130"/>
      <c r="AL130"/>
      <c r="AM130"/>
    </row>
    <row r="131" spans="2:39" x14ac:dyDescent="0.35">
      <c r="B131" t="s">
        <v>13</v>
      </c>
      <c r="E131"/>
      <c r="AL131"/>
      <c r="AM131"/>
    </row>
    <row r="132" spans="2:39" x14ac:dyDescent="0.35">
      <c r="B132" t="s">
        <v>13</v>
      </c>
      <c r="E132"/>
      <c r="AL132"/>
      <c r="AM132"/>
    </row>
    <row r="133" spans="2:39" x14ac:dyDescent="0.35">
      <c r="B133" t="s">
        <v>13</v>
      </c>
      <c r="E133"/>
      <c r="AL133"/>
      <c r="AM133"/>
    </row>
    <row r="134" spans="2:39" x14ac:dyDescent="0.35">
      <c r="B134" t="s">
        <v>13</v>
      </c>
      <c r="E134"/>
      <c r="AL134"/>
      <c r="AM134"/>
    </row>
    <row r="135" spans="2:39" x14ac:dyDescent="0.35">
      <c r="B135" t="s">
        <v>13</v>
      </c>
      <c r="E135"/>
      <c r="AL135"/>
      <c r="AM135"/>
    </row>
    <row r="136" spans="2:39" x14ac:dyDescent="0.35">
      <c r="B136" t="s">
        <v>13</v>
      </c>
      <c r="E136"/>
      <c r="AL136"/>
      <c r="AM136"/>
    </row>
    <row r="137" spans="2:39" x14ac:dyDescent="0.35">
      <c r="B137" t="s">
        <v>13</v>
      </c>
      <c r="E137"/>
      <c r="AL137"/>
      <c r="AM137"/>
    </row>
    <row r="138" spans="2:39" x14ac:dyDescent="0.35">
      <c r="B138" t="s">
        <v>13</v>
      </c>
      <c r="E138"/>
      <c r="AL138"/>
      <c r="AM138"/>
    </row>
  </sheetData>
  <sortState xmlns:xlrd2="http://schemas.microsoft.com/office/spreadsheetml/2017/richdata2" ref="A55:AQ71">
    <sortCondition ref="C55:C71"/>
  </sortState>
  <phoneticPr fontId="20" type="noConversion"/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52DB-6D55-4785-81C2-8C976CB0C03D}">
  <dimension ref="A1:AV140"/>
  <sheetViews>
    <sheetView zoomScale="73" zoomScaleNormal="73" workbookViewId="0">
      <pane xSplit="5" ySplit="3" topLeftCell="AJ51" activePane="bottomRight" state="frozen"/>
      <selection pane="topRight" activeCell="F1" sqref="F1"/>
      <selection pane="bottomLeft" activeCell="A4" sqref="A4"/>
      <selection pane="bottomRight" activeCell="A70" sqref="A70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  <col min="42" max="42" width="11.08984375" customWidth="1"/>
    <col min="43" max="43" width="23.36328125" customWidth="1"/>
    <col min="44" max="44" width="13.6328125" customWidth="1"/>
    <col min="45" max="45" width="11.0898437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45139</v>
      </c>
      <c r="G2" s="1">
        <v>45140</v>
      </c>
      <c r="H2" s="1">
        <v>45141</v>
      </c>
      <c r="I2" s="1">
        <v>45142</v>
      </c>
      <c r="J2" s="1">
        <v>45143</v>
      </c>
      <c r="K2" s="1">
        <v>45144</v>
      </c>
      <c r="L2" s="1">
        <v>45145</v>
      </c>
      <c r="M2" s="1">
        <v>45146</v>
      </c>
      <c r="N2" s="1">
        <v>45147</v>
      </c>
      <c r="O2" s="1">
        <v>45148</v>
      </c>
      <c r="P2" s="1">
        <v>45149</v>
      </c>
      <c r="Q2" s="1">
        <v>45150</v>
      </c>
      <c r="R2" s="1">
        <v>45151</v>
      </c>
      <c r="S2" s="1">
        <v>45152</v>
      </c>
      <c r="T2" s="1">
        <v>45153</v>
      </c>
      <c r="U2" s="1">
        <v>45154</v>
      </c>
      <c r="V2" s="1">
        <v>45155</v>
      </c>
      <c r="W2" s="1">
        <v>45156</v>
      </c>
      <c r="X2" s="1">
        <v>45157</v>
      </c>
      <c r="Y2" s="1">
        <v>45158</v>
      </c>
      <c r="Z2" s="1">
        <v>45159</v>
      </c>
      <c r="AA2" s="1">
        <v>45160</v>
      </c>
      <c r="AB2" s="1">
        <v>45161</v>
      </c>
      <c r="AC2" s="1">
        <v>45162</v>
      </c>
      <c r="AD2" s="1">
        <v>45163</v>
      </c>
      <c r="AE2" s="1">
        <v>45164</v>
      </c>
      <c r="AF2" s="1">
        <v>45165</v>
      </c>
      <c r="AG2" s="1">
        <v>45166</v>
      </c>
      <c r="AH2" s="1">
        <v>45167</v>
      </c>
      <c r="AI2" s="1">
        <v>45168</v>
      </c>
      <c r="AJ2" s="1">
        <v>45169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+'Jul-23'!AJ84</f>
        <v>4026732.8588218633</v>
      </c>
      <c r="G3" s="3">
        <f t="shared" ref="G3:AJ3" si="0">+F86</f>
        <v>3454914.8588218633</v>
      </c>
      <c r="H3" s="3">
        <f t="shared" si="0"/>
        <v>3276633.5254885298</v>
      </c>
      <c r="I3" s="3">
        <f t="shared" si="0"/>
        <v>3276633.5254885298</v>
      </c>
      <c r="J3" s="3">
        <f t="shared" si="0"/>
        <v>3276633.5254885298</v>
      </c>
      <c r="K3" s="3">
        <f t="shared" si="0"/>
        <v>3521477.5254885298</v>
      </c>
      <c r="L3" s="3">
        <f t="shared" si="0"/>
        <v>3483557.5254885298</v>
      </c>
      <c r="M3" s="3">
        <f t="shared" si="0"/>
        <v>3469652.5254885298</v>
      </c>
      <c r="N3" s="3">
        <f t="shared" si="0"/>
        <v>3441006.5254885298</v>
      </c>
      <c r="O3" s="3">
        <f t="shared" si="0"/>
        <v>3441006.5254885298</v>
      </c>
      <c r="P3" s="3">
        <f t="shared" si="0"/>
        <v>3441006.5254885298</v>
      </c>
      <c r="Q3" s="3">
        <f t="shared" si="0"/>
        <v>3441006.5254885298</v>
      </c>
      <c r="R3" s="3">
        <f t="shared" si="0"/>
        <v>3441006.5254885298</v>
      </c>
      <c r="S3" s="3">
        <f t="shared" si="0"/>
        <v>3441006.5254885298</v>
      </c>
      <c r="T3" s="3">
        <f t="shared" si="0"/>
        <v>3441006.5254885298</v>
      </c>
      <c r="U3" s="3">
        <f t="shared" si="0"/>
        <v>3397006.5254885298</v>
      </c>
      <c r="V3" s="3">
        <f t="shared" si="0"/>
        <v>3382726.5254885298</v>
      </c>
      <c r="W3" s="3">
        <f t="shared" si="0"/>
        <v>3382726.5254885298</v>
      </c>
      <c r="X3" s="3">
        <f t="shared" si="0"/>
        <v>3367276.5254885298</v>
      </c>
      <c r="Y3" s="3">
        <f t="shared" si="0"/>
        <v>3367276.5254885298</v>
      </c>
      <c r="Z3" s="3">
        <f t="shared" si="0"/>
        <v>3367276.5254885298</v>
      </c>
      <c r="AA3" s="3">
        <f t="shared" si="0"/>
        <v>3248611.5254885298</v>
      </c>
      <c r="AB3" s="3">
        <f t="shared" si="0"/>
        <v>3955165.5254885298</v>
      </c>
      <c r="AC3" s="3">
        <f t="shared" si="0"/>
        <v>3938165.5254885298</v>
      </c>
      <c r="AD3" s="3">
        <f t="shared" si="0"/>
        <v>3938165.5254885298</v>
      </c>
      <c r="AE3" s="3">
        <f t="shared" si="0"/>
        <v>3938165.5254885298</v>
      </c>
      <c r="AF3" s="3">
        <f t="shared" si="0"/>
        <v>3938165.5254885298</v>
      </c>
      <c r="AG3" s="3">
        <f t="shared" si="0"/>
        <v>3938165.5254885298</v>
      </c>
      <c r="AH3" s="3">
        <f t="shared" si="0"/>
        <v>3938165.5254885298</v>
      </c>
      <c r="AI3" s="3">
        <f t="shared" si="0"/>
        <v>4465820.5254885294</v>
      </c>
      <c r="AJ3" s="3">
        <f t="shared" si="0"/>
        <v>4465820.5254885294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2117</v>
      </c>
      <c r="B6" s="66" t="s">
        <v>2118</v>
      </c>
      <c r="C6" s="38">
        <v>45121</v>
      </c>
      <c r="D6" s="39">
        <v>132522</v>
      </c>
      <c r="E6" s="40" t="s">
        <v>1345</v>
      </c>
      <c r="F6" s="3"/>
      <c r="G6" s="3"/>
      <c r="H6" s="3"/>
      <c r="I6" s="3"/>
      <c r="J6" s="3">
        <v>132522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132522</v>
      </c>
      <c r="AL6" s="22"/>
    </row>
    <row r="7" spans="1:39" x14ac:dyDescent="0.35">
      <c r="A7" s="41" t="s">
        <v>2139</v>
      </c>
      <c r="B7" t="s">
        <v>2140</v>
      </c>
      <c r="C7" s="5">
        <v>45131</v>
      </c>
      <c r="D7" s="3">
        <v>87189</v>
      </c>
      <c r="E7" s="42" t="s">
        <v>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>
        <v>87189</v>
      </c>
      <c r="AB7" s="3"/>
      <c r="AC7" s="3"/>
      <c r="AD7" s="3"/>
      <c r="AE7" s="3"/>
      <c r="AF7" s="3"/>
      <c r="AG7" s="3"/>
      <c r="AH7" s="3"/>
      <c r="AI7" s="3"/>
      <c r="AK7" s="3">
        <f>SUM($F7:AJ7)</f>
        <v>87189</v>
      </c>
      <c r="AL7" s="22"/>
    </row>
    <row r="8" spans="1:39" x14ac:dyDescent="0.35">
      <c r="A8" s="41" t="s">
        <v>2145</v>
      </c>
      <c r="B8" t="s">
        <v>2141</v>
      </c>
      <c r="C8" s="5">
        <v>45133</v>
      </c>
      <c r="D8" s="3">
        <v>45855</v>
      </c>
      <c r="E8" s="42" t="s">
        <v>782</v>
      </c>
      <c r="F8" s="3"/>
      <c r="G8" s="3"/>
      <c r="H8" s="3"/>
      <c r="I8" s="3"/>
      <c r="J8" s="3"/>
      <c r="K8" s="3" t="s">
        <v>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>
        <v>45855</v>
      </c>
      <c r="AB8" s="3"/>
      <c r="AC8" s="3"/>
      <c r="AD8" s="3"/>
      <c r="AE8" s="3"/>
      <c r="AF8" s="3"/>
      <c r="AG8" s="3"/>
      <c r="AH8" s="3"/>
      <c r="AI8" s="3"/>
      <c r="AK8" s="3">
        <f>SUM($F8:AJ8)</f>
        <v>45855</v>
      </c>
      <c r="AL8" s="22"/>
    </row>
    <row r="9" spans="1:39" x14ac:dyDescent="0.35">
      <c r="A9" s="41" t="s">
        <v>2146</v>
      </c>
      <c r="B9" t="s">
        <v>2142</v>
      </c>
      <c r="C9" s="5">
        <v>45133</v>
      </c>
      <c r="D9" s="3">
        <v>87189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>
        <v>87189</v>
      </c>
      <c r="AB9" s="3"/>
      <c r="AC9" s="3"/>
      <c r="AD9" s="3"/>
      <c r="AE9" s="3"/>
      <c r="AF9" s="3"/>
      <c r="AG9" s="3"/>
      <c r="AH9" s="3"/>
      <c r="AI9" s="3"/>
      <c r="AK9" s="3">
        <f>SUM($F9:AJ9)</f>
        <v>87189</v>
      </c>
      <c r="AL9" s="22"/>
    </row>
    <row r="10" spans="1:39" x14ac:dyDescent="0.35">
      <c r="A10" s="41" t="s">
        <v>2147</v>
      </c>
      <c r="B10" t="s">
        <v>2143</v>
      </c>
      <c r="C10" s="5">
        <v>45134</v>
      </c>
      <c r="D10" s="3">
        <v>45855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>
        <v>45855</v>
      </c>
      <c r="AB10" s="3"/>
      <c r="AC10" s="3"/>
      <c r="AD10" s="3"/>
      <c r="AE10" s="3"/>
      <c r="AF10" s="3"/>
      <c r="AG10" s="3"/>
      <c r="AH10" s="3"/>
      <c r="AI10" s="3"/>
      <c r="AK10" s="3">
        <f>SUM($F10:AJ10)</f>
        <v>45855</v>
      </c>
      <c r="AL10" s="22"/>
    </row>
    <row r="11" spans="1:39" x14ac:dyDescent="0.35">
      <c r="A11" s="41" t="s">
        <v>2148</v>
      </c>
      <c r="B11" t="s">
        <v>2144</v>
      </c>
      <c r="C11" s="5">
        <v>45134</v>
      </c>
      <c r="D11" s="3">
        <v>87189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>
        <v>87189</v>
      </c>
      <c r="AB11" s="3"/>
      <c r="AC11" s="3"/>
      <c r="AD11" s="3"/>
      <c r="AE11" s="3"/>
      <c r="AF11" s="3"/>
      <c r="AG11" s="3"/>
      <c r="AH11" s="3"/>
      <c r="AI11" s="3"/>
      <c r="AK11" s="3">
        <f>SUM($F11:AJ11)</f>
        <v>87189</v>
      </c>
      <c r="AL11" s="22"/>
    </row>
    <row r="12" spans="1:39" ht="15" thickBot="1" x14ac:dyDescent="0.4">
      <c r="A12" s="41" t="s">
        <v>2151</v>
      </c>
      <c r="B12" t="s">
        <v>2150</v>
      </c>
      <c r="C12" s="5">
        <v>45134</v>
      </c>
      <c r="D12" s="3">
        <v>132522</v>
      </c>
      <c r="E12" s="42" t="s">
        <v>1345</v>
      </c>
      <c r="F12" s="3"/>
      <c r="G12" s="3"/>
      <c r="H12" s="3"/>
      <c r="I12" s="3"/>
      <c r="J12" s="3">
        <v>132522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132522</v>
      </c>
      <c r="AL12" s="22"/>
    </row>
    <row r="13" spans="1:39" x14ac:dyDescent="0.35">
      <c r="A13" s="36" t="s">
        <v>2162</v>
      </c>
      <c r="B13" s="66" t="s">
        <v>2161</v>
      </c>
      <c r="C13" s="38">
        <v>45139</v>
      </c>
      <c r="D13" s="39">
        <v>87189</v>
      </c>
      <c r="E13" s="40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>
        <v>87189</v>
      </c>
      <c r="AB13" s="3"/>
      <c r="AC13" s="3"/>
      <c r="AD13" s="3"/>
      <c r="AE13" s="3"/>
      <c r="AF13" s="3"/>
      <c r="AG13" s="3"/>
      <c r="AH13" s="3"/>
      <c r="AI13" s="3"/>
      <c r="AK13" s="3">
        <f>SUM($F13:AJ13)</f>
        <v>87189</v>
      </c>
      <c r="AL13" s="22"/>
    </row>
    <row r="14" spans="1:39" x14ac:dyDescent="0.35">
      <c r="A14" s="41" t="s">
        <v>2169</v>
      </c>
      <c r="B14" t="s">
        <v>2164</v>
      </c>
      <c r="C14" s="5">
        <v>45142</v>
      </c>
      <c r="D14" s="3">
        <v>87189</v>
      </c>
      <c r="E14" s="42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>
        <v>87189</v>
      </c>
      <c r="AB14" s="3"/>
      <c r="AC14" s="3"/>
      <c r="AD14" s="3"/>
      <c r="AE14" s="3"/>
      <c r="AF14" s="3"/>
      <c r="AG14" s="3"/>
      <c r="AH14" s="3"/>
      <c r="AI14" s="3"/>
      <c r="AK14" s="3">
        <f>SUM($F14:AJ14)</f>
        <v>87189</v>
      </c>
      <c r="AL14" s="22"/>
    </row>
    <row r="15" spans="1:39" x14ac:dyDescent="0.35">
      <c r="A15" s="41" t="s">
        <v>2170</v>
      </c>
      <c r="B15" t="s">
        <v>2165</v>
      </c>
      <c r="C15" s="5">
        <v>45142</v>
      </c>
      <c r="D15" s="3">
        <v>45855</v>
      </c>
      <c r="E15" s="42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>
        <v>45855</v>
      </c>
      <c r="AB15" s="3"/>
      <c r="AC15" s="3"/>
      <c r="AD15" s="3"/>
      <c r="AE15" s="3"/>
      <c r="AF15" s="3"/>
      <c r="AG15" s="3"/>
      <c r="AH15" s="3"/>
      <c r="AI15" s="3"/>
      <c r="AK15" s="3">
        <f>SUM($F15:AJ15)</f>
        <v>45855</v>
      </c>
      <c r="AL15" s="22"/>
    </row>
    <row r="16" spans="1:39" x14ac:dyDescent="0.35">
      <c r="A16" s="41" t="s">
        <v>2171</v>
      </c>
      <c r="B16" t="s">
        <v>2166</v>
      </c>
      <c r="C16" s="5">
        <v>45142</v>
      </c>
      <c r="D16" s="3">
        <v>45855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>
        <v>45855</v>
      </c>
      <c r="AB16" s="3"/>
      <c r="AC16" s="3"/>
      <c r="AD16" s="3"/>
      <c r="AE16" s="3"/>
      <c r="AF16" s="3"/>
      <c r="AG16" s="3"/>
      <c r="AH16" s="3"/>
      <c r="AI16" s="3"/>
      <c r="AK16" s="3">
        <f>SUM($F16:AJ16)</f>
        <v>45855</v>
      </c>
      <c r="AL16" s="22"/>
    </row>
    <row r="17" spans="1:38" x14ac:dyDescent="0.35">
      <c r="A17" s="41" t="s">
        <v>2172</v>
      </c>
      <c r="B17" t="s">
        <v>2167</v>
      </c>
      <c r="C17" s="5">
        <v>45142</v>
      </c>
      <c r="D17" s="3">
        <v>91189</v>
      </c>
      <c r="E17" s="42" t="s">
        <v>1345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>
        <v>91189</v>
      </c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91189</v>
      </c>
      <c r="AL17" s="22"/>
    </row>
    <row r="18" spans="1:38" x14ac:dyDescent="0.35">
      <c r="A18" s="41" t="s">
        <v>2173</v>
      </c>
      <c r="B18" t="s">
        <v>2168</v>
      </c>
      <c r="C18" s="5">
        <v>45143</v>
      </c>
      <c r="D18" s="3">
        <v>87189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>
        <v>87189</v>
      </c>
      <c r="AB18" s="3"/>
      <c r="AC18" s="3"/>
      <c r="AD18" s="3"/>
      <c r="AE18" s="3"/>
      <c r="AF18" s="3"/>
      <c r="AG18" s="3"/>
      <c r="AH18" s="3"/>
      <c r="AI18" s="3"/>
      <c r="AK18" s="3">
        <f>SUM($F18:AJ18)</f>
        <v>87189</v>
      </c>
      <c r="AL18" s="22"/>
    </row>
    <row r="19" spans="1:38" x14ac:dyDescent="0.35">
      <c r="A19" s="41" t="s">
        <v>2187</v>
      </c>
      <c r="B19" t="s">
        <v>2188</v>
      </c>
      <c r="C19" s="5">
        <v>45150</v>
      </c>
      <c r="D19" s="3">
        <v>45855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>
        <v>45855</v>
      </c>
      <c r="AI19" s="3"/>
      <c r="AK19" s="3">
        <f>SUM($F19:AJ19)</f>
        <v>45855</v>
      </c>
      <c r="AL19" s="22"/>
    </row>
    <row r="20" spans="1:38" x14ac:dyDescent="0.35">
      <c r="A20" s="41" t="s">
        <v>2195</v>
      </c>
      <c r="B20" t="s">
        <v>2193</v>
      </c>
      <c r="C20" s="5">
        <v>45152</v>
      </c>
      <c r="D20" s="3">
        <v>87189</v>
      </c>
      <c r="E20" s="42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>
        <v>87189</v>
      </c>
      <c r="AI20" s="3"/>
      <c r="AK20" s="3">
        <f>SUM($F20:AJ20)</f>
        <v>87189</v>
      </c>
      <c r="AL20" s="22"/>
    </row>
    <row r="21" spans="1:38" x14ac:dyDescent="0.35">
      <c r="A21" s="41" t="s">
        <v>2196</v>
      </c>
      <c r="B21" t="s">
        <v>2194</v>
      </c>
      <c r="C21" s="5">
        <v>45152</v>
      </c>
      <c r="D21" s="3">
        <v>87189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>
        <v>87189</v>
      </c>
      <c r="AI21" s="3"/>
      <c r="AK21" s="3">
        <f>SUM($F21:AJ21)</f>
        <v>87189</v>
      </c>
      <c r="AL21" s="22"/>
    </row>
    <row r="22" spans="1:38" x14ac:dyDescent="0.35">
      <c r="A22" s="41" t="s">
        <v>2198</v>
      </c>
      <c r="B22" t="s">
        <v>2197</v>
      </c>
      <c r="C22" s="5">
        <v>45152</v>
      </c>
      <c r="D22" s="3">
        <v>87189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>
        <v>87189</v>
      </c>
      <c r="AI22" s="3"/>
      <c r="AK22" s="3">
        <f>SUM($F22:AJ22)</f>
        <v>87189</v>
      </c>
      <c r="AL22" s="22"/>
    </row>
    <row r="23" spans="1:38" x14ac:dyDescent="0.35">
      <c r="A23" s="41" t="s">
        <v>2208</v>
      </c>
      <c r="B23" t="s">
        <v>2206</v>
      </c>
      <c r="C23" s="5">
        <v>45156</v>
      </c>
      <c r="D23" s="3">
        <v>45855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>
        <v>45855</v>
      </c>
      <c r="AI23" s="3"/>
      <c r="AK23" s="3">
        <f>SUM($F23:AJ23)</f>
        <v>45855</v>
      </c>
      <c r="AL23" s="22"/>
    </row>
    <row r="24" spans="1:38" x14ac:dyDescent="0.35">
      <c r="A24" s="41" t="s">
        <v>2209</v>
      </c>
      <c r="B24" t="s">
        <v>2207</v>
      </c>
      <c r="C24" s="5">
        <v>45156</v>
      </c>
      <c r="D24" s="3">
        <v>87189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>
        <v>87189</v>
      </c>
      <c r="AI24" s="3"/>
      <c r="AK24" s="3">
        <f>SUM($F24:AJ24)</f>
        <v>87189</v>
      </c>
      <c r="AL24" s="22"/>
    </row>
    <row r="25" spans="1:38" x14ac:dyDescent="0.35">
      <c r="A25" s="41" t="s">
        <v>2211</v>
      </c>
      <c r="B25" t="s">
        <v>2210</v>
      </c>
      <c r="C25" s="5">
        <v>45156</v>
      </c>
      <c r="D25" s="3">
        <v>87189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>
        <v>87189</v>
      </c>
      <c r="AI25" s="3"/>
      <c r="AK25" s="3">
        <f>SUM($F25:AJ25)</f>
        <v>87189</v>
      </c>
      <c r="AL25" s="22"/>
    </row>
    <row r="26" spans="1:38" x14ac:dyDescent="0.35">
      <c r="A26" s="41" t="s">
        <v>2213</v>
      </c>
      <c r="B26" t="s">
        <v>2212</v>
      </c>
      <c r="C26" s="5">
        <v>45157</v>
      </c>
      <c r="D26" s="3">
        <v>91189</v>
      </c>
      <c r="E26" s="42" t="s">
        <v>1345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 t="s">
        <v>13</v>
      </c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38" x14ac:dyDescent="0.35">
      <c r="A27" s="41" t="s">
        <v>2225</v>
      </c>
      <c r="B27" t="s">
        <v>2220</v>
      </c>
      <c r="C27" s="5">
        <v>45163</v>
      </c>
      <c r="D27" s="3">
        <v>45855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38" x14ac:dyDescent="0.35">
      <c r="A28" s="41" t="s">
        <v>2226</v>
      </c>
      <c r="B28" t="s">
        <v>2221</v>
      </c>
      <c r="C28" s="5">
        <v>45169</v>
      </c>
      <c r="D28" s="3">
        <v>87189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</row>
    <row r="29" spans="1:38" x14ac:dyDescent="0.35">
      <c r="A29" s="41" t="s">
        <v>2227</v>
      </c>
      <c r="B29" t="s">
        <v>2222</v>
      </c>
      <c r="C29" s="5">
        <v>45169</v>
      </c>
      <c r="D29" s="3">
        <v>87189</v>
      </c>
      <c r="E29" s="42" t="s">
        <v>782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0</v>
      </c>
      <c r="AL29" s="22"/>
    </row>
    <row r="30" spans="1:38" x14ac:dyDescent="0.35">
      <c r="A30" s="41" t="s">
        <v>2228</v>
      </c>
      <c r="B30" t="s">
        <v>2223</v>
      </c>
      <c r="C30" s="5">
        <v>45170</v>
      </c>
      <c r="D30" s="3">
        <v>87189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>
        <f>SUM($F30:AJ30)</f>
        <v>0</v>
      </c>
      <c r="AL30" s="22"/>
    </row>
    <row r="31" spans="1:38" x14ac:dyDescent="0.35">
      <c r="A31" s="41" t="s">
        <v>2229</v>
      </c>
      <c r="B31" t="s">
        <v>2224</v>
      </c>
      <c r="C31" s="5">
        <v>45170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">
        <f>SUM($F31:AJ31)</f>
        <v>0</v>
      </c>
      <c r="AL31" s="22"/>
    </row>
    <row r="32" spans="1:38" x14ac:dyDescent="0.35">
      <c r="A32" s="41"/>
      <c r="C32" s="5"/>
      <c r="D32" s="3"/>
      <c r="E32" s="4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0</v>
      </c>
      <c r="AL32" s="22"/>
    </row>
    <row r="33" spans="1:41" x14ac:dyDescent="0.35">
      <c r="A33" s="41"/>
      <c r="C33" s="5"/>
      <c r="D33" s="3"/>
      <c r="E33" s="4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>
        <f>SUM($F33:AJ33)</f>
        <v>0</v>
      </c>
      <c r="AL33" s="22"/>
    </row>
    <row r="34" spans="1:41" ht="15" thickBot="1" x14ac:dyDescent="0.4">
      <c r="A34" s="43"/>
      <c r="B34" s="76"/>
      <c r="C34" s="45"/>
      <c r="D34" s="46"/>
      <c r="E34" s="4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>
        <f>SUM($F34:AJ34)</f>
        <v>0</v>
      </c>
      <c r="AL34" s="22"/>
    </row>
    <row r="35" spans="1:41" x14ac:dyDescent="0.35">
      <c r="D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24" t="s">
        <v>1962</v>
      </c>
      <c r="AL35" s="22" t="s">
        <v>1352</v>
      </c>
    </row>
    <row r="36" spans="1:41" x14ac:dyDescent="0.35">
      <c r="A36" s="2" t="s">
        <v>1676</v>
      </c>
      <c r="D36" s="3">
        <f>SUM(D13:D34)</f>
        <v>1457921</v>
      </c>
      <c r="F36" s="3">
        <f t="shared" ref="F36:AJ36" si="1">SUM(F5:F34)</f>
        <v>0</v>
      </c>
      <c r="G36" s="3">
        <f t="shared" si="1"/>
        <v>0</v>
      </c>
      <c r="H36" s="3">
        <f t="shared" si="1"/>
        <v>0</v>
      </c>
      <c r="I36" s="3">
        <f t="shared" si="1"/>
        <v>0</v>
      </c>
      <c r="J36" s="3">
        <f t="shared" si="1"/>
        <v>265044</v>
      </c>
      <c r="K36" s="3">
        <f t="shared" si="1"/>
        <v>0</v>
      </c>
      <c r="L36" s="3">
        <f t="shared" si="1"/>
        <v>0</v>
      </c>
      <c r="M36" s="3">
        <f t="shared" si="1"/>
        <v>0</v>
      </c>
      <c r="N36" s="3">
        <f t="shared" si="1"/>
        <v>0</v>
      </c>
      <c r="O36" s="3">
        <f t="shared" si="1"/>
        <v>0</v>
      </c>
      <c r="P36" s="3">
        <f t="shared" si="1"/>
        <v>0</v>
      </c>
      <c r="Q36" s="3">
        <f t="shared" si="1"/>
        <v>0</v>
      </c>
      <c r="R36" s="3">
        <f t="shared" si="1"/>
        <v>0</v>
      </c>
      <c r="S36" s="3">
        <f t="shared" si="1"/>
        <v>0</v>
      </c>
      <c r="T36" s="3">
        <f t="shared" si="1"/>
        <v>0</v>
      </c>
      <c r="U36" s="3">
        <f t="shared" si="1"/>
        <v>0</v>
      </c>
      <c r="V36" s="3">
        <f t="shared" si="1"/>
        <v>0</v>
      </c>
      <c r="W36" s="3">
        <f t="shared" si="1"/>
        <v>0</v>
      </c>
      <c r="X36" s="3">
        <f t="shared" si="1"/>
        <v>0</v>
      </c>
      <c r="Y36" s="3">
        <f t="shared" si="1"/>
        <v>0</v>
      </c>
      <c r="Z36" s="3">
        <f t="shared" si="1"/>
        <v>91189</v>
      </c>
      <c r="AA36" s="3">
        <f t="shared" si="1"/>
        <v>706554</v>
      </c>
      <c r="AB36" s="3">
        <f t="shared" si="1"/>
        <v>0</v>
      </c>
      <c r="AC36" s="3">
        <f t="shared" si="1"/>
        <v>0</v>
      </c>
      <c r="AD36" s="3">
        <f t="shared" si="1"/>
        <v>0</v>
      </c>
      <c r="AE36" s="3">
        <f t="shared" si="1"/>
        <v>0</v>
      </c>
      <c r="AF36" s="3">
        <f t="shared" si="1"/>
        <v>0</v>
      </c>
      <c r="AG36" s="3">
        <f t="shared" si="1"/>
        <v>0</v>
      </c>
      <c r="AH36" s="3">
        <f t="shared" si="1"/>
        <v>527655</v>
      </c>
      <c r="AI36" s="3">
        <f t="shared" si="1"/>
        <v>0</v>
      </c>
      <c r="AJ36" s="3">
        <f t="shared" si="1"/>
        <v>0</v>
      </c>
      <c r="AK36" s="72">
        <f>SUM(AK6:AK34)</f>
        <v>1590442</v>
      </c>
      <c r="AL36" s="22">
        <f>+D37-AK36</f>
        <v>485800</v>
      </c>
      <c r="AM36" s="6" t="s">
        <v>13</v>
      </c>
    </row>
    <row r="37" spans="1:41" x14ac:dyDescent="0.35">
      <c r="A37" s="2" t="s">
        <v>1780</v>
      </c>
      <c r="B37" t="s">
        <v>13</v>
      </c>
      <c r="C37" s="3" t="s">
        <v>13</v>
      </c>
      <c r="D37" s="3">
        <f>SUM(D6:D34)</f>
        <v>2076242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41" x14ac:dyDescent="0.35">
      <c r="A38" s="2"/>
      <c r="C38" s="3"/>
      <c r="D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41" x14ac:dyDescent="0.35">
      <c r="A39" s="2" t="s">
        <v>2</v>
      </c>
      <c r="C39" t="s">
        <v>13</v>
      </c>
      <c r="F39" s="3"/>
      <c r="G39" s="3"/>
      <c r="H39" s="3"/>
      <c r="I39" s="3"/>
      <c r="J39" s="3"/>
      <c r="K39" s="3"/>
      <c r="L39" s="3" t="s">
        <v>13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41" ht="15" thickBot="1" x14ac:dyDescent="0.4">
      <c r="A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41" x14ac:dyDescent="0.35">
      <c r="A41" s="358" t="s">
        <v>1008</v>
      </c>
      <c r="B41" s="37" t="s">
        <v>337</v>
      </c>
      <c r="C41" s="38"/>
      <c r="D41" s="39">
        <v>2400000</v>
      </c>
      <c r="E41" s="40"/>
      <c r="F41" s="3"/>
      <c r="G41" s="3"/>
      <c r="H41" s="3" t="s">
        <v>13</v>
      </c>
      <c r="I41" s="3" t="s">
        <v>13</v>
      </c>
      <c r="J41" s="3"/>
      <c r="K41" s="3"/>
      <c r="L41" s="3"/>
      <c r="M41" s="3"/>
      <c r="N41" s="3"/>
      <c r="O41" s="3"/>
      <c r="P41" s="3" t="s">
        <v>13</v>
      </c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K41" s="3">
        <f>SUM($F41:AJ41)</f>
        <v>0</v>
      </c>
    </row>
    <row r="42" spans="1:41" x14ac:dyDescent="0.35">
      <c r="A42" s="41" t="s">
        <v>2111</v>
      </c>
      <c r="B42" t="s">
        <v>337</v>
      </c>
      <c r="C42" s="5">
        <v>45146</v>
      </c>
      <c r="D42" s="3">
        <v>406237</v>
      </c>
      <c r="E42" s="42"/>
      <c r="F42" s="3">
        <v>406237</v>
      </c>
      <c r="G42" s="3"/>
      <c r="H42" s="3"/>
      <c r="I42" s="3"/>
      <c r="J42" s="3"/>
      <c r="K42" s="3"/>
      <c r="L42" s="3"/>
      <c r="M42" s="3" t="s">
        <v>13</v>
      </c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K42" s="3">
        <f>SUM($F42:AJ42)</f>
        <v>406237</v>
      </c>
    </row>
    <row r="43" spans="1:41" x14ac:dyDescent="0.35">
      <c r="A43" s="343" t="s">
        <v>1792</v>
      </c>
      <c r="B43" s="24"/>
      <c r="C43" s="5">
        <v>45083</v>
      </c>
      <c r="D43" s="3">
        <f>82*2*1290/9+(700+700+800+800+1500)*2+(303+615)*2+3245+2686</f>
        <v>40273.666666666672</v>
      </c>
      <c r="E43" s="42" t="s">
        <v>4</v>
      </c>
      <c r="F43" s="3"/>
      <c r="G43" s="3">
        <f>82*2*1290/9+(700+700+800+800+1500)*2+(303+615)*2+3245+2686</f>
        <v>40273.666666666672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K43" s="3">
        <f>SUM($F43:AJ43)</f>
        <v>40273.666666666672</v>
      </c>
    </row>
    <row r="44" spans="1:41" x14ac:dyDescent="0.35">
      <c r="A44" s="343" t="s">
        <v>2127</v>
      </c>
      <c r="B44" s="24"/>
      <c r="C44" s="5">
        <v>45110</v>
      </c>
      <c r="D44" s="3">
        <v>2690</v>
      </c>
      <c r="E44" s="344" t="s">
        <v>4</v>
      </c>
      <c r="F44" s="3"/>
      <c r="G44" s="3">
        <v>2690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2690</v>
      </c>
      <c r="AL44" s="6" t="s">
        <v>13</v>
      </c>
      <c r="AN44" s="26"/>
      <c r="AO44" s="3"/>
    </row>
    <row r="45" spans="1:41" x14ac:dyDescent="0.35">
      <c r="A45" s="343" t="s">
        <v>2126</v>
      </c>
      <c r="B45" s="24"/>
      <c r="C45" s="5">
        <v>45124</v>
      </c>
      <c r="D45" s="3">
        <v>5499</v>
      </c>
      <c r="E45" s="344" t="s">
        <v>4</v>
      </c>
      <c r="F45" s="3"/>
      <c r="G45" s="3">
        <v>5499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5499</v>
      </c>
      <c r="AL45" s="6" t="s">
        <v>13</v>
      </c>
      <c r="AN45" s="26"/>
      <c r="AO45" s="3"/>
    </row>
    <row r="46" spans="1:41" x14ac:dyDescent="0.35">
      <c r="A46" s="343" t="s">
        <v>2137</v>
      </c>
      <c r="B46" s="24" t="s">
        <v>2138</v>
      </c>
      <c r="C46" s="5">
        <v>45133</v>
      </c>
      <c r="D46" s="3">
        <v>74465</v>
      </c>
      <c r="E46" s="344" t="s">
        <v>4</v>
      </c>
      <c r="F46" s="3"/>
      <c r="G46" s="3">
        <v>74465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74465</v>
      </c>
      <c r="AL46" s="6" t="s">
        <v>13</v>
      </c>
      <c r="AN46" s="26"/>
      <c r="AO46" s="3"/>
    </row>
    <row r="47" spans="1:41" x14ac:dyDescent="0.35">
      <c r="A47" s="343" t="s">
        <v>2156</v>
      </c>
      <c r="B47" s="24" t="s">
        <v>2157</v>
      </c>
      <c r="C47" s="5">
        <v>45134</v>
      </c>
      <c r="D47" s="3">
        <v>1990</v>
      </c>
      <c r="E47" s="344" t="s">
        <v>2158</v>
      </c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f>SUM($F47:AJ47)</f>
        <v>0</v>
      </c>
      <c r="AN47" s="26"/>
      <c r="AO47" s="3"/>
    </row>
    <row r="48" spans="1:41" ht="15" thickBot="1" x14ac:dyDescent="0.4">
      <c r="A48" s="345" t="s">
        <v>2155</v>
      </c>
      <c r="B48" s="44" t="s">
        <v>2154</v>
      </c>
      <c r="C48" s="45">
        <v>45138</v>
      </c>
      <c r="D48" s="46">
        <v>15080</v>
      </c>
      <c r="E48" s="347" t="s">
        <v>4</v>
      </c>
      <c r="F48" s="3"/>
      <c r="G48" s="3">
        <v>15080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15080</v>
      </c>
      <c r="AN48" s="26"/>
      <c r="AO48" s="3"/>
    </row>
    <row r="49" spans="1:41" x14ac:dyDescent="0.35">
      <c r="A49" s="343" t="s">
        <v>2159</v>
      </c>
      <c r="B49" s="24" t="s">
        <v>1612</v>
      </c>
      <c r="C49" s="5">
        <v>45139</v>
      </c>
      <c r="D49" s="3">
        <f>280*400*1.19</f>
        <v>133280</v>
      </c>
      <c r="E49" s="344" t="s">
        <v>503</v>
      </c>
      <c r="F49" s="3">
        <f>280*400*1.19</f>
        <v>133280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133280</v>
      </c>
      <c r="AL49" s="6" t="s">
        <v>83</v>
      </c>
      <c r="AN49" s="26"/>
      <c r="AO49" s="3"/>
    </row>
    <row r="50" spans="1:41" x14ac:dyDescent="0.35">
      <c r="A50" s="343" t="s">
        <v>1792</v>
      </c>
      <c r="B50" s="24"/>
      <c r="C50" s="5">
        <v>45139</v>
      </c>
      <c r="D50" s="3">
        <f>82*2*1290/9+(700+700+800+800+1500)*2+(303+615)*2+3245+2686</f>
        <v>40273.666666666672</v>
      </c>
      <c r="E50" s="344" t="s">
        <v>4</v>
      </c>
      <c r="F50" s="3"/>
      <c r="G50" s="3">
        <f>82*2*1290/9+(700+700+800+800+1500)*2+(303+615)*2+3245+2686</f>
        <v>40273.666666666672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40273.666666666672</v>
      </c>
      <c r="AL50" s="6" t="s">
        <v>81</v>
      </c>
      <c r="AN50" s="26"/>
      <c r="AO50" s="3"/>
    </row>
    <row r="51" spans="1:41" x14ac:dyDescent="0.35">
      <c r="A51" s="343" t="s">
        <v>2160</v>
      </c>
      <c r="C51" s="5">
        <v>45139</v>
      </c>
      <c r="D51" s="3">
        <f>32301-1990</f>
        <v>30311</v>
      </c>
      <c r="E51" s="344" t="s">
        <v>503</v>
      </c>
      <c r="F51" s="3">
        <v>32301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32301</v>
      </c>
      <c r="AL51" s="6" t="s">
        <v>81</v>
      </c>
      <c r="AN51" s="26"/>
      <c r="AO51" s="3"/>
    </row>
    <row r="52" spans="1:41" x14ac:dyDescent="0.35">
      <c r="A52" s="343" t="s">
        <v>1161</v>
      </c>
      <c r="B52" s="24" t="s">
        <v>2174</v>
      </c>
      <c r="C52" s="5">
        <v>45143</v>
      </c>
      <c r="D52" s="3">
        <v>20200</v>
      </c>
      <c r="E52" s="344" t="s">
        <v>1704</v>
      </c>
      <c r="F52" s="3"/>
      <c r="H52" s="3"/>
      <c r="I52" s="3"/>
      <c r="J52" s="3">
        <v>20200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f>SUM($F52:AJ52)</f>
        <v>20200</v>
      </c>
      <c r="AL52" s="6" t="s">
        <v>83</v>
      </c>
      <c r="AN52" s="26"/>
      <c r="AO52" s="3"/>
    </row>
    <row r="53" spans="1:41" x14ac:dyDescent="0.35">
      <c r="A53" s="343" t="s">
        <v>2175</v>
      </c>
      <c r="C53" s="5">
        <v>45142</v>
      </c>
      <c r="D53" s="3">
        <f>73780-2380</f>
        <v>71400</v>
      </c>
      <c r="E53" s="344" t="s">
        <v>4</v>
      </c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f>SUM($F53:AJ53)</f>
        <v>0</v>
      </c>
      <c r="AL53" s="6" t="s">
        <v>81</v>
      </c>
      <c r="AN53" s="26"/>
      <c r="AO53" s="3"/>
    </row>
    <row r="54" spans="1:41" x14ac:dyDescent="0.35">
      <c r="A54" s="343" t="s">
        <v>2176</v>
      </c>
      <c r="C54" s="5">
        <v>45143</v>
      </c>
      <c r="D54" s="3">
        <v>6500</v>
      </c>
      <c r="E54" s="344" t="s">
        <v>4</v>
      </c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0</v>
      </c>
      <c r="AL54" s="6" t="s">
        <v>81</v>
      </c>
      <c r="AN54" s="26"/>
      <c r="AO54" s="3"/>
    </row>
    <row r="55" spans="1:41" x14ac:dyDescent="0.35">
      <c r="A55" s="343" t="s">
        <v>2177</v>
      </c>
      <c r="C55" s="5">
        <v>45142</v>
      </c>
      <c r="D55" s="3">
        <f>2.1*2*1250/9</f>
        <v>583.33333333333337</v>
      </c>
      <c r="E55" s="344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f>SUM($F55:AJ55)</f>
        <v>0</v>
      </c>
      <c r="AL55" s="6" t="s">
        <v>81</v>
      </c>
      <c r="AN55" s="26"/>
      <c r="AO55" s="3"/>
    </row>
    <row r="56" spans="1:41" x14ac:dyDescent="0.35">
      <c r="A56" s="343" t="s">
        <v>2178</v>
      </c>
      <c r="C56" s="5">
        <v>45142</v>
      </c>
      <c r="D56" s="3">
        <f>9.3*2*1250/9</f>
        <v>2583.3333333333335</v>
      </c>
      <c r="E56" s="344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f>SUM($F56:AJ56)</f>
        <v>0</v>
      </c>
      <c r="AL56" s="6" t="s">
        <v>81</v>
      </c>
      <c r="AN56" s="26"/>
      <c r="AO56" s="3"/>
    </row>
    <row r="57" spans="1:41" x14ac:dyDescent="0.35">
      <c r="A57" s="343" t="s">
        <v>2179</v>
      </c>
      <c r="C57" s="5">
        <v>45143</v>
      </c>
      <c r="D57" s="3">
        <f>8.8*2*1250/9</f>
        <v>2444.4444444444443</v>
      </c>
      <c r="E57" s="344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>
        <f>SUM($F57:AJ57)</f>
        <v>0</v>
      </c>
      <c r="AL57" s="6" t="s">
        <v>81</v>
      </c>
      <c r="AN57" s="26"/>
      <c r="AO57" s="3"/>
    </row>
    <row r="58" spans="1:41" x14ac:dyDescent="0.35">
      <c r="A58" s="343" t="s">
        <v>2180</v>
      </c>
      <c r="C58" s="5">
        <v>45142</v>
      </c>
      <c r="D58" s="3">
        <f>6.3*2*1250/9</f>
        <v>1750</v>
      </c>
      <c r="E58" s="344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f>SUM($F58:AJ58)</f>
        <v>0</v>
      </c>
      <c r="AL58" s="6" t="s">
        <v>81</v>
      </c>
      <c r="AN58" s="26"/>
      <c r="AO58" s="3"/>
    </row>
    <row r="59" spans="1:41" x14ac:dyDescent="0.35">
      <c r="A59" s="343" t="s">
        <v>2181</v>
      </c>
      <c r="C59" s="5">
        <v>45145</v>
      </c>
      <c r="D59" s="3">
        <v>13905</v>
      </c>
      <c r="E59" s="344"/>
      <c r="F59" s="3"/>
      <c r="H59" s="3"/>
      <c r="I59" s="3"/>
      <c r="J59" s="3"/>
      <c r="K59" s="3"/>
      <c r="L59" s="3">
        <v>13905</v>
      </c>
      <c r="M59" s="3"/>
      <c r="N59" s="3"/>
      <c r="O59" s="3"/>
      <c r="P59" s="3"/>
      <c r="Q59" s="3"/>
      <c r="R59" s="3"/>
      <c r="S59" s="3"/>
      <c r="T59" s="3"/>
      <c r="U59" s="3"/>
      <c r="V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f>SUM($F59:AJ59)</f>
        <v>13905</v>
      </c>
      <c r="AL59" s="6" t="s">
        <v>1557</v>
      </c>
      <c r="AN59" s="26"/>
      <c r="AO59" s="3"/>
    </row>
    <row r="60" spans="1:41" x14ac:dyDescent="0.35">
      <c r="A60" s="343" t="s">
        <v>2182</v>
      </c>
      <c r="C60" s="5">
        <v>45144</v>
      </c>
      <c r="D60" s="3">
        <v>18960</v>
      </c>
      <c r="E60" s="344"/>
      <c r="F60" s="3"/>
      <c r="H60" s="3"/>
      <c r="I60" s="3"/>
      <c r="J60" s="3"/>
      <c r="K60" s="3">
        <v>18960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f>SUM($F60:AJ60)</f>
        <v>18960</v>
      </c>
      <c r="AN60" s="26"/>
      <c r="AO60" s="3"/>
    </row>
    <row r="61" spans="1:41" x14ac:dyDescent="0.35">
      <c r="A61" s="343" t="s">
        <v>2183</v>
      </c>
      <c r="C61" s="5">
        <v>45144</v>
      </c>
      <c r="D61" s="3">
        <v>18960</v>
      </c>
      <c r="E61" s="344"/>
      <c r="F61" s="3"/>
      <c r="H61" s="3"/>
      <c r="I61" s="3"/>
      <c r="J61" s="3"/>
      <c r="K61" s="3">
        <v>18960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f>SUM($F61:AJ61)</f>
        <v>18960</v>
      </c>
      <c r="AN61" s="26"/>
      <c r="AO61" s="3"/>
    </row>
    <row r="62" spans="1:41" x14ac:dyDescent="0.35">
      <c r="A62" s="343" t="s">
        <v>2126</v>
      </c>
      <c r="C62" s="5">
        <v>45145</v>
      </c>
      <c r="D62" s="3">
        <v>5499</v>
      </c>
      <c r="E62" s="344" t="s">
        <v>4</v>
      </c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f>SUM($F62:AJ62)</f>
        <v>0</v>
      </c>
      <c r="AL62" s="6" t="s">
        <v>81</v>
      </c>
      <c r="AN62" s="26"/>
      <c r="AO62" s="3"/>
    </row>
    <row r="63" spans="1:41" x14ac:dyDescent="0.35">
      <c r="A63" s="343" t="s">
        <v>2185</v>
      </c>
      <c r="C63" s="5">
        <v>45146</v>
      </c>
      <c r="D63" s="3">
        <v>27456</v>
      </c>
      <c r="E63" s="344" t="s">
        <v>13</v>
      </c>
      <c r="F63" s="3"/>
      <c r="H63" s="3"/>
      <c r="I63" s="3"/>
      <c r="J63" s="3"/>
      <c r="K63" s="3"/>
      <c r="L63" s="3"/>
      <c r="M63" s="3">
        <v>27456</v>
      </c>
      <c r="N63" s="3"/>
      <c r="O63" s="3"/>
      <c r="P63" s="3"/>
      <c r="Q63" s="3"/>
      <c r="R63" s="3"/>
      <c r="S63" s="3"/>
      <c r="T63" s="3"/>
      <c r="U63" s="3"/>
      <c r="V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f>SUM($F63:AJ63)</f>
        <v>27456</v>
      </c>
      <c r="AL63" s="6" t="s">
        <v>81</v>
      </c>
      <c r="AN63" s="26"/>
      <c r="AO63" s="3"/>
    </row>
    <row r="64" spans="1:41" x14ac:dyDescent="0.35">
      <c r="A64" s="343" t="s">
        <v>2186</v>
      </c>
      <c r="C64" s="5">
        <v>45146</v>
      </c>
      <c r="D64" s="3">
        <v>63074</v>
      </c>
      <c r="E64" s="344" t="s">
        <v>4</v>
      </c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>
        <f>SUM($F64:AJ64)</f>
        <v>0</v>
      </c>
      <c r="AN64" s="26"/>
      <c r="AO64" s="3"/>
    </row>
    <row r="65" spans="1:47" x14ac:dyDescent="0.35">
      <c r="A65" s="343" t="s">
        <v>1161</v>
      </c>
      <c r="B65" t="s">
        <v>2191</v>
      </c>
      <c r="C65" s="5">
        <v>45146</v>
      </c>
      <c r="D65" s="3">
        <v>1190</v>
      </c>
      <c r="E65" s="344" t="s">
        <v>1704</v>
      </c>
      <c r="F65" s="3"/>
      <c r="H65" s="3"/>
      <c r="I65" s="3"/>
      <c r="J65" s="3"/>
      <c r="K65" s="3"/>
      <c r="L65" s="3"/>
      <c r="M65" s="3">
        <v>1190</v>
      </c>
      <c r="N65" s="3"/>
      <c r="O65" s="3"/>
      <c r="P65" s="3"/>
      <c r="Q65" s="3"/>
      <c r="R65" s="3"/>
      <c r="S65" s="3"/>
      <c r="T65" s="3"/>
      <c r="U65" s="3"/>
      <c r="V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>
        <f>SUM($F65:AJ65)</f>
        <v>1190</v>
      </c>
      <c r="AL65" s="6" t="s">
        <v>83</v>
      </c>
      <c r="AN65" s="26"/>
      <c r="AO65" s="3"/>
    </row>
    <row r="66" spans="1:47" x14ac:dyDescent="0.35">
      <c r="A66" s="343" t="s">
        <v>2190</v>
      </c>
      <c r="B66" t="s">
        <v>2189</v>
      </c>
      <c r="C66" s="5">
        <v>45148</v>
      </c>
      <c r="D66" s="3">
        <v>24900</v>
      </c>
      <c r="E66" s="344" t="s">
        <v>4</v>
      </c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f>SUM($F66:AJ66)</f>
        <v>0</v>
      </c>
      <c r="AL66" s="6" t="s">
        <v>81</v>
      </c>
      <c r="AN66" s="26"/>
      <c r="AO66" s="3"/>
    </row>
    <row r="67" spans="1:47" x14ac:dyDescent="0.35">
      <c r="A67" s="343" t="s">
        <v>1161</v>
      </c>
      <c r="B67" t="s">
        <v>2192</v>
      </c>
      <c r="C67" s="5">
        <v>45152</v>
      </c>
      <c r="D67" s="3">
        <v>24460</v>
      </c>
      <c r="E67" s="344" t="s">
        <v>4</v>
      </c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>
        <f>SUM($F67:AJ67)</f>
        <v>0</v>
      </c>
      <c r="AL67" s="6" t="s">
        <v>83</v>
      </c>
      <c r="AN67" s="26"/>
      <c r="AO67" s="3"/>
    </row>
    <row r="68" spans="1:47" x14ac:dyDescent="0.35">
      <c r="A68" s="343" t="s">
        <v>2199</v>
      </c>
      <c r="C68" s="5">
        <v>45153</v>
      </c>
      <c r="D68" s="3">
        <v>27000</v>
      </c>
      <c r="E68" s="344" t="s">
        <v>503</v>
      </c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27000</v>
      </c>
      <c r="U68" s="3"/>
      <c r="V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>
        <f>SUM($F68:AJ68)</f>
        <v>27000</v>
      </c>
      <c r="AL68" s="6" t="s">
        <v>81</v>
      </c>
      <c r="AN68" s="26"/>
      <c r="AO68" s="3"/>
    </row>
    <row r="69" spans="1:47" x14ac:dyDescent="0.35">
      <c r="A69" s="343" t="s">
        <v>2200</v>
      </c>
      <c r="C69" s="5">
        <v>45153</v>
      </c>
      <c r="D69" s="3">
        <v>17000</v>
      </c>
      <c r="E69" s="344" t="s">
        <v>503</v>
      </c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17000</v>
      </c>
      <c r="U69" s="3"/>
      <c r="V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>
        <f>SUM($F69:AJ69)</f>
        <v>17000</v>
      </c>
      <c r="AL69" s="6" t="s">
        <v>81</v>
      </c>
      <c r="AN69" s="26"/>
      <c r="AO69" s="3"/>
    </row>
    <row r="70" spans="1:47" x14ac:dyDescent="0.35">
      <c r="A70" s="343" t="s">
        <v>2201</v>
      </c>
      <c r="B70" t="s">
        <v>2202</v>
      </c>
      <c r="C70" s="5">
        <v>45154</v>
      </c>
      <c r="D70" s="3">
        <v>14280</v>
      </c>
      <c r="E70" s="344" t="s">
        <v>503</v>
      </c>
      <c r="F70" s="3" t="s">
        <v>13</v>
      </c>
      <c r="G70" t="s">
        <v>13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14280</v>
      </c>
      <c r="V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>
        <f>SUM($F70:AJ70)</f>
        <v>14280</v>
      </c>
      <c r="AL70" s="6" t="s">
        <v>81</v>
      </c>
      <c r="AN70" s="26"/>
      <c r="AO70" s="3"/>
    </row>
    <row r="71" spans="1:47" x14ac:dyDescent="0.35">
      <c r="A71" s="343" t="s">
        <v>2203</v>
      </c>
      <c r="B71" t="s">
        <v>2204</v>
      </c>
      <c r="C71" s="5">
        <v>45154</v>
      </c>
      <c r="D71" s="3">
        <f>130000*1.19</f>
        <v>154700</v>
      </c>
      <c r="E71" s="344" t="s">
        <v>2205</v>
      </c>
      <c r="F71" s="3"/>
      <c r="G71" t="s">
        <v>13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>
        <f>SUM($F71:AJ71)</f>
        <v>0</v>
      </c>
      <c r="AL71" s="6" t="s">
        <v>83</v>
      </c>
      <c r="AN71" s="26"/>
      <c r="AO71" s="3"/>
    </row>
    <row r="72" spans="1:47" x14ac:dyDescent="0.35">
      <c r="A72" s="343" t="s">
        <v>1161</v>
      </c>
      <c r="B72" t="s">
        <v>2174</v>
      </c>
      <c r="C72" s="5">
        <v>45156</v>
      </c>
      <c r="D72" s="3">
        <v>15450</v>
      </c>
      <c r="E72" s="344" t="s">
        <v>1704</v>
      </c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>
        <v>15450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>
        <f>SUM($F72:AJ72)</f>
        <v>15450</v>
      </c>
      <c r="AL72" s="6" t="s">
        <v>83</v>
      </c>
      <c r="AN72" s="26"/>
      <c r="AO72" s="3"/>
    </row>
    <row r="73" spans="1:47" x14ac:dyDescent="0.35">
      <c r="A73" s="343" t="s">
        <v>2214</v>
      </c>
      <c r="C73" s="5">
        <v>45159</v>
      </c>
      <c r="D73" s="3">
        <v>209854</v>
      </c>
      <c r="E73" s="344" t="s">
        <v>503</v>
      </c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Y73" s="3"/>
      <c r="Z73" s="3">
        <v>209854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>
        <f>SUM($F73:AJ73)</f>
        <v>209854</v>
      </c>
      <c r="AN73" s="26"/>
      <c r="AO73" s="3"/>
    </row>
    <row r="74" spans="1:47" x14ac:dyDescent="0.35">
      <c r="A74" s="343" t="s">
        <v>2215</v>
      </c>
      <c r="C74" s="5">
        <v>45161</v>
      </c>
      <c r="D74" s="3">
        <v>17000</v>
      </c>
      <c r="E74" s="344" t="s">
        <v>503</v>
      </c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Y74" s="3"/>
      <c r="Z74" s="3"/>
      <c r="AA74" s="3"/>
      <c r="AB74" s="3">
        <v>17000</v>
      </c>
      <c r="AC74" s="3"/>
      <c r="AD74" s="3"/>
      <c r="AE74" s="3"/>
      <c r="AF74" s="3"/>
      <c r="AG74" s="3"/>
      <c r="AH74" s="3"/>
      <c r="AI74" s="3"/>
      <c r="AJ74" s="3"/>
      <c r="AK74" s="3">
        <f>SUM($F74:AJ74)</f>
        <v>17000</v>
      </c>
      <c r="AL74" s="6" t="s">
        <v>81</v>
      </c>
      <c r="AN74" s="26"/>
      <c r="AO74" s="3"/>
    </row>
    <row r="75" spans="1:47" x14ac:dyDescent="0.35">
      <c r="A75" s="343" t="s">
        <v>1161</v>
      </c>
      <c r="B75" t="s">
        <v>2217</v>
      </c>
      <c r="C75" s="5">
        <v>45169</v>
      </c>
      <c r="D75" s="3">
        <v>22180</v>
      </c>
      <c r="E75" s="344" t="s">
        <v>1704</v>
      </c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>
        <v>22180</v>
      </c>
      <c r="AK75" s="3">
        <f>SUM($F75:AJ75)</f>
        <v>22180</v>
      </c>
      <c r="AL75" s="6" t="s">
        <v>83</v>
      </c>
      <c r="AN75" s="26"/>
      <c r="AO75" s="3"/>
    </row>
    <row r="76" spans="1:47" x14ac:dyDescent="0.35">
      <c r="A76" s="343"/>
      <c r="B76" s="24"/>
      <c r="C76" s="5" t="s">
        <v>13</v>
      </c>
      <c r="D76" s="3" t="s">
        <v>13</v>
      </c>
      <c r="E76" s="34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 t="s">
        <v>13</v>
      </c>
      <c r="X76" s="3" t="s">
        <v>13</v>
      </c>
      <c r="Y76" s="3" t="s">
        <v>13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>
        <f>SUM($F76:AJ76)</f>
        <v>0</v>
      </c>
      <c r="AN76" s="26" t="s">
        <v>13</v>
      </c>
      <c r="AO76" s="3"/>
    </row>
    <row r="77" spans="1:47" ht="15" thickBot="1" x14ac:dyDescent="0.4">
      <c r="A77" s="43" t="s">
        <v>2184</v>
      </c>
      <c r="B77" s="76" t="s">
        <v>337</v>
      </c>
      <c r="C77" s="45">
        <v>45169</v>
      </c>
      <c r="D77" s="46">
        <f>+AK36*0.17</f>
        <v>270375.14</v>
      </c>
      <c r="E77" s="47"/>
      <c r="F77" s="3"/>
      <c r="G77" s="3" t="s">
        <v>13</v>
      </c>
      <c r="H77" s="3" t="s">
        <v>13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>
        <f>SUM($F77:AJ77)</f>
        <v>0</v>
      </c>
      <c r="AL77" s="6" t="s">
        <v>1846</v>
      </c>
      <c r="AM77" s="6" t="s">
        <v>13</v>
      </c>
      <c r="AN77" s="26" t="s">
        <v>13</v>
      </c>
      <c r="AO77" s="3"/>
    </row>
    <row r="78" spans="1:47" ht="15" thickBot="1" x14ac:dyDescent="0.4">
      <c r="A78" s="4" t="s">
        <v>2153</v>
      </c>
      <c r="B78" s="372">
        <f>84.052*3/8</f>
        <v>31.519500000000001</v>
      </c>
      <c r="C78" s="67" t="s">
        <v>13</v>
      </c>
      <c r="D78" s="3">
        <f>+B78*C79</f>
        <v>1136541.47802</v>
      </c>
      <c r="E78" s="153"/>
      <c r="F78" s="3"/>
      <c r="G78" s="3"/>
      <c r="H78" s="3" t="s">
        <v>13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Y78" s="3"/>
      <c r="Z78" s="3"/>
      <c r="AA78" s="3"/>
      <c r="AB78" s="3"/>
      <c r="AC78" s="3"/>
      <c r="AD78" s="3"/>
      <c r="AE78" s="3"/>
      <c r="AF78" s="3" t="s">
        <v>13</v>
      </c>
      <c r="AG78" s="3" t="s">
        <v>13</v>
      </c>
      <c r="AH78" s="3" t="s">
        <v>13</v>
      </c>
      <c r="AI78" s="3"/>
      <c r="AJ78" s="3" t="s">
        <v>13</v>
      </c>
      <c r="AK78" s="3">
        <f>SUM($F78:AJ78)</f>
        <v>0</v>
      </c>
      <c r="AL78" s="22" t="s">
        <v>13</v>
      </c>
      <c r="AM78" s="6" t="s">
        <v>13</v>
      </c>
      <c r="AO78" s="26" t="s">
        <v>13</v>
      </c>
      <c r="AQ78" s="6" t="s">
        <v>1675</v>
      </c>
      <c r="AR78" s="110" t="s">
        <v>2257</v>
      </c>
      <c r="AT78" s="110" t="s">
        <v>2258</v>
      </c>
    </row>
    <row r="79" spans="1:47" ht="15" thickBot="1" x14ac:dyDescent="0.4">
      <c r="A79" s="4" t="s">
        <v>13</v>
      </c>
      <c r="B79" s="67" t="s">
        <v>933</v>
      </c>
      <c r="C79" s="236">
        <v>36058.36</v>
      </c>
      <c r="D79" s="3"/>
      <c r="E79" s="15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>
        <f>SUM($F79:AJ79)</f>
        <v>0</v>
      </c>
      <c r="AL79" s="22"/>
      <c r="AO79" s="392" t="s">
        <v>317</v>
      </c>
      <c r="AP79" s="329" t="e">
        <f>+[2]Hoja1!$L$282+[3]Hoja1!#REF!</f>
        <v>#REF!</v>
      </c>
      <c r="AQ79" s="329" t="e">
        <f>+[3]Hoja1!#REF!</f>
        <v>#REF!</v>
      </c>
      <c r="AR79" s="382" t="e">
        <f>+AQ79+'Jul-23'!AR77</f>
        <v>#REF!</v>
      </c>
      <c r="AT79" s="380" t="e">
        <f>+AR79+'Dic-22'!AR121</f>
        <v>#REF!</v>
      </c>
      <c r="AU79" t="s">
        <v>13</v>
      </c>
    </row>
    <row r="80" spans="1:47" x14ac:dyDescent="0.35">
      <c r="A80" s="371" t="s">
        <v>255</v>
      </c>
      <c r="B80" s="372">
        <f>84.052-31.52-31.52</f>
        <v>21.012000000000011</v>
      </c>
      <c r="C80" s="67"/>
      <c r="D80" s="3"/>
      <c r="E80" s="15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f>SUM($F80:AJ80)</f>
        <v>0</v>
      </c>
      <c r="AL80" s="22"/>
      <c r="AO80" s="219" t="s">
        <v>91</v>
      </c>
      <c r="AP80" s="390">
        <f>+D36/1.19</f>
        <v>1225143.6974789917</v>
      </c>
      <c r="AQ80" s="348">
        <f>+(SUMIF(E13:E31,"MD",D13:D31)+SUMIF(E13:E31,"MK",D13:D31))/1.19</f>
        <v>153258.82352941178</v>
      </c>
      <c r="AR80" s="257">
        <f>+AQ80+'Jul-23'!AR78</f>
        <v>7102158.6029898291</v>
      </c>
      <c r="AT80" s="92">
        <f>+AR80+'Dic-22'!AR122</f>
        <v>11284730.569376383</v>
      </c>
    </row>
    <row r="81" spans="1:48" x14ac:dyDescent="0.35">
      <c r="A81" s="3" t="s">
        <v>13</v>
      </c>
      <c r="B81" s="24"/>
      <c r="D81" s="3"/>
      <c r="E81" s="15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>
        <f>SUM($F81:AJ81)</f>
        <v>0</v>
      </c>
      <c r="AL81" s="22"/>
      <c r="AO81" s="220" t="s">
        <v>1558</v>
      </c>
      <c r="AP81" s="183">
        <f>+SUMIF(AL49:AL77,"CD",D49:D77)/1.19</f>
        <v>312151.26050420169</v>
      </c>
      <c r="AQ81" s="342" t="e">
        <f>+AP81*AQ$79/AP$79</f>
        <v>#REF!</v>
      </c>
      <c r="AR81" s="185" t="e">
        <f ca="1">+AQ81+'Jul-23'!AR79</f>
        <v>#REF!</v>
      </c>
      <c r="AT81" s="93" t="e">
        <f ca="1">+AR81+'Dic-22'!AR123</f>
        <v>#REF!</v>
      </c>
    </row>
    <row r="82" spans="1:48" x14ac:dyDescent="0.35">
      <c r="A82" s="4"/>
      <c r="B82" s="24"/>
      <c r="C82" s="67"/>
      <c r="D82" s="3"/>
      <c r="E82" s="153"/>
      <c r="F82" s="3" t="s">
        <v>13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>
        <f>SUM($F82:AJ82)</f>
        <v>0</v>
      </c>
      <c r="AL82" s="22"/>
      <c r="AO82" s="220" t="s">
        <v>1559</v>
      </c>
      <c r="AP82" s="183">
        <f>+AP80-AP81</f>
        <v>912992.43697478995</v>
      </c>
      <c r="AQ82" s="342" t="e">
        <f>+AQ80-AQ81</f>
        <v>#REF!</v>
      </c>
      <c r="AR82" s="185" t="e">
        <f ca="1">+AR80-AR81</f>
        <v>#REF!</v>
      </c>
      <c r="AT82" s="185" t="e">
        <f ca="1">+AT80-AT81</f>
        <v>#REF!</v>
      </c>
    </row>
    <row r="83" spans="1:48" x14ac:dyDescent="0.35">
      <c r="A83" s="4"/>
      <c r="B83" s="24"/>
      <c r="C83" s="67"/>
      <c r="D83" s="3"/>
      <c r="E83" s="15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>
        <f>SUM($F83:AJ83)</f>
        <v>0</v>
      </c>
      <c r="AL83" s="22"/>
      <c r="AO83" s="220" t="s">
        <v>1560</v>
      </c>
      <c r="AP83" s="391">
        <f>+AP82/AP80</f>
        <v>0.74521253209193083</v>
      </c>
      <c r="AQ83" s="349" t="e">
        <f>+AQ82/AQ80</f>
        <v>#REF!</v>
      </c>
      <c r="AR83" s="356" t="e">
        <f ca="1">+AR82/AR80</f>
        <v>#REF!</v>
      </c>
      <c r="AT83" s="356" t="e">
        <f ca="1">+AT82/AT80</f>
        <v>#REF!</v>
      </c>
    </row>
    <row r="84" spans="1:48" x14ac:dyDescent="0.35">
      <c r="A84" s="4"/>
      <c r="B84" s="67"/>
      <c r="C84" s="236"/>
      <c r="E84" s="15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Y84" s="3"/>
      <c r="AJ84" s="3"/>
      <c r="AK84" s="3"/>
      <c r="AL84" s="22" t="s">
        <v>1388</v>
      </c>
      <c r="AM84" s="6" t="s">
        <v>1430</v>
      </c>
      <c r="AO84" s="220" t="s">
        <v>81</v>
      </c>
      <c r="AP84" s="183">
        <f>+SUMIF(AL49:AL77,"GAV",D49:D77)/1.19+SUMIF(AL49:AL77,"REM",D49:D77)</f>
        <v>513216.12972922507</v>
      </c>
      <c r="AQ84" s="342" t="e">
        <f>+AP84*AQ$79/AP$79+(600000+300000)*2/7</f>
        <v>#REF!</v>
      </c>
      <c r="AR84" s="185" t="e">
        <f>+AQ84+'Jul-23'!AR82</f>
        <v>#REF!</v>
      </c>
      <c r="AT84" s="93" t="e">
        <f>+AR84+'Dic-22'!AR126</f>
        <v>#REF!</v>
      </c>
    </row>
    <row r="85" spans="1:48" x14ac:dyDescent="0.35">
      <c r="A85" s="2" t="s">
        <v>9</v>
      </c>
      <c r="D85" s="72">
        <f>SUM(D41:D83)-D41</f>
        <v>2938345.0624644449</v>
      </c>
      <c r="F85" s="3">
        <f t="shared" ref="F85:AJ85" si="2">SUM(F41:F84)</f>
        <v>571818</v>
      </c>
      <c r="G85" s="3">
        <f t="shared" si="2"/>
        <v>178281.33333333337</v>
      </c>
      <c r="H85" s="3">
        <f t="shared" si="2"/>
        <v>0</v>
      </c>
      <c r="I85" s="3">
        <f t="shared" si="2"/>
        <v>0</v>
      </c>
      <c r="J85" s="3">
        <f t="shared" si="2"/>
        <v>20200</v>
      </c>
      <c r="K85" s="3">
        <f t="shared" si="2"/>
        <v>37920</v>
      </c>
      <c r="L85" s="3">
        <f t="shared" si="2"/>
        <v>13905</v>
      </c>
      <c r="M85" s="3">
        <f t="shared" si="2"/>
        <v>28646</v>
      </c>
      <c r="N85" s="3">
        <f t="shared" si="2"/>
        <v>0</v>
      </c>
      <c r="O85" s="3">
        <f t="shared" si="2"/>
        <v>0</v>
      </c>
      <c r="P85" s="3">
        <f t="shared" si="2"/>
        <v>0</v>
      </c>
      <c r="Q85" s="3">
        <f t="shared" si="2"/>
        <v>0</v>
      </c>
      <c r="R85" s="3">
        <f t="shared" si="2"/>
        <v>0</v>
      </c>
      <c r="S85" s="3">
        <f t="shared" si="2"/>
        <v>0</v>
      </c>
      <c r="T85" s="3">
        <f t="shared" si="2"/>
        <v>44000</v>
      </c>
      <c r="U85" s="3">
        <f t="shared" si="2"/>
        <v>14280</v>
      </c>
      <c r="V85" s="3">
        <f t="shared" si="2"/>
        <v>0</v>
      </c>
      <c r="W85" s="3">
        <f t="shared" si="2"/>
        <v>15450</v>
      </c>
      <c r="X85" s="3">
        <f t="shared" si="2"/>
        <v>0</v>
      </c>
      <c r="Y85" s="3">
        <f t="shared" si="2"/>
        <v>0</v>
      </c>
      <c r="Z85" s="3">
        <f t="shared" si="2"/>
        <v>209854</v>
      </c>
      <c r="AA85" s="3">
        <f t="shared" si="2"/>
        <v>0</v>
      </c>
      <c r="AB85" s="3">
        <f t="shared" si="2"/>
        <v>17000</v>
      </c>
      <c r="AC85" s="3">
        <f t="shared" si="2"/>
        <v>0</v>
      </c>
      <c r="AD85" s="3">
        <f t="shared" si="2"/>
        <v>0</v>
      </c>
      <c r="AE85" s="3">
        <f t="shared" si="2"/>
        <v>0</v>
      </c>
      <c r="AF85" s="3">
        <f t="shared" si="2"/>
        <v>0</v>
      </c>
      <c r="AG85" s="3">
        <f t="shared" si="2"/>
        <v>0</v>
      </c>
      <c r="AH85" s="3">
        <f t="shared" si="2"/>
        <v>0</v>
      </c>
      <c r="AI85" s="3">
        <f t="shared" si="2"/>
        <v>0</v>
      </c>
      <c r="AJ85" s="3">
        <f t="shared" si="2"/>
        <v>22180</v>
      </c>
      <c r="AK85" s="72">
        <f>SUM(AK41:AK83)-AK41</f>
        <v>1173534.3333333335</v>
      </c>
      <c r="AL85" s="324">
        <f>+D85-AK85</f>
        <v>1764810.7291311114</v>
      </c>
      <c r="AM85" s="324">
        <f>+AJ86+AL36-AL85-1200000</f>
        <v>1964629.7963574179</v>
      </c>
      <c r="AO85" s="220" t="s">
        <v>1561</v>
      </c>
      <c r="AP85" s="183">
        <f>+AP82-AP84</f>
        <v>399776.30724556488</v>
      </c>
      <c r="AQ85" s="389" t="e">
        <f>+AQ82-AQ84</f>
        <v>#REF!</v>
      </c>
      <c r="AR85" s="185" t="e">
        <f ca="1">+AR82-AR84</f>
        <v>#REF!</v>
      </c>
      <c r="AT85" s="384" t="e">
        <f ca="1">+AT82-AT84</f>
        <v>#REF!</v>
      </c>
      <c r="AU85" s="385" t="e">
        <f>+AQ85/AQ80</f>
        <v>#REF!</v>
      </c>
      <c r="AV85" s="398" t="e">
        <f ca="1">+AT85/AT80</f>
        <v>#REF!</v>
      </c>
    </row>
    <row r="86" spans="1:48" x14ac:dyDescent="0.35">
      <c r="A86" t="s">
        <v>8</v>
      </c>
      <c r="F86" s="3">
        <f t="shared" ref="F86:AJ86" si="3">+F36+F3-F85</f>
        <v>3454914.8588218633</v>
      </c>
      <c r="G86" s="3">
        <f t="shared" si="3"/>
        <v>3276633.5254885298</v>
      </c>
      <c r="H86" s="3">
        <f t="shared" si="3"/>
        <v>3276633.5254885298</v>
      </c>
      <c r="I86" s="3">
        <f t="shared" si="3"/>
        <v>3276633.5254885298</v>
      </c>
      <c r="J86" s="3">
        <f t="shared" si="3"/>
        <v>3521477.5254885298</v>
      </c>
      <c r="K86" s="3">
        <f t="shared" si="3"/>
        <v>3483557.5254885298</v>
      </c>
      <c r="L86" s="3">
        <f t="shared" si="3"/>
        <v>3469652.5254885298</v>
      </c>
      <c r="M86" s="3">
        <f t="shared" si="3"/>
        <v>3441006.5254885298</v>
      </c>
      <c r="N86" s="3">
        <f t="shared" si="3"/>
        <v>3441006.5254885298</v>
      </c>
      <c r="O86" s="3">
        <f t="shared" si="3"/>
        <v>3441006.5254885298</v>
      </c>
      <c r="P86" s="3">
        <f t="shared" si="3"/>
        <v>3441006.5254885298</v>
      </c>
      <c r="Q86" s="3">
        <f t="shared" si="3"/>
        <v>3441006.5254885298</v>
      </c>
      <c r="R86" s="3">
        <f t="shared" si="3"/>
        <v>3441006.5254885298</v>
      </c>
      <c r="S86" s="3">
        <f t="shared" si="3"/>
        <v>3441006.5254885298</v>
      </c>
      <c r="T86" s="3">
        <f t="shared" si="3"/>
        <v>3397006.5254885298</v>
      </c>
      <c r="U86" s="3">
        <f t="shared" si="3"/>
        <v>3382726.5254885298</v>
      </c>
      <c r="V86" s="3">
        <f t="shared" si="3"/>
        <v>3382726.5254885298</v>
      </c>
      <c r="W86" s="3">
        <f t="shared" si="3"/>
        <v>3367276.5254885298</v>
      </c>
      <c r="X86" s="3">
        <f t="shared" si="3"/>
        <v>3367276.5254885298</v>
      </c>
      <c r="Y86" s="3">
        <f t="shared" si="3"/>
        <v>3367276.5254885298</v>
      </c>
      <c r="Z86" s="3">
        <f t="shared" si="3"/>
        <v>3248611.5254885298</v>
      </c>
      <c r="AA86" s="3">
        <f t="shared" si="3"/>
        <v>3955165.5254885298</v>
      </c>
      <c r="AB86" s="3">
        <f t="shared" si="3"/>
        <v>3938165.5254885298</v>
      </c>
      <c r="AC86" s="3">
        <f t="shared" si="3"/>
        <v>3938165.5254885298</v>
      </c>
      <c r="AD86" s="3">
        <f t="shared" si="3"/>
        <v>3938165.5254885298</v>
      </c>
      <c r="AE86" s="3">
        <f t="shared" si="3"/>
        <v>3938165.5254885298</v>
      </c>
      <c r="AF86" s="3">
        <f t="shared" si="3"/>
        <v>3938165.5254885298</v>
      </c>
      <c r="AG86" s="3">
        <f t="shared" si="3"/>
        <v>3938165.5254885298</v>
      </c>
      <c r="AH86" s="3">
        <f t="shared" si="3"/>
        <v>4465820.5254885294</v>
      </c>
      <c r="AI86" s="3">
        <f t="shared" si="3"/>
        <v>4465820.5254885294</v>
      </c>
      <c r="AJ86" s="3">
        <f t="shared" si="3"/>
        <v>4443640.5254885294</v>
      </c>
      <c r="AK86" s="3" t="s">
        <v>13</v>
      </c>
      <c r="AM86" s="22" t="s">
        <v>13</v>
      </c>
      <c r="AO86" s="220" t="s">
        <v>1563</v>
      </c>
      <c r="AP86" s="183">
        <f>+SUMIF(AL49:AL77,"GF",D49:D77)</f>
        <v>13905</v>
      </c>
      <c r="AQ86" s="342">
        <v>0</v>
      </c>
      <c r="AR86" s="185">
        <f>+AQ86+'Jul-23'!AR84</f>
        <v>0</v>
      </c>
      <c r="AT86" s="93">
        <f>+AR86+'Dic-22'!AR128</f>
        <v>0</v>
      </c>
    </row>
    <row r="87" spans="1:48" x14ac:dyDescent="0.35">
      <c r="B87" t="s">
        <v>13</v>
      </c>
      <c r="F87" s="3"/>
      <c r="G87" s="3"/>
      <c r="H87" s="3"/>
      <c r="I87" s="3" t="s">
        <v>13</v>
      </c>
      <c r="J87" s="3"/>
      <c r="K87" s="3" t="s">
        <v>13</v>
      </c>
      <c r="L87" s="3"/>
      <c r="M87" s="3"/>
      <c r="N87" s="3"/>
      <c r="O87" s="3"/>
      <c r="P87" s="3" t="s">
        <v>13</v>
      </c>
      <c r="Q87" s="3"/>
      <c r="R87" s="3"/>
      <c r="S87" s="3"/>
      <c r="T87" s="3" t="s">
        <v>13</v>
      </c>
      <c r="U87" s="3"/>
      <c r="V87" s="3"/>
      <c r="W87" s="3"/>
      <c r="Y87" s="3" t="s">
        <v>13</v>
      </c>
      <c r="Z87" s="3" t="s">
        <v>13</v>
      </c>
      <c r="AA87" s="3" t="s">
        <v>13</v>
      </c>
      <c r="AB87" s="3" t="s">
        <v>13</v>
      </c>
      <c r="AO87" s="220" t="s">
        <v>82</v>
      </c>
      <c r="AP87" s="183">
        <v>0</v>
      </c>
      <c r="AQ87" s="342">
        <f>+SUMIF(AL44:AL78,"AF",D44:D78)/1.19</f>
        <v>0</v>
      </c>
      <c r="AR87" s="185" t="e">
        <f>+AQ87+'Jul-23'!AR85</f>
        <v>#REF!</v>
      </c>
      <c r="AT87" s="93" t="e">
        <f>+AR87+'Dic-22'!AR129</f>
        <v>#REF!</v>
      </c>
    </row>
    <row r="88" spans="1:48" ht="15.5" customHeight="1" thickBot="1" x14ac:dyDescent="0.8">
      <c r="B88" s="383" t="s">
        <v>2260</v>
      </c>
      <c r="F88" s="3" t="s">
        <v>13</v>
      </c>
      <c r="G88" s="3" t="s">
        <v>13</v>
      </c>
      <c r="H88" s="3" t="s">
        <v>13</v>
      </c>
      <c r="I88" s="3"/>
      <c r="J88" s="3"/>
      <c r="K88" s="3"/>
      <c r="L88" s="3"/>
      <c r="M88" s="3"/>
      <c r="N88" s="3"/>
      <c r="O88" s="3"/>
      <c r="P88" s="3" t="s">
        <v>13</v>
      </c>
      <c r="Q88" s="3" t="s">
        <v>13</v>
      </c>
      <c r="R88" s="3" t="s">
        <v>13</v>
      </c>
      <c r="S88" s="3"/>
      <c r="T88" s="3"/>
      <c r="U88" s="3" t="s">
        <v>13</v>
      </c>
      <c r="V88" s="3"/>
      <c r="W88" s="3"/>
      <c r="AB88" s="3" t="s">
        <v>13</v>
      </c>
      <c r="AG88" s="3" t="s">
        <v>13</v>
      </c>
      <c r="AJ88" s="3" t="s">
        <v>13</v>
      </c>
      <c r="AO88" s="227"/>
      <c r="AP88" s="393">
        <f>+AP85-AP86-AP87</f>
        <v>385871.30724556488</v>
      </c>
      <c r="AQ88" s="394" t="e">
        <f>+AQ85-AQ86-AQ87</f>
        <v>#REF!</v>
      </c>
      <c r="AR88" s="395" t="e">
        <f ca="1">+AR85-AR86-AR87</f>
        <v>#REF!</v>
      </c>
      <c r="AS88" s="396"/>
      <c r="AT88" s="397" t="e">
        <f ca="1">+AT85-AT86-AT87</f>
        <v>#REF!</v>
      </c>
    </row>
    <row r="89" spans="1:48" ht="15" thickBot="1" x14ac:dyDescent="0.4">
      <c r="A89" t="s">
        <v>2163</v>
      </c>
      <c r="B89" s="289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89" s="289" t="e">
        <f>+B89*0.16</f>
        <v>#REF!</v>
      </c>
      <c r="E89" s="6" t="s">
        <v>13</v>
      </c>
      <c r="F89" s="3"/>
      <c r="G89" s="3" t="s">
        <v>13</v>
      </c>
      <c r="H89" s="3" t="s">
        <v>13</v>
      </c>
      <c r="I89" s="3"/>
      <c r="J89" s="3"/>
      <c r="K89" s="3"/>
      <c r="L89" s="3"/>
      <c r="M89" s="3"/>
      <c r="N89" s="3"/>
      <c r="O89" s="3"/>
      <c r="W89" s="3"/>
      <c r="AB89" s="3" t="s">
        <v>13</v>
      </c>
      <c r="AG89" s="3" t="s">
        <v>13</v>
      </c>
      <c r="AJ89" s="3" t="s">
        <v>13</v>
      </c>
      <c r="AO89" t="s">
        <v>1961</v>
      </c>
      <c r="AP89" s="26">
        <f ca="1">+AP$88+'Jul-23'!AP87</f>
        <v>7611920.5960193183</v>
      </c>
      <c r="AQ89" s="3" t="e">
        <f ca="1">+AQ$88+'Jul-23'!AQ87</f>
        <v>#REF!</v>
      </c>
    </row>
    <row r="90" spans="1:48" ht="15" thickBot="1" x14ac:dyDescent="0.4">
      <c r="F90" s="3"/>
      <c r="G90" s="3" t="s">
        <v>13</v>
      </c>
      <c r="H90" s="3"/>
      <c r="I90" s="3"/>
      <c r="J90" s="3"/>
      <c r="K90" s="3"/>
      <c r="L90" s="3"/>
      <c r="M90" s="3"/>
      <c r="N90" s="3"/>
      <c r="O90" s="3"/>
      <c r="W90" s="3" t="s">
        <v>13</v>
      </c>
      <c r="AB90" s="3" t="s">
        <v>13</v>
      </c>
      <c r="AG90" s="3" t="s">
        <v>13</v>
      </c>
      <c r="AJ90" s="3" t="s">
        <v>13</v>
      </c>
      <c r="AO90" t="s">
        <v>1960</v>
      </c>
      <c r="AP90" s="26">
        <f ca="1">+AP$88+'Jul-23'!AP88</f>
        <v>9208058.4983970262</v>
      </c>
      <c r="AQ90" s="3" t="e">
        <f ca="1">+AQ$88+'Jul-23'!AQ88</f>
        <v>#REF!</v>
      </c>
      <c r="AR90" s="22" t="e">
        <f ca="1">+AQ90*0.65</f>
        <v>#REF!</v>
      </c>
      <c r="AS90" s="400" t="s">
        <v>1849</v>
      </c>
      <c r="AT90" s="401" t="e">
        <f ca="1">+AT85*0.65</f>
        <v>#REF!</v>
      </c>
      <c r="AU90" s="402" t="s">
        <v>2263</v>
      </c>
      <c r="AV90" s="403"/>
    </row>
    <row r="91" spans="1:48" x14ac:dyDescent="0.35">
      <c r="A91" t="s">
        <v>13</v>
      </c>
      <c r="F91" s="3" t="s">
        <v>13</v>
      </c>
      <c r="G91" s="3" t="s">
        <v>13</v>
      </c>
      <c r="H91" s="3"/>
      <c r="I91" s="3"/>
      <c r="J91" s="3"/>
      <c r="K91" s="3"/>
      <c r="L91" s="3"/>
      <c r="M91" s="3">
        <v>538500</v>
      </c>
      <c r="N91" s="3"/>
      <c r="O91" s="3"/>
      <c r="W91" s="3"/>
      <c r="AB91" s="3" t="s">
        <v>13</v>
      </c>
      <c r="AG91" s="3" t="s">
        <v>13</v>
      </c>
      <c r="AJ91" s="3" t="s">
        <v>13</v>
      </c>
    </row>
    <row r="92" spans="1:48" x14ac:dyDescent="0.35">
      <c r="B92" t="s">
        <v>13</v>
      </c>
      <c r="F92" s="3" t="s">
        <v>13</v>
      </c>
      <c r="G92" s="3" t="s">
        <v>13</v>
      </c>
      <c r="H92" s="3"/>
      <c r="I92" s="3"/>
      <c r="J92" s="3"/>
      <c r="K92" s="3"/>
      <c r="L92" s="3" t="s">
        <v>13</v>
      </c>
      <c r="M92" s="3">
        <v>682100</v>
      </c>
      <c r="N92" s="3"/>
      <c r="O92" s="3"/>
      <c r="W92" s="3"/>
      <c r="AB92" s="3" t="s">
        <v>13</v>
      </c>
      <c r="AG92" s="3" t="s">
        <v>13</v>
      </c>
      <c r="AJ92" s="3" t="s">
        <v>13</v>
      </c>
      <c r="AL92"/>
      <c r="AM92"/>
      <c r="AR92" t="s">
        <v>2261</v>
      </c>
    </row>
    <row r="93" spans="1:48" x14ac:dyDescent="0.35">
      <c r="F93" s="3"/>
      <c r="G93" s="3" t="s">
        <v>13</v>
      </c>
      <c r="H93" s="3"/>
      <c r="I93" s="3"/>
      <c r="J93" s="3"/>
      <c r="K93" s="3"/>
      <c r="L93" s="3"/>
      <c r="M93" s="3">
        <f>SUM(M91:M92)</f>
        <v>1220600</v>
      </c>
      <c r="AG93" s="3" t="s">
        <v>13</v>
      </c>
      <c r="AJ93" s="3" t="s">
        <v>13</v>
      </c>
      <c r="AL93"/>
      <c r="AM93"/>
      <c r="AQ93" s="179">
        <v>44774</v>
      </c>
      <c r="AR93" s="185">
        <f>+'Ago-22'!AO72</f>
        <v>175048.73949579833</v>
      </c>
    </row>
    <row r="94" spans="1:48" x14ac:dyDescent="0.35">
      <c r="F94" s="3"/>
      <c r="G94" s="3" t="s">
        <v>13</v>
      </c>
      <c r="H94" s="3"/>
      <c r="I94" s="3"/>
      <c r="J94" s="3"/>
      <c r="K94" s="3"/>
      <c r="L94" s="3"/>
      <c r="AB94" t="s">
        <v>13</v>
      </c>
      <c r="AG94" s="3" t="s">
        <v>13</v>
      </c>
      <c r="AJ94" s="3" t="s">
        <v>13</v>
      </c>
      <c r="AL94"/>
      <c r="AM94"/>
      <c r="AQ94" s="179">
        <v>44805</v>
      </c>
      <c r="AR94" s="185">
        <f>+'Sep-22'!AO72</f>
        <v>348854.62184873951</v>
      </c>
    </row>
    <row r="95" spans="1:48" x14ac:dyDescent="0.35">
      <c r="F95" s="3"/>
      <c r="G95" s="3" t="s">
        <v>13</v>
      </c>
      <c r="H95" s="3"/>
      <c r="I95" s="3"/>
      <c r="J95" s="3"/>
      <c r="K95" s="3"/>
      <c r="L95" s="3"/>
      <c r="AG95" s="3" t="s">
        <v>13</v>
      </c>
      <c r="AJ95" s="3" t="s">
        <v>13</v>
      </c>
      <c r="AL95"/>
      <c r="AM95"/>
      <c r="AQ95" s="179">
        <v>44835</v>
      </c>
      <c r="AR95" s="185">
        <f>+'Oct-22'!AO99</f>
        <v>1060116.5042016809</v>
      </c>
    </row>
    <row r="96" spans="1:48" x14ac:dyDescent="0.35">
      <c r="F96" s="3"/>
      <c r="G96" s="3" t="s">
        <v>13</v>
      </c>
      <c r="H96" s="3"/>
      <c r="I96" s="3"/>
      <c r="J96" s="3"/>
      <c r="K96" s="3"/>
      <c r="L96" s="3"/>
      <c r="AG96" s="3" t="s">
        <v>13</v>
      </c>
      <c r="AJ96" s="3" t="s">
        <v>13</v>
      </c>
      <c r="AL96"/>
      <c r="AM96"/>
      <c r="AQ96" s="179">
        <v>44866</v>
      </c>
      <c r="AR96" s="185">
        <f>+'Nov-22'!AO98</f>
        <v>888247.89915966394</v>
      </c>
    </row>
    <row r="97" spans="2:44" x14ac:dyDescent="0.35">
      <c r="F97" s="3"/>
      <c r="G97" s="3" t="s">
        <v>13</v>
      </c>
      <c r="H97" s="3"/>
      <c r="I97" s="3"/>
      <c r="J97" s="3"/>
      <c r="K97" s="3"/>
      <c r="L97" s="3"/>
      <c r="AG97" s="3" t="s">
        <v>13</v>
      </c>
      <c r="AJ97" s="3" t="s">
        <v>13</v>
      </c>
      <c r="AL97"/>
      <c r="AM97"/>
      <c r="AQ97" s="179">
        <v>44896</v>
      </c>
      <c r="AR97" s="185">
        <f>+'Dic-22'!AO122</f>
        <v>1710304.2016806724</v>
      </c>
    </row>
    <row r="98" spans="2:44" x14ac:dyDescent="0.35">
      <c r="B98" t="s">
        <v>13</v>
      </c>
      <c r="F98" s="3"/>
      <c r="G98" s="3" t="s">
        <v>13</v>
      </c>
      <c r="H98" s="3"/>
      <c r="I98" s="3"/>
      <c r="J98" s="3"/>
      <c r="K98" s="3"/>
      <c r="L98" s="3"/>
      <c r="AG98" s="3" t="s">
        <v>13</v>
      </c>
      <c r="AJ98" s="3" t="s">
        <v>13</v>
      </c>
      <c r="AL98"/>
      <c r="AM98"/>
      <c r="AQ98" s="179">
        <v>44927</v>
      </c>
      <c r="AR98" s="185">
        <f>+'Ene-23'!AQ108</f>
        <v>1905927.7310924372</v>
      </c>
    </row>
    <row r="99" spans="2:44" x14ac:dyDescent="0.35">
      <c r="B99" t="s">
        <v>13</v>
      </c>
      <c r="F99" s="3"/>
      <c r="G99" s="3" t="s">
        <v>13</v>
      </c>
      <c r="H99" s="3"/>
      <c r="I99" s="3"/>
      <c r="J99" s="3"/>
      <c r="K99" s="3"/>
      <c r="L99" s="3"/>
      <c r="AG99" s="3" t="s">
        <v>13</v>
      </c>
      <c r="AJ99" s="3" t="s">
        <v>13</v>
      </c>
      <c r="AL99"/>
      <c r="AM99"/>
      <c r="AQ99" s="179">
        <v>44958</v>
      </c>
      <c r="AR99" s="185">
        <f>+'Feb-23'!AQ109</f>
        <v>2066958.684369748</v>
      </c>
    </row>
    <row r="100" spans="2:44" x14ac:dyDescent="0.35">
      <c r="B100" t="s">
        <v>13</v>
      </c>
      <c r="F100" s="3"/>
      <c r="G100" s="3" t="s">
        <v>13</v>
      </c>
      <c r="H100" s="3"/>
      <c r="I100" s="3"/>
      <c r="J100" s="3"/>
      <c r="K100" s="3"/>
      <c r="L100" s="3"/>
      <c r="AG100" s="3" t="s">
        <v>13</v>
      </c>
      <c r="AJ100" s="3" t="s">
        <v>13</v>
      </c>
      <c r="AL100"/>
      <c r="AM100"/>
      <c r="AQ100" s="179">
        <v>44986</v>
      </c>
      <c r="AR100" s="185">
        <f>+'Mar-23'!AQ97</f>
        <v>995390.03361344559</v>
      </c>
    </row>
    <row r="101" spans="2:44" x14ac:dyDescent="0.35">
      <c r="B101" t="s">
        <v>13</v>
      </c>
      <c r="F101" s="3"/>
      <c r="G101" s="3" t="s">
        <v>13</v>
      </c>
      <c r="H101" s="3"/>
      <c r="I101" s="3"/>
      <c r="J101" s="3"/>
      <c r="K101" s="3"/>
      <c r="L101" s="3"/>
      <c r="AG101" s="3" t="s">
        <v>13</v>
      </c>
      <c r="AJ101" s="3" t="s">
        <v>13</v>
      </c>
      <c r="AL101"/>
      <c r="AM101"/>
      <c r="AQ101" s="179">
        <v>45017</v>
      </c>
      <c r="AR101" s="185">
        <f>+'Abr-23'!AQ93</f>
        <v>648118.75055285275</v>
      </c>
    </row>
    <row r="102" spans="2:44" x14ac:dyDescent="0.35">
      <c r="B102" t="s">
        <v>13</v>
      </c>
      <c r="F102" s="3"/>
      <c r="G102" s="3" t="s">
        <v>13</v>
      </c>
      <c r="H102" s="3"/>
      <c r="I102" s="3"/>
      <c r="J102" s="3"/>
      <c r="K102" s="3"/>
      <c r="L102" s="3"/>
      <c r="AG102" s="3" t="s">
        <v>13</v>
      </c>
      <c r="AJ102" s="3" t="s">
        <v>13</v>
      </c>
      <c r="AL102"/>
      <c r="AM102"/>
      <c r="AQ102" s="179">
        <v>45047</v>
      </c>
      <c r="AR102" s="185">
        <f>+'May-23'!AQ73</f>
        <v>292632.77310924372</v>
      </c>
    </row>
    <row r="103" spans="2:44" x14ac:dyDescent="0.35">
      <c r="B103" t="s">
        <v>13</v>
      </c>
      <c r="F103" s="3"/>
      <c r="G103" s="3" t="s">
        <v>13</v>
      </c>
      <c r="H103" s="3"/>
      <c r="I103" s="3"/>
      <c r="J103" s="3"/>
      <c r="K103" s="3"/>
      <c r="L103" s="3"/>
      <c r="AG103" s="3" t="s">
        <v>13</v>
      </c>
      <c r="AJ103" s="3" t="s">
        <v>13</v>
      </c>
      <c r="AL103"/>
      <c r="AM103"/>
      <c r="AQ103" s="179">
        <v>45078</v>
      </c>
      <c r="AR103" s="185">
        <f>+'Jun-23'!AQ67</f>
        <v>743877.68907563027</v>
      </c>
    </row>
    <row r="104" spans="2:44" x14ac:dyDescent="0.35">
      <c r="B104" t="s">
        <v>13</v>
      </c>
      <c r="F104" s="3"/>
      <c r="G104" s="3" t="s">
        <v>13</v>
      </c>
      <c r="H104" s="3"/>
      <c r="I104" s="3"/>
      <c r="J104" s="3"/>
      <c r="K104" s="3"/>
      <c r="L104" s="3"/>
      <c r="AG104" s="3" t="s">
        <v>13</v>
      </c>
      <c r="AJ104" s="3" t="s">
        <v>13</v>
      </c>
      <c r="AL104"/>
      <c r="AM104"/>
      <c r="AQ104" s="179">
        <v>45108</v>
      </c>
      <c r="AR104" s="185">
        <f>+'Jul-23'!AQ78</f>
        <v>295994.11764705885</v>
      </c>
    </row>
    <row r="105" spans="2:44" x14ac:dyDescent="0.35">
      <c r="B105" t="s">
        <v>13</v>
      </c>
      <c r="F105" s="3"/>
      <c r="G105" s="3" t="s">
        <v>13</v>
      </c>
      <c r="H105" s="3"/>
      <c r="I105" s="3"/>
      <c r="J105" s="3"/>
      <c r="K105" s="3"/>
      <c r="L105" s="3"/>
      <c r="AG105" s="3" t="s">
        <v>13</v>
      </c>
      <c r="AJ105" s="3" t="s">
        <v>13</v>
      </c>
      <c r="AL105"/>
      <c r="AM105"/>
      <c r="AQ105" s="179">
        <v>45139</v>
      </c>
      <c r="AR105" s="185">
        <f>+AQ80</f>
        <v>153258.82352941178</v>
      </c>
    </row>
    <row r="106" spans="2:44" x14ac:dyDescent="0.35">
      <c r="B106" t="s">
        <v>13</v>
      </c>
      <c r="F106" s="3"/>
      <c r="G106" s="3" t="s">
        <v>13</v>
      </c>
      <c r="H106" s="3"/>
      <c r="I106" s="3"/>
      <c r="J106" s="3"/>
      <c r="K106" s="3"/>
      <c r="L106" s="3"/>
      <c r="AL106"/>
      <c r="AM106"/>
    </row>
    <row r="107" spans="2:44" x14ac:dyDescent="0.35">
      <c r="B107" t="s">
        <v>13</v>
      </c>
      <c r="F107" s="3"/>
      <c r="G107" s="3" t="s">
        <v>13</v>
      </c>
      <c r="H107" s="3"/>
      <c r="I107" s="3"/>
      <c r="J107" s="3"/>
      <c r="K107" s="3"/>
      <c r="L107" s="3"/>
      <c r="AL107"/>
      <c r="AM107"/>
    </row>
    <row r="108" spans="2:44" x14ac:dyDescent="0.35">
      <c r="B108" t="s">
        <v>13</v>
      </c>
      <c r="E108"/>
      <c r="AL108"/>
      <c r="AM108"/>
    </row>
    <row r="109" spans="2:44" x14ac:dyDescent="0.35">
      <c r="B109" t="s">
        <v>13</v>
      </c>
      <c r="E109"/>
      <c r="AL109"/>
      <c r="AM109"/>
    </row>
    <row r="110" spans="2:44" x14ac:dyDescent="0.35">
      <c r="B110" t="s">
        <v>13</v>
      </c>
      <c r="E110"/>
      <c r="AL110"/>
      <c r="AM110"/>
    </row>
    <row r="111" spans="2:44" x14ac:dyDescent="0.35">
      <c r="B111" t="s">
        <v>13</v>
      </c>
      <c r="E111"/>
      <c r="AL111"/>
      <c r="AM111"/>
    </row>
    <row r="112" spans="2:44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  <row r="119" spans="2:39" x14ac:dyDescent="0.35">
      <c r="B119" t="s">
        <v>13</v>
      </c>
      <c r="E119"/>
      <c r="AL119"/>
      <c r="AM119"/>
    </row>
    <row r="120" spans="2:39" x14ac:dyDescent="0.35">
      <c r="B120" t="s">
        <v>13</v>
      </c>
      <c r="E120"/>
      <c r="AL120"/>
      <c r="AM120"/>
    </row>
    <row r="121" spans="2:39" x14ac:dyDescent="0.35">
      <c r="B121" t="s">
        <v>13</v>
      </c>
      <c r="E121"/>
      <c r="AL121"/>
      <c r="AM121"/>
    </row>
    <row r="122" spans="2:39" x14ac:dyDescent="0.35">
      <c r="B122" t="s">
        <v>13</v>
      </c>
      <c r="E122"/>
      <c r="AL122"/>
      <c r="AM122"/>
    </row>
    <row r="123" spans="2:39" x14ac:dyDescent="0.35">
      <c r="B123" t="s">
        <v>13</v>
      </c>
      <c r="E123"/>
      <c r="AL123"/>
      <c r="AM123"/>
    </row>
    <row r="124" spans="2:39" x14ac:dyDescent="0.35">
      <c r="B124" t="s">
        <v>13</v>
      </c>
      <c r="E124"/>
      <c r="AL124"/>
      <c r="AM124"/>
    </row>
    <row r="125" spans="2:39" x14ac:dyDescent="0.35">
      <c r="B125" t="s">
        <v>13</v>
      </c>
      <c r="E125"/>
      <c r="AL125"/>
      <c r="AM125"/>
    </row>
    <row r="126" spans="2:39" x14ac:dyDescent="0.35">
      <c r="B126" t="s">
        <v>13</v>
      </c>
      <c r="E126"/>
      <c r="AL126"/>
      <c r="AM126"/>
    </row>
    <row r="127" spans="2:39" x14ac:dyDescent="0.35">
      <c r="B127" t="s">
        <v>13</v>
      </c>
      <c r="E127"/>
      <c r="AL127"/>
      <c r="AM127"/>
    </row>
    <row r="128" spans="2:39" x14ac:dyDescent="0.35">
      <c r="B128" t="s">
        <v>13</v>
      </c>
      <c r="E128"/>
      <c r="AL128"/>
      <c r="AM128"/>
    </row>
    <row r="129" spans="2:39" x14ac:dyDescent="0.35">
      <c r="B129" t="s">
        <v>13</v>
      </c>
      <c r="E129"/>
      <c r="AL129"/>
      <c r="AM129"/>
    </row>
    <row r="130" spans="2:39" x14ac:dyDescent="0.35">
      <c r="B130" t="s">
        <v>13</v>
      </c>
      <c r="E130"/>
      <c r="AL130"/>
      <c r="AM130"/>
    </row>
    <row r="131" spans="2:39" x14ac:dyDescent="0.35">
      <c r="B131" t="s">
        <v>13</v>
      </c>
      <c r="E131"/>
      <c r="AL131"/>
      <c r="AM131"/>
    </row>
    <row r="132" spans="2:39" x14ac:dyDescent="0.35">
      <c r="B132" t="s">
        <v>13</v>
      </c>
      <c r="E132"/>
      <c r="AL132"/>
      <c r="AM132"/>
    </row>
    <row r="133" spans="2:39" x14ac:dyDescent="0.35">
      <c r="B133" t="s">
        <v>13</v>
      </c>
      <c r="E133"/>
      <c r="AL133"/>
      <c r="AM133"/>
    </row>
    <row r="134" spans="2:39" x14ac:dyDescent="0.35">
      <c r="B134" t="s">
        <v>13</v>
      </c>
      <c r="E134"/>
      <c r="AL134"/>
      <c r="AM134"/>
    </row>
    <row r="135" spans="2:39" x14ac:dyDescent="0.35">
      <c r="B135" t="s">
        <v>13</v>
      </c>
      <c r="E135"/>
      <c r="AL135"/>
      <c r="AM135"/>
    </row>
    <row r="136" spans="2:39" x14ac:dyDescent="0.35">
      <c r="B136" t="s">
        <v>13</v>
      </c>
      <c r="E136"/>
      <c r="AL136"/>
      <c r="AM136"/>
    </row>
    <row r="137" spans="2:39" x14ac:dyDescent="0.35">
      <c r="B137" t="s">
        <v>13</v>
      </c>
      <c r="E137"/>
      <c r="AL137"/>
      <c r="AM137"/>
    </row>
    <row r="138" spans="2:39" x14ac:dyDescent="0.35">
      <c r="B138" t="s">
        <v>13</v>
      </c>
      <c r="E138"/>
      <c r="AL138"/>
      <c r="AM138"/>
    </row>
    <row r="139" spans="2:39" x14ac:dyDescent="0.35">
      <c r="B139" t="s">
        <v>13</v>
      </c>
      <c r="E139"/>
      <c r="AL139"/>
      <c r="AM139"/>
    </row>
    <row r="140" spans="2:39" x14ac:dyDescent="0.35">
      <c r="B140" t="s">
        <v>13</v>
      </c>
      <c r="E140"/>
      <c r="AL140"/>
      <c r="AM140"/>
    </row>
  </sheetData>
  <sortState xmlns:xlrd2="http://schemas.microsoft.com/office/spreadsheetml/2017/richdata2" ref="A43:AQ51">
    <sortCondition ref="C43:C51"/>
  </sortState>
  <phoneticPr fontId="20" type="noConversion"/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55DC-974A-46D5-8092-8D67D4269DFE}">
  <dimension ref="A1:AR126"/>
  <sheetViews>
    <sheetView zoomScale="74" zoomScaleNormal="74" workbookViewId="0">
      <pane xSplit="5" ySplit="3" topLeftCell="AF41" activePane="bottomRight" state="frozen"/>
      <selection pane="topRight" activeCell="F1" sqref="F1"/>
      <selection pane="bottomLeft" activeCell="A4" sqref="A4"/>
      <selection pane="bottomRight" activeCell="AL63" sqref="AL63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45170</v>
      </c>
      <c r="G2" s="1">
        <v>45171</v>
      </c>
      <c r="H2" s="1">
        <v>45172</v>
      </c>
      <c r="I2" s="1">
        <v>45173</v>
      </c>
      <c r="J2" s="1">
        <v>45174</v>
      </c>
      <c r="K2" s="1">
        <v>45175</v>
      </c>
      <c r="L2" s="1">
        <v>45176</v>
      </c>
      <c r="M2" s="1">
        <v>45177</v>
      </c>
      <c r="N2" s="1">
        <v>45178</v>
      </c>
      <c r="O2" s="1">
        <v>45179</v>
      </c>
      <c r="P2" s="1">
        <v>45180</v>
      </c>
      <c r="Q2" s="1">
        <v>45181</v>
      </c>
      <c r="R2" s="1">
        <v>45182</v>
      </c>
      <c r="S2" s="1">
        <v>45183</v>
      </c>
      <c r="T2" s="1">
        <v>45184</v>
      </c>
      <c r="U2" s="1">
        <v>45185</v>
      </c>
      <c r="V2" s="1">
        <v>45186</v>
      </c>
      <c r="W2" s="1">
        <v>45187</v>
      </c>
      <c r="X2" s="1">
        <v>45188</v>
      </c>
      <c r="Y2" s="1">
        <v>45189</v>
      </c>
      <c r="Z2" s="1">
        <v>45190</v>
      </c>
      <c r="AA2" s="1">
        <v>45191</v>
      </c>
      <c r="AB2" s="1">
        <v>45192</v>
      </c>
      <c r="AC2" s="1">
        <v>45193</v>
      </c>
      <c r="AD2" s="1">
        <v>45194</v>
      </c>
      <c r="AE2" s="1">
        <v>45195</v>
      </c>
      <c r="AF2" s="1">
        <v>45196</v>
      </c>
      <c r="AG2" s="1">
        <v>45197</v>
      </c>
      <c r="AH2" s="1">
        <v>45198</v>
      </c>
      <c r="AI2" s="1">
        <v>45199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+'Ago-23'!AJ86</f>
        <v>4443640.5254885294</v>
      </c>
      <c r="G3" s="3">
        <f t="shared" ref="G3:AJ3" si="0">+F72</f>
        <v>4413640.5254885294</v>
      </c>
      <c r="H3" s="3">
        <f t="shared" si="0"/>
        <v>4413640.5254885294</v>
      </c>
      <c r="I3" s="3">
        <f t="shared" si="0"/>
        <v>4413640.5254885294</v>
      </c>
      <c r="J3" s="3">
        <f t="shared" si="0"/>
        <v>4413640.5254885294</v>
      </c>
      <c r="K3" s="3">
        <f t="shared" si="0"/>
        <v>4445590.5254885294</v>
      </c>
      <c r="L3" s="3">
        <f t="shared" si="0"/>
        <v>4290890.5254885294</v>
      </c>
      <c r="M3" s="3">
        <f t="shared" si="0"/>
        <v>4361259.5254885294</v>
      </c>
      <c r="N3" s="3">
        <f t="shared" si="0"/>
        <v>4361259.5254885294</v>
      </c>
      <c r="O3" s="3">
        <f t="shared" si="0"/>
        <v>4361259.5254885294</v>
      </c>
      <c r="P3" s="3">
        <f t="shared" si="0"/>
        <v>4361259.5254885294</v>
      </c>
      <c r="Q3" s="3">
        <f t="shared" si="0"/>
        <v>4361259.5254885294</v>
      </c>
      <c r="R3" s="3">
        <f t="shared" si="0"/>
        <v>4272473.5254885294</v>
      </c>
      <c r="S3" s="3">
        <f t="shared" si="0"/>
        <v>4253143.5254885294</v>
      </c>
      <c r="T3" s="3">
        <f t="shared" si="0"/>
        <v>4253143.5254885294</v>
      </c>
      <c r="U3" s="3">
        <f t="shared" si="0"/>
        <v>4253143.5254885294</v>
      </c>
      <c r="V3" s="3">
        <f t="shared" si="0"/>
        <v>4253143.5254885294</v>
      </c>
      <c r="W3" s="3">
        <f t="shared" si="0"/>
        <v>4253143.5254885294</v>
      </c>
      <c r="X3" s="3">
        <f t="shared" si="0"/>
        <v>4253143.5254885294</v>
      </c>
      <c r="Y3" s="3">
        <f t="shared" si="0"/>
        <v>4253143.5254885294</v>
      </c>
      <c r="Z3" s="3">
        <f t="shared" si="0"/>
        <v>4164213.5254885294</v>
      </c>
      <c r="AA3" s="3">
        <f t="shared" si="0"/>
        <v>4164213.5254885294</v>
      </c>
      <c r="AB3" s="3">
        <f t="shared" si="0"/>
        <v>4164213.5254885294</v>
      </c>
      <c r="AC3" s="3">
        <f t="shared" si="0"/>
        <v>4164213.5254885294</v>
      </c>
      <c r="AD3" s="3">
        <f t="shared" si="0"/>
        <v>4164213.5254885294</v>
      </c>
      <c r="AE3" s="3">
        <f t="shared" si="0"/>
        <v>4251402.5254885294</v>
      </c>
      <c r="AF3" s="3">
        <f t="shared" si="0"/>
        <v>4251402.5254885294</v>
      </c>
      <c r="AG3" s="3">
        <f t="shared" si="0"/>
        <v>4251402.5254885294</v>
      </c>
      <c r="AH3" s="3">
        <f t="shared" si="0"/>
        <v>2310248.7477107514</v>
      </c>
      <c r="AI3" s="3">
        <f t="shared" si="0"/>
        <v>2287618.7477107514</v>
      </c>
      <c r="AJ3" s="3">
        <f t="shared" si="0"/>
        <v>2287618.7477107514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2213</v>
      </c>
      <c r="B6" s="66" t="s">
        <v>2212</v>
      </c>
      <c r="C6" s="38">
        <v>45157</v>
      </c>
      <c r="D6" s="39">
        <v>91189</v>
      </c>
      <c r="E6" s="40" t="s">
        <v>1345</v>
      </c>
      <c r="F6" s="3"/>
      <c r="G6" s="3"/>
      <c r="H6" s="3"/>
      <c r="I6" s="3"/>
      <c r="J6" s="3"/>
      <c r="K6" s="3"/>
      <c r="L6" s="3">
        <v>91189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 t="s">
        <v>13</v>
      </c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91189</v>
      </c>
      <c r="AL6" s="22"/>
    </row>
    <row r="7" spans="1:39" x14ac:dyDescent="0.35">
      <c r="A7" s="41" t="s">
        <v>2225</v>
      </c>
      <c r="B7" t="s">
        <v>2220</v>
      </c>
      <c r="C7" s="5">
        <v>45163</v>
      </c>
      <c r="D7" s="3">
        <v>45855</v>
      </c>
      <c r="E7" s="42" t="s">
        <v>782</v>
      </c>
      <c r="F7" s="3"/>
      <c r="G7" s="3"/>
      <c r="H7" s="3"/>
      <c r="I7" s="3"/>
      <c r="J7" s="3">
        <v>45855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45855</v>
      </c>
      <c r="AL7" s="22"/>
    </row>
    <row r="8" spans="1:39" x14ac:dyDescent="0.35">
      <c r="A8" s="41" t="s">
        <v>2226</v>
      </c>
      <c r="B8" t="s">
        <v>2221</v>
      </c>
      <c r="C8" s="5">
        <v>45169</v>
      </c>
      <c r="D8" s="3">
        <v>87189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0</v>
      </c>
      <c r="AL8" s="22"/>
    </row>
    <row r="9" spans="1:39" ht="15" thickBot="1" x14ac:dyDescent="0.4">
      <c r="A9" s="43" t="s">
        <v>2227</v>
      </c>
      <c r="B9" s="76" t="s">
        <v>2222</v>
      </c>
      <c r="C9" s="45">
        <v>45169</v>
      </c>
      <c r="D9" s="46">
        <v>87189</v>
      </c>
      <c r="E9" s="47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0</v>
      </c>
      <c r="AL9" s="22"/>
    </row>
    <row r="10" spans="1:39" x14ac:dyDescent="0.35">
      <c r="A10" s="41" t="s">
        <v>2228</v>
      </c>
      <c r="B10" t="s">
        <v>2223</v>
      </c>
      <c r="C10" s="5">
        <v>45170</v>
      </c>
      <c r="D10" s="3">
        <v>87189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0</v>
      </c>
      <c r="AL10" s="22"/>
    </row>
    <row r="11" spans="1:39" x14ac:dyDescent="0.35">
      <c r="A11" s="41" t="s">
        <v>2229</v>
      </c>
      <c r="B11" t="s">
        <v>2224</v>
      </c>
      <c r="C11" s="5">
        <v>45170</v>
      </c>
      <c r="D11" s="3">
        <v>87189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2231</v>
      </c>
      <c r="B12" t="s">
        <v>2232</v>
      </c>
      <c r="C12" s="5">
        <v>45172</v>
      </c>
      <c r="D12" s="3">
        <v>128522</v>
      </c>
      <c r="E12" s="42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2235</v>
      </c>
      <c r="B13" t="s">
        <v>2233</v>
      </c>
      <c r="C13" s="5">
        <v>45176</v>
      </c>
      <c r="D13" s="3">
        <v>45855</v>
      </c>
      <c r="E13" s="42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x14ac:dyDescent="0.35">
      <c r="A14" s="41" t="s">
        <v>2236</v>
      </c>
      <c r="B14" t="s">
        <v>2234</v>
      </c>
      <c r="C14" s="5">
        <v>45176</v>
      </c>
      <c r="D14" s="3">
        <v>87189</v>
      </c>
      <c r="E14" s="42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2239</v>
      </c>
      <c r="B15" t="s">
        <v>2240</v>
      </c>
      <c r="C15" s="5">
        <v>45176</v>
      </c>
      <c r="D15" s="3">
        <v>87189</v>
      </c>
      <c r="E15" s="42" t="s">
        <v>1345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>
        <v>87189</v>
      </c>
      <c r="AE15" s="3"/>
      <c r="AF15" s="3"/>
      <c r="AG15" s="3"/>
      <c r="AH15" s="3"/>
      <c r="AI15" s="3"/>
      <c r="AK15" s="3">
        <f>SUM($F15:AJ15)</f>
        <v>87189</v>
      </c>
      <c r="AL15" s="22"/>
    </row>
    <row r="16" spans="1:39" x14ac:dyDescent="0.35">
      <c r="A16" s="41" t="s">
        <v>2244</v>
      </c>
      <c r="B16" t="s">
        <v>2241</v>
      </c>
      <c r="C16" s="5">
        <v>45178</v>
      </c>
      <c r="D16" s="3">
        <v>45855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39" x14ac:dyDescent="0.35">
      <c r="A17" s="41" t="s">
        <v>2245</v>
      </c>
      <c r="B17" t="s">
        <v>2242</v>
      </c>
      <c r="C17" s="5">
        <v>45178</v>
      </c>
      <c r="D17" s="3">
        <v>87189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39" x14ac:dyDescent="0.35">
      <c r="A18" s="41" t="s">
        <v>2248</v>
      </c>
      <c r="B18" t="s">
        <v>2243</v>
      </c>
      <c r="C18" s="5">
        <v>45183</v>
      </c>
      <c r="D18" s="3">
        <v>87189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39" x14ac:dyDescent="0.35">
      <c r="A19" s="41" t="s">
        <v>2251</v>
      </c>
      <c r="B19" t="s">
        <v>2249</v>
      </c>
      <c r="C19" s="5">
        <v>45184</v>
      </c>
      <c r="D19" s="3">
        <v>45855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39" x14ac:dyDescent="0.35">
      <c r="A20" s="41" t="s">
        <v>2252</v>
      </c>
      <c r="B20" t="s">
        <v>2250</v>
      </c>
      <c r="C20" s="5">
        <v>45184</v>
      </c>
      <c r="D20" s="3">
        <v>4522</v>
      </c>
      <c r="E20" s="42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39" x14ac:dyDescent="0.35">
      <c r="A21" s="41" t="s">
        <v>2255</v>
      </c>
      <c r="B21" t="s">
        <v>2253</v>
      </c>
      <c r="C21" s="5">
        <v>45192</v>
      </c>
      <c r="D21" s="3">
        <v>45855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 t="s">
        <v>13</v>
      </c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9" x14ac:dyDescent="0.35">
      <c r="A22" s="41" t="s">
        <v>2256</v>
      </c>
      <c r="B22" t="s">
        <v>2254</v>
      </c>
      <c r="C22" s="5">
        <v>45192</v>
      </c>
      <c r="D22" s="3">
        <v>87189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 t="s">
        <v>13</v>
      </c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9" x14ac:dyDescent="0.35">
      <c r="A23" s="41" t="s">
        <v>2270</v>
      </c>
      <c r="B23" t="s">
        <v>2266</v>
      </c>
      <c r="C23" s="5">
        <v>45189</v>
      </c>
      <c r="D23" s="3">
        <v>87189</v>
      </c>
      <c r="E23" s="42" t="s">
        <v>1345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9" x14ac:dyDescent="0.35">
      <c r="A24" s="41" t="s">
        <v>2251</v>
      </c>
      <c r="B24" t="s">
        <v>2267</v>
      </c>
      <c r="C24" s="5">
        <v>45199</v>
      </c>
      <c r="D24" s="3">
        <v>87189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39" x14ac:dyDescent="0.35">
      <c r="A25" s="41" t="s">
        <v>2252</v>
      </c>
      <c r="B25" t="s">
        <v>2268</v>
      </c>
      <c r="C25" s="5">
        <v>45199</v>
      </c>
      <c r="D25" s="3">
        <v>45855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39" x14ac:dyDescent="0.35">
      <c r="A26" s="41" t="s">
        <v>2248</v>
      </c>
      <c r="B26" t="s">
        <v>2269</v>
      </c>
      <c r="C26" s="5">
        <v>45199</v>
      </c>
      <c r="D26" s="3">
        <v>87189</v>
      </c>
      <c r="E26" s="42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39" x14ac:dyDescent="0.35">
      <c r="A27" s="41"/>
      <c r="B27" t="s">
        <v>13</v>
      </c>
      <c r="C27" s="5"/>
      <c r="D27" s="3"/>
      <c r="E27" s="4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39" x14ac:dyDescent="0.35">
      <c r="A28" s="41"/>
      <c r="C28" s="5"/>
      <c r="D28" s="3"/>
      <c r="E28" s="4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</row>
    <row r="29" spans="1:39" ht="15" thickBot="1" x14ac:dyDescent="0.4">
      <c r="A29" s="43"/>
      <c r="B29" s="76"/>
      <c r="C29" s="45"/>
      <c r="D29" s="46"/>
      <c r="E29" s="4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0</v>
      </c>
      <c r="AL29" s="22"/>
    </row>
    <row r="30" spans="1:39" x14ac:dyDescent="0.35">
      <c r="D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24" t="s">
        <v>1962</v>
      </c>
      <c r="AL30" s="22" t="s">
        <v>1352</v>
      </c>
    </row>
    <row r="31" spans="1:39" x14ac:dyDescent="0.35">
      <c r="A31" s="2" t="s">
        <v>1676</v>
      </c>
      <c r="D31" s="3">
        <f>SUM(D10:D29)</f>
        <v>1234209</v>
      </c>
      <c r="F31" s="3">
        <f t="shared" ref="F31:AJ31" si="1">SUM(F5:F29)</f>
        <v>0</v>
      </c>
      <c r="G31" s="3">
        <f t="shared" si="1"/>
        <v>0</v>
      </c>
      <c r="H31" s="3">
        <f t="shared" si="1"/>
        <v>0</v>
      </c>
      <c r="I31" s="3">
        <f t="shared" si="1"/>
        <v>0</v>
      </c>
      <c r="J31" s="3">
        <f t="shared" si="1"/>
        <v>45855</v>
      </c>
      <c r="K31" s="3">
        <f t="shared" si="1"/>
        <v>0</v>
      </c>
      <c r="L31" s="3">
        <f t="shared" si="1"/>
        <v>91189</v>
      </c>
      <c r="M31" s="3">
        <f t="shared" si="1"/>
        <v>0</v>
      </c>
      <c r="N31" s="3">
        <f t="shared" si="1"/>
        <v>0</v>
      </c>
      <c r="O31" s="3">
        <f t="shared" si="1"/>
        <v>0</v>
      </c>
      <c r="P31" s="3">
        <f t="shared" si="1"/>
        <v>0</v>
      </c>
      <c r="Q31" s="3">
        <f t="shared" si="1"/>
        <v>0</v>
      </c>
      <c r="R31" s="3">
        <f t="shared" si="1"/>
        <v>0</v>
      </c>
      <c r="S31" s="3">
        <f t="shared" si="1"/>
        <v>0</v>
      </c>
      <c r="T31" s="3">
        <f t="shared" si="1"/>
        <v>0</v>
      </c>
      <c r="U31" s="3">
        <f t="shared" si="1"/>
        <v>0</v>
      </c>
      <c r="V31" s="3">
        <f t="shared" si="1"/>
        <v>0</v>
      </c>
      <c r="W31" s="3">
        <f t="shared" si="1"/>
        <v>0</v>
      </c>
      <c r="X31" s="3">
        <f t="shared" si="1"/>
        <v>0</v>
      </c>
      <c r="Y31" s="3">
        <f t="shared" si="1"/>
        <v>0</v>
      </c>
      <c r="Z31" s="3">
        <f t="shared" si="1"/>
        <v>0</v>
      </c>
      <c r="AA31" s="3">
        <f t="shared" si="1"/>
        <v>0</v>
      </c>
      <c r="AB31" s="3">
        <f t="shared" si="1"/>
        <v>0</v>
      </c>
      <c r="AC31" s="3">
        <f t="shared" si="1"/>
        <v>0</v>
      </c>
      <c r="AD31" s="3">
        <f t="shared" si="1"/>
        <v>87189</v>
      </c>
      <c r="AE31" s="3">
        <f t="shared" si="1"/>
        <v>0</v>
      </c>
      <c r="AF31" s="3">
        <f t="shared" si="1"/>
        <v>0</v>
      </c>
      <c r="AG31" s="3">
        <f t="shared" si="1"/>
        <v>0</v>
      </c>
      <c r="AH31" s="3">
        <f t="shared" si="1"/>
        <v>0</v>
      </c>
      <c r="AI31" s="3">
        <f t="shared" si="1"/>
        <v>0</v>
      </c>
      <c r="AJ31" s="3">
        <f t="shared" si="1"/>
        <v>0</v>
      </c>
      <c r="AK31" s="72">
        <f>SUM(AK6:AK29)</f>
        <v>224233</v>
      </c>
      <c r="AL31" s="22">
        <f>+D32-AK31</f>
        <v>1321398</v>
      </c>
      <c r="AM31" s="6" t="s">
        <v>13</v>
      </c>
    </row>
    <row r="32" spans="1:39" x14ac:dyDescent="0.35">
      <c r="A32" s="2" t="s">
        <v>1780</v>
      </c>
      <c r="B32" t="s">
        <v>13</v>
      </c>
      <c r="C32" s="3" t="s">
        <v>13</v>
      </c>
      <c r="D32" s="3">
        <f>SUM(D6:D29)</f>
        <v>1545631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41" x14ac:dyDescent="0.35">
      <c r="A33" s="2"/>
      <c r="C33" s="3"/>
      <c r="D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41" x14ac:dyDescent="0.35">
      <c r="A34" s="2" t="s">
        <v>2</v>
      </c>
      <c r="C34" t="s">
        <v>13</v>
      </c>
      <c r="F34" s="3"/>
      <c r="G34" s="3"/>
      <c r="H34" s="3"/>
      <c r="I34" s="3"/>
      <c r="J34" s="3"/>
      <c r="K34" s="3"/>
      <c r="L34" s="3" t="s">
        <v>13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41" ht="15" thickBot="1" x14ac:dyDescent="0.4">
      <c r="A35" s="404">
        <v>45178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41" x14ac:dyDescent="0.35">
      <c r="A36" s="358" t="s">
        <v>1008</v>
      </c>
      <c r="B36" s="37" t="s">
        <v>337</v>
      </c>
      <c r="C36" s="38"/>
      <c r="D36" s="39">
        <v>2400000</v>
      </c>
      <c r="E36" s="40"/>
      <c r="F36" s="3"/>
      <c r="G36" s="3"/>
      <c r="H36" s="3" t="s">
        <v>13</v>
      </c>
      <c r="I36" s="3" t="s">
        <v>13</v>
      </c>
      <c r="J36" s="3"/>
      <c r="K36" s="3"/>
      <c r="L36" s="3"/>
      <c r="M36" s="3"/>
      <c r="N36" s="3"/>
      <c r="O36" s="3"/>
      <c r="P36" s="3" t="s">
        <v>13</v>
      </c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0</v>
      </c>
    </row>
    <row r="37" spans="1:41" x14ac:dyDescent="0.35">
      <c r="A37" s="41" t="s">
        <v>2184</v>
      </c>
      <c r="B37" t="s">
        <v>337</v>
      </c>
      <c r="C37" s="5">
        <v>45170</v>
      </c>
      <c r="D37" s="3">
        <v>270375</v>
      </c>
      <c r="E37" s="42"/>
      <c r="F37" s="3" t="s">
        <v>13</v>
      </c>
      <c r="G37" s="3"/>
      <c r="H37" s="3"/>
      <c r="I37" s="3"/>
      <c r="J37" s="3"/>
      <c r="K37" s="3"/>
      <c r="L37" s="3"/>
      <c r="M37" s="3" t="s">
        <v>13</v>
      </c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G37" s="3">
        <v>270375</v>
      </c>
      <c r="AH37" s="3"/>
      <c r="AI37" s="3"/>
      <c r="AK37" s="3">
        <f>SUM($F37:AJ37)</f>
        <v>270375</v>
      </c>
    </row>
    <row r="38" spans="1:41" x14ac:dyDescent="0.35">
      <c r="A38" s="41" t="s">
        <v>2262</v>
      </c>
      <c r="C38" s="5">
        <v>45196</v>
      </c>
      <c r="D38" s="399">
        <v>1462086</v>
      </c>
      <c r="E38" s="4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G38" s="399">
        <v>1462086</v>
      </c>
      <c r="AH38" s="3"/>
      <c r="AI38" s="3"/>
      <c r="AK38" s="3">
        <f>SUM($F38:AJ38)</f>
        <v>1462086</v>
      </c>
    </row>
    <row r="39" spans="1:41" x14ac:dyDescent="0.35">
      <c r="A39" s="343" t="s">
        <v>2175</v>
      </c>
      <c r="C39" s="5">
        <v>45142</v>
      </c>
      <c r="D39" s="3">
        <f>73780-2380</f>
        <v>71400</v>
      </c>
      <c r="E39" s="344" t="s">
        <v>4</v>
      </c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Y39" s="3"/>
      <c r="Z39" s="3"/>
      <c r="AA39" s="3"/>
      <c r="AB39" s="3"/>
      <c r="AC39" s="3"/>
      <c r="AD39" s="3"/>
      <c r="AE39" s="3"/>
      <c r="AG39" s="3">
        <f>73780-2380</f>
        <v>71400</v>
      </c>
      <c r="AH39" s="3"/>
      <c r="AI39" s="3"/>
      <c r="AJ39" s="3"/>
      <c r="AK39" s="3">
        <f>SUM($F39:AJ39)</f>
        <v>71400</v>
      </c>
      <c r="AL39" s="6" t="s">
        <v>13</v>
      </c>
      <c r="AN39" s="26"/>
      <c r="AO39" s="3"/>
    </row>
    <row r="40" spans="1:41" x14ac:dyDescent="0.35">
      <c r="A40" s="343" t="s">
        <v>2176</v>
      </c>
      <c r="C40" s="5">
        <v>45143</v>
      </c>
      <c r="D40" s="3">
        <v>6500</v>
      </c>
      <c r="E40" s="344" t="s">
        <v>4</v>
      </c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Y40" s="3"/>
      <c r="Z40" s="3"/>
      <c r="AA40" s="3"/>
      <c r="AB40" s="3"/>
      <c r="AC40" s="3"/>
      <c r="AD40" s="3"/>
      <c r="AE40" s="3"/>
      <c r="AG40" s="3">
        <v>6500</v>
      </c>
      <c r="AH40" s="3"/>
      <c r="AI40" s="3"/>
      <c r="AJ40" s="3"/>
      <c r="AK40" s="3">
        <f>SUM($F40:AJ40)</f>
        <v>6500</v>
      </c>
      <c r="AL40" s="6" t="s">
        <v>13</v>
      </c>
      <c r="AN40" s="26"/>
      <c r="AO40" s="3"/>
    </row>
    <row r="41" spans="1:41" x14ac:dyDescent="0.35">
      <c r="A41" s="343" t="s">
        <v>2177</v>
      </c>
      <c r="C41" s="5">
        <v>45142</v>
      </c>
      <c r="D41" s="3">
        <f>2.1*2*1250/9</f>
        <v>583.33333333333337</v>
      </c>
      <c r="E41" s="344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Y41" s="3"/>
      <c r="Z41" s="3"/>
      <c r="AA41" s="3"/>
      <c r="AB41" s="3"/>
      <c r="AC41" s="3"/>
      <c r="AD41" s="3"/>
      <c r="AE41" s="3"/>
      <c r="AG41" s="288">
        <v>583</v>
      </c>
      <c r="AH41" s="3"/>
      <c r="AI41" s="3"/>
      <c r="AJ41" s="3"/>
      <c r="AK41" s="3">
        <f>SUM($F41:AJ41)</f>
        <v>583</v>
      </c>
      <c r="AL41" s="6" t="s">
        <v>13</v>
      </c>
      <c r="AN41" s="26"/>
      <c r="AO41" s="3"/>
    </row>
    <row r="42" spans="1:41" x14ac:dyDescent="0.35">
      <c r="A42" s="343" t="s">
        <v>2178</v>
      </c>
      <c r="C42" s="5">
        <v>45142</v>
      </c>
      <c r="D42" s="3">
        <f>9.3*2*1250/9</f>
        <v>2583.3333333333335</v>
      </c>
      <c r="E42" s="344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Y42" s="3"/>
      <c r="Z42" s="3"/>
      <c r="AA42" s="3"/>
      <c r="AB42" s="3"/>
      <c r="AC42" s="3"/>
      <c r="AD42" s="3"/>
      <c r="AE42" s="3"/>
      <c r="AG42" s="288">
        <f>9.3*2*1250/9</f>
        <v>2583.3333333333335</v>
      </c>
      <c r="AH42" s="3"/>
      <c r="AI42" s="3"/>
      <c r="AJ42" s="3"/>
      <c r="AK42" s="3">
        <f>SUM($F42:AJ42)</f>
        <v>2583.3333333333335</v>
      </c>
      <c r="AL42" s="6" t="s">
        <v>13</v>
      </c>
      <c r="AN42" s="26"/>
      <c r="AO42" s="3"/>
    </row>
    <row r="43" spans="1:41" x14ac:dyDescent="0.35">
      <c r="A43" s="343" t="s">
        <v>2179</v>
      </c>
      <c r="C43" s="5">
        <v>45143</v>
      </c>
      <c r="D43" s="3">
        <f>8.8*2*1250/9</f>
        <v>2444.4444444444443</v>
      </c>
      <c r="E43" s="344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Y43" s="3"/>
      <c r="Z43" s="3"/>
      <c r="AA43" s="3"/>
      <c r="AB43" s="3"/>
      <c r="AC43" s="3"/>
      <c r="AD43" s="3"/>
      <c r="AE43" s="3"/>
      <c r="AG43" s="288">
        <f>8.8*2*1250/9</f>
        <v>2444.4444444444443</v>
      </c>
      <c r="AH43" s="3"/>
      <c r="AI43" s="3"/>
      <c r="AJ43" s="3"/>
      <c r="AK43" s="3">
        <f>SUM($F43:AJ43)</f>
        <v>2444.4444444444443</v>
      </c>
      <c r="AL43" s="6" t="s">
        <v>13</v>
      </c>
      <c r="AN43" s="26"/>
      <c r="AO43" s="3"/>
    </row>
    <row r="44" spans="1:41" x14ac:dyDescent="0.35">
      <c r="A44" s="343" t="s">
        <v>2180</v>
      </c>
      <c r="C44" s="5">
        <v>45142</v>
      </c>
      <c r="D44" s="3">
        <f>6.3*2*1250/9</f>
        <v>1750</v>
      </c>
      <c r="E44" s="344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Y44" s="3"/>
      <c r="Z44" s="3"/>
      <c r="AA44" s="3"/>
      <c r="AB44" s="3"/>
      <c r="AC44" s="3"/>
      <c r="AD44" s="3"/>
      <c r="AE44" s="3"/>
      <c r="AG44" s="288">
        <f>6.3*2*1250/9</f>
        <v>1750</v>
      </c>
      <c r="AH44" s="3"/>
      <c r="AI44" s="3"/>
      <c r="AJ44" s="3"/>
      <c r="AK44" s="3">
        <f>SUM($F44:AJ44)</f>
        <v>1750</v>
      </c>
      <c r="AL44" s="6" t="s">
        <v>13</v>
      </c>
      <c r="AN44" s="26"/>
      <c r="AO44" s="3"/>
    </row>
    <row r="45" spans="1:41" x14ac:dyDescent="0.35">
      <c r="A45" s="343" t="s">
        <v>2126</v>
      </c>
      <c r="C45" s="5">
        <v>45145</v>
      </c>
      <c r="D45" s="3">
        <v>5499</v>
      </c>
      <c r="E45" s="344" t="s">
        <v>4</v>
      </c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Y45" s="3"/>
      <c r="Z45" s="3"/>
      <c r="AA45" s="3"/>
      <c r="AB45" s="3"/>
      <c r="AC45" s="3"/>
      <c r="AD45" s="3"/>
      <c r="AE45" s="3"/>
      <c r="AG45" s="3">
        <v>5499</v>
      </c>
      <c r="AH45" s="3"/>
      <c r="AI45" s="3"/>
      <c r="AJ45" s="3"/>
      <c r="AK45" s="3">
        <f>SUM($F45:AJ45)</f>
        <v>5499</v>
      </c>
      <c r="AL45" s="6" t="s">
        <v>13</v>
      </c>
      <c r="AN45" s="26"/>
      <c r="AO45" s="3"/>
    </row>
    <row r="46" spans="1:41" x14ac:dyDescent="0.35">
      <c r="A46" s="343" t="s">
        <v>2186</v>
      </c>
      <c r="C46" s="5">
        <v>45146</v>
      </c>
      <c r="D46" s="3">
        <v>63074</v>
      </c>
      <c r="E46" s="344" t="s">
        <v>4</v>
      </c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B46" s="3"/>
      <c r="AC46" s="3"/>
      <c r="AD46" s="3"/>
      <c r="AE46" s="3"/>
      <c r="AG46" s="3">
        <v>63074</v>
      </c>
      <c r="AH46" s="3"/>
      <c r="AI46" s="3"/>
      <c r="AJ46" s="3"/>
      <c r="AK46" s="3">
        <f>SUM($F46:AJ46)</f>
        <v>63074</v>
      </c>
      <c r="AN46" s="26"/>
      <c r="AO46" s="3"/>
    </row>
    <row r="47" spans="1:41" x14ac:dyDescent="0.35">
      <c r="A47" s="343" t="s">
        <v>2190</v>
      </c>
      <c r="B47" t="s">
        <v>2189</v>
      </c>
      <c r="C47" s="5">
        <v>45148</v>
      </c>
      <c r="D47" s="3">
        <v>24900</v>
      </c>
      <c r="E47" s="344" t="s">
        <v>4</v>
      </c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Y47" s="3"/>
      <c r="Z47" s="3"/>
      <c r="AA47" s="3"/>
      <c r="AB47" s="3"/>
      <c r="AC47" s="3"/>
      <c r="AD47" s="3"/>
      <c r="AE47" s="3"/>
      <c r="AG47" s="3">
        <v>24900</v>
      </c>
      <c r="AH47" s="3"/>
      <c r="AI47" s="3"/>
      <c r="AJ47" s="3"/>
      <c r="AK47" s="3">
        <f>SUM($F47:AJ47)</f>
        <v>24900</v>
      </c>
      <c r="AL47" s="6" t="s">
        <v>13</v>
      </c>
      <c r="AN47" s="26"/>
      <c r="AO47" s="3"/>
    </row>
    <row r="48" spans="1:41" x14ac:dyDescent="0.35">
      <c r="A48" s="343" t="s">
        <v>1161</v>
      </c>
      <c r="B48" t="s">
        <v>2192</v>
      </c>
      <c r="C48" s="5">
        <v>45152</v>
      </c>
      <c r="D48" s="3">
        <v>24460</v>
      </c>
      <c r="E48" s="344" t="s">
        <v>4</v>
      </c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Y48" s="3"/>
      <c r="Z48" s="3"/>
      <c r="AA48" s="3"/>
      <c r="AB48" s="3"/>
      <c r="AC48" s="3"/>
      <c r="AD48" s="3"/>
      <c r="AE48" s="3"/>
      <c r="AG48" s="3">
        <v>24460</v>
      </c>
      <c r="AH48" s="3"/>
      <c r="AI48" s="3"/>
      <c r="AJ48" s="3"/>
      <c r="AK48" s="3">
        <f>SUM($F48:AJ48)</f>
        <v>24460</v>
      </c>
      <c r="AL48" s="6" t="s">
        <v>13</v>
      </c>
      <c r="AN48" s="26"/>
      <c r="AO48" s="3"/>
    </row>
    <row r="49" spans="1:43" ht="15" thickBot="1" x14ac:dyDescent="0.4">
      <c r="A49" s="345" t="s">
        <v>2203</v>
      </c>
      <c r="B49" s="76" t="s">
        <v>2204</v>
      </c>
      <c r="C49" s="45">
        <v>45154</v>
      </c>
      <c r="D49" s="46">
        <f>130000*1.19</f>
        <v>154700</v>
      </c>
      <c r="E49" s="347" t="s">
        <v>503</v>
      </c>
      <c r="F49" s="3"/>
      <c r="H49" s="3"/>
      <c r="I49" s="3"/>
      <c r="J49" s="3"/>
      <c r="K49" s="3">
        <f>130000*1.19</f>
        <v>154700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Y49" s="3"/>
      <c r="Z49" s="3"/>
      <c r="AA49" s="3"/>
      <c r="AB49" s="3"/>
      <c r="AC49" s="3"/>
      <c r="AD49" s="3"/>
      <c r="AE49" s="3"/>
      <c r="AG49" s="3"/>
      <c r="AH49" s="3"/>
      <c r="AI49" s="3"/>
      <c r="AJ49" s="3"/>
      <c r="AK49" s="3">
        <f>SUM($F49:AJ49)</f>
        <v>154700</v>
      </c>
      <c r="AL49" s="6" t="s">
        <v>13</v>
      </c>
      <c r="AN49" s="26"/>
      <c r="AO49" s="3"/>
    </row>
    <row r="50" spans="1:43" x14ac:dyDescent="0.35">
      <c r="A50" s="343" t="s">
        <v>2230</v>
      </c>
      <c r="C50" s="5">
        <v>45170</v>
      </c>
      <c r="D50" s="3">
        <v>30000</v>
      </c>
      <c r="E50" s="344" t="s">
        <v>503</v>
      </c>
      <c r="F50" s="3">
        <v>30000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Y50" s="3"/>
      <c r="Z50" s="3"/>
      <c r="AA50" s="3"/>
      <c r="AB50" s="3"/>
      <c r="AC50" s="3"/>
      <c r="AD50" s="3"/>
      <c r="AE50" s="3"/>
      <c r="AG50" s="3"/>
      <c r="AH50" s="3"/>
      <c r="AI50" s="3"/>
      <c r="AJ50" s="3"/>
      <c r="AK50" s="3">
        <f>SUM($F50:AJ50)</f>
        <v>30000</v>
      </c>
      <c r="AL50" s="6" t="s">
        <v>81</v>
      </c>
      <c r="AN50" s="26"/>
      <c r="AO50" s="3"/>
    </row>
    <row r="51" spans="1:43" x14ac:dyDescent="0.35">
      <c r="A51" s="343" t="s">
        <v>2218</v>
      </c>
      <c r="C51" s="5">
        <v>45176</v>
      </c>
      <c r="D51" s="3">
        <v>13905</v>
      </c>
      <c r="E51" s="344"/>
      <c r="F51" s="3"/>
      <c r="H51" s="3"/>
      <c r="I51" s="3"/>
      <c r="J51" s="3">
        <v>13905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Y51" s="3"/>
      <c r="Z51" s="3"/>
      <c r="AA51" s="3"/>
      <c r="AB51" s="3"/>
      <c r="AC51" s="3"/>
      <c r="AD51" s="3"/>
      <c r="AE51" s="3"/>
      <c r="AG51" s="3"/>
      <c r="AH51" s="3"/>
      <c r="AI51" s="3"/>
      <c r="AJ51" s="3"/>
      <c r="AK51" s="3">
        <f>SUM($F51:AJ51)</f>
        <v>13905</v>
      </c>
      <c r="AL51" s="6" t="s">
        <v>1557</v>
      </c>
      <c r="AN51" s="26"/>
      <c r="AO51" s="3"/>
    </row>
    <row r="52" spans="1:43" x14ac:dyDescent="0.35">
      <c r="A52" s="343" t="s">
        <v>2219</v>
      </c>
      <c r="C52" s="5">
        <v>45189</v>
      </c>
      <c r="D52" s="3">
        <v>88930</v>
      </c>
      <c r="E52" s="344" t="s">
        <v>503</v>
      </c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Y52" s="3">
        <v>88930</v>
      </c>
      <c r="Z52" s="3"/>
      <c r="AA52" s="3"/>
      <c r="AB52" s="3"/>
      <c r="AC52" s="3"/>
      <c r="AD52" s="3"/>
      <c r="AE52" s="3"/>
      <c r="AG52" s="3"/>
      <c r="AH52" s="3"/>
      <c r="AI52" s="3"/>
      <c r="AJ52" s="3"/>
      <c r="AK52" s="3">
        <f>SUM($F52:AJ52)</f>
        <v>88930</v>
      </c>
      <c r="AN52" s="26"/>
      <c r="AO52" s="3"/>
    </row>
    <row r="53" spans="1:43" x14ac:dyDescent="0.35">
      <c r="A53" s="343" t="s">
        <v>2126</v>
      </c>
      <c r="C53" s="5">
        <v>45176</v>
      </c>
      <c r="D53" s="3">
        <v>5499</v>
      </c>
      <c r="E53" s="344" t="s">
        <v>4</v>
      </c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Y53" s="3"/>
      <c r="Z53" s="3"/>
      <c r="AA53" s="3"/>
      <c r="AB53" s="3"/>
      <c r="AC53" s="3"/>
      <c r="AD53" s="3"/>
      <c r="AE53" s="3"/>
      <c r="AG53" s="3">
        <v>5499</v>
      </c>
      <c r="AH53" s="3"/>
      <c r="AI53" s="3"/>
      <c r="AJ53" s="3"/>
      <c r="AK53" s="3">
        <f>SUM($F53:AJ53)</f>
        <v>5499</v>
      </c>
      <c r="AL53" s="6" t="s">
        <v>81</v>
      </c>
      <c r="AN53" s="26"/>
      <c r="AO53" s="3"/>
    </row>
    <row r="54" spans="1:43" x14ac:dyDescent="0.35">
      <c r="A54" s="343" t="s">
        <v>1161</v>
      </c>
      <c r="B54" t="s">
        <v>2238</v>
      </c>
      <c r="C54" s="5">
        <v>45176</v>
      </c>
      <c r="D54" s="3">
        <v>20820</v>
      </c>
      <c r="E54" s="344" t="s">
        <v>1704</v>
      </c>
      <c r="F54" s="3"/>
      <c r="H54" s="3"/>
      <c r="I54" s="3"/>
      <c r="J54" s="3"/>
      <c r="K54" s="3"/>
      <c r="L54" s="3">
        <v>20820</v>
      </c>
      <c r="M54" s="3"/>
      <c r="N54" s="3"/>
      <c r="O54" s="3"/>
      <c r="P54" s="3"/>
      <c r="Q54" s="3"/>
      <c r="R54" s="3"/>
      <c r="S54" s="3"/>
      <c r="T54" s="3"/>
      <c r="U54" s="3"/>
      <c r="V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20820</v>
      </c>
      <c r="AL54" s="6" t="s">
        <v>83</v>
      </c>
      <c r="AN54" s="26"/>
      <c r="AO54" s="3"/>
    </row>
    <row r="55" spans="1:43" x14ac:dyDescent="0.35">
      <c r="A55" s="343" t="s">
        <v>2246</v>
      </c>
      <c r="C55" s="5">
        <v>45181</v>
      </c>
      <c r="D55" s="3">
        <v>88786</v>
      </c>
      <c r="E55" s="344" t="s">
        <v>1704</v>
      </c>
      <c r="F55" s="3"/>
      <c r="H55" s="3"/>
      <c r="I55" s="3"/>
      <c r="J55" s="3"/>
      <c r="K55" s="3"/>
      <c r="L55" s="3"/>
      <c r="M55" s="3"/>
      <c r="N55" s="3"/>
      <c r="O55" s="3"/>
      <c r="P55" s="3"/>
      <c r="Q55" s="3">
        <v>88786</v>
      </c>
      <c r="R55" s="3"/>
      <c r="S55" s="3"/>
      <c r="T55" s="3"/>
      <c r="U55" s="3"/>
      <c r="V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f>SUM($F55:AJ55)</f>
        <v>88786</v>
      </c>
      <c r="AL55" s="6" t="s">
        <v>81</v>
      </c>
      <c r="AN55" s="26"/>
      <c r="AO55" s="3"/>
    </row>
    <row r="56" spans="1:43" x14ac:dyDescent="0.35">
      <c r="A56" s="343" t="s">
        <v>1161</v>
      </c>
      <c r="B56" t="s">
        <v>2247</v>
      </c>
      <c r="C56" s="5">
        <v>45182</v>
      </c>
      <c r="D56" s="3">
        <v>19330</v>
      </c>
      <c r="E56" s="344" t="s">
        <v>1704</v>
      </c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>
        <v>19330</v>
      </c>
      <c r="S56" s="3"/>
      <c r="T56" s="3"/>
      <c r="U56" s="3"/>
      <c r="V56" s="3"/>
      <c r="Y56" s="3" t="s">
        <v>13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f>SUM($F56:AJ56)</f>
        <v>19330</v>
      </c>
      <c r="AL56" s="6" t="s">
        <v>83</v>
      </c>
      <c r="AN56" s="26"/>
      <c r="AO56" s="3"/>
    </row>
    <row r="57" spans="1:43" x14ac:dyDescent="0.35">
      <c r="A57" s="343" t="s">
        <v>2265</v>
      </c>
      <c r="B57" t="s">
        <v>2264</v>
      </c>
      <c r="C57" s="5">
        <v>45198</v>
      </c>
      <c r="D57" s="3">
        <v>22630</v>
      </c>
      <c r="E57" s="344" t="s">
        <v>1704</v>
      </c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Y57" s="3" t="s">
        <v>13</v>
      </c>
      <c r="Z57" s="3"/>
      <c r="AA57" s="3"/>
      <c r="AB57" s="3"/>
      <c r="AC57" s="3"/>
      <c r="AD57" s="3"/>
      <c r="AE57" s="3"/>
      <c r="AF57" s="3"/>
      <c r="AG57" s="3"/>
      <c r="AH57" s="3">
        <v>22630</v>
      </c>
      <c r="AI57" s="3"/>
      <c r="AJ57" s="3"/>
      <c r="AK57" s="3">
        <f>SUM($F57:AJ57)</f>
        <v>22630</v>
      </c>
      <c r="AL57" s="6" t="s">
        <v>83</v>
      </c>
      <c r="AN57" s="26"/>
      <c r="AO57" s="3"/>
    </row>
    <row r="58" spans="1:43" x14ac:dyDescent="0.35">
      <c r="A58" s="343"/>
      <c r="C58" s="5"/>
      <c r="D58" s="3"/>
      <c r="E58" s="344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f>SUM($F58:AJ58)</f>
        <v>0</v>
      </c>
      <c r="AN58" s="26"/>
      <c r="AO58" s="3"/>
    </row>
    <row r="59" spans="1:43" x14ac:dyDescent="0.35">
      <c r="A59" s="343"/>
      <c r="C59" s="5"/>
      <c r="D59" s="3"/>
      <c r="E59" s="344"/>
      <c r="F59" s="3"/>
      <c r="H59" s="3"/>
      <c r="I59" s="3"/>
      <c r="J59" s="3"/>
      <c r="K59" s="3"/>
      <c r="L59" s="3"/>
      <c r="M59" s="3"/>
      <c r="N59" s="3"/>
      <c r="O59" s="3"/>
      <c r="P59" s="3"/>
      <c r="Q59" s="3" t="s">
        <v>13</v>
      </c>
      <c r="R59" s="3"/>
      <c r="S59" s="3"/>
      <c r="T59" s="3"/>
      <c r="U59" s="3"/>
      <c r="V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f>SUM($F59:AJ59)</f>
        <v>0</v>
      </c>
      <c r="AN59" s="26"/>
      <c r="AO59" s="3"/>
    </row>
    <row r="60" spans="1:43" x14ac:dyDescent="0.35">
      <c r="A60" s="343"/>
      <c r="C60" s="5"/>
      <c r="D60" s="3"/>
      <c r="E60" s="344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f>SUM($F60:AJ60)</f>
        <v>0</v>
      </c>
      <c r="AN60" s="26"/>
      <c r="AO60" s="3"/>
    </row>
    <row r="61" spans="1:43" x14ac:dyDescent="0.35">
      <c r="A61" s="343"/>
      <c r="C61" s="5"/>
      <c r="D61" s="3"/>
      <c r="E61" s="344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f>SUM($F61:AJ61)</f>
        <v>0</v>
      </c>
      <c r="AN61" s="26" t="s">
        <v>13</v>
      </c>
      <c r="AO61" s="3"/>
    </row>
    <row r="62" spans="1:43" x14ac:dyDescent="0.35">
      <c r="A62" s="343"/>
      <c r="B62" s="24"/>
      <c r="C62" s="5" t="s">
        <v>13</v>
      </c>
      <c r="D62" s="3" t="s">
        <v>13</v>
      </c>
      <c r="E62" s="34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 t="s">
        <v>13</v>
      </c>
      <c r="X62" s="3" t="s">
        <v>13</v>
      </c>
      <c r="Y62" s="3" t="s">
        <v>13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f>SUM($F62:AJ62)</f>
        <v>0</v>
      </c>
      <c r="AN62" s="26" t="s">
        <v>13</v>
      </c>
      <c r="AO62" s="3"/>
    </row>
    <row r="63" spans="1:43" ht="15" thickBot="1" x14ac:dyDescent="0.4">
      <c r="A63" s="43" t="s">
        <v>2299</v>
      </c>
      <c r="B63" s="76" t="s">
        <v>337</v>
      </c>
      <c r="C63" s="45">
        <v>45199</v>
      </c>
      <c r="D63" s="46">
        <f>+AK31*0.17</f>
        <v>38119.61</v>
      </c>
      <c r="E63" s="47"/>
      <c r="F63" s="3"/>
      <c r="G63" s="3" t="s">
        <v>13</v>
      </c>
      <c r="H63" s="3" t="s">
        <v>13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f>SUM($F63:AJ63)</f>
        <v>0</v>
      </c>
      <c r="AL63" s="6" t="s">
        <v>1846</v>
      </c>
      <c r="AM63" s="6" t="s">
        <v>13</v>
      </c>
      <c r="AN63" s="26" t="s">
        <v>13</v>
      </c>
      <c r="AO63" s="3"/>
    </row>
    <row r="64" spans="1:43" x14ac:dyDescent="0.35">
      <c r="A64" s="4" t="s">
        <v>2153</v>
      </c>
      <c r="B64" s="372">
        <f>84.052*3/8</f>
        <v>31.519500000000001</v>
      </c>
      <c r="C64" s="67" t="s">
        <v>13</v>
      </c>
      <c r="D64" s="3">
        <f>+B64*C65</f>
        <v>1136541.47802</v>
      </c>
      <c r="E64" s="153"/>
      <c r="F64" s="3"/>
      <c r="G64" s="3"/>
      <c r="H64" s="3" t="s">
        <v>13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Z64" s="3"/>
      <c r="AA64" s="3"/>
      <c r="AB64" s="3"/>
      <c r="AC64" s="3"/>
      <c r="AD64" s="3"/>
      <c r="AE64" s="3"/>
      <c r="AF64" s="3" t="s">
        <v>13</v>
      </c>
      <c r="AG64" s="3" t="s">
        <v>13</v>
      </c>
      <c r="AH64" s="3" t="s">
        <v>13</v>
      </c>
      <c r="AI64" s="3"/>
      <c r="AJ64" s="3" t="s">
        <v>13</v>
      </c>
      <c r="AK64" s="3">
        <f>SUM($F64:AJ64)</f>
        <v>0</v>
      </c>
      <c r="AL64" s="22" t="s">
        <v>13</v>
      </c>
      <c r="AM64" s="6" t="s">
        <v>13</v>
      </c>
      <c r="AO64" s="26" t="s">
        <v>13</v>
      </c>
      <c r="AQ64" s="6" t="s">
        <v>1675</v>
      </c>
    </row>
    <row r="65" spans="1:44" ht="15" thickBot="1" x14ac:dyDescent="0.4">
      <c r="A65" s="4" t="s">
        <v>13</v>
      </c>
      <c r="B65" s="67" t="s">
        <v>933</v>
      </c>
      <c r="C65" s="236">
        <v>36058.36</v>
      </c>
      <c r="D65" s="3"/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>
        <f>SUM($F65:AJ65)</f>
        <v>0</v>
      </c>
      <c r="AL65" s="22"/>
      <c r="AO65" s="26" t="s">
        <v>13</v>
      </c>
      <c r="AP65" s="64" t="e">
        <f>+[2]Hoja1!$L$297+[3]Hoja1!#REF!</f>
        <v>#REF!</v>
      </c>
      <c r="AQ65" s="64" t="e">
        <f>+[3]Hoja1!#REF!</f>
        <v>#REF!</v>
      </c>
      <c r="AR65" s="64" t="e">
        <f>+AQ65+'Mar-23'!AR96</f>
        <v>#REF!</v>
      </c>
    </row>
    <row r="66" spans="1:44" x14ac:dyDescent="0.35">
      <c r="A66" s="371" t="s">
        <v>255</v>
      </c>
      <c r="B66" s="372">
        <f>84.052-31.52-31.52</f>
        <v>21.012000000000011</v>
      </c>
      <c r="C66" s="67"/>
      <c r="D66" s="3"/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f>SUM($F66:AJ66)</f>
        <v>0</v>
      </c>
      <c r="AL66" s="22"/>
      <c r="AO66" s="11" t="s">
        <v>91</v>
      </c>
      <c r="AP66" s="53">
        <f>+D31/1.19</f>
        <v>1037150.4201680673</v>
      </c>
      <c r="AQ66" s="53">
        <f>+(SUMIF(E10:E29,"MD",D10:D29)+SUMIF(E10:E29,"MK",D10:D29)/1.19)</f>
        <v>174378</v>
      </c>
    </row>
    <row r="67" spans="1:44" x14ac:dyDescent="0.35">
      <c r="A67" s="3" t="s">
        <v>13</v>
      </c>
      <c r="B67" s="24"/>
      <c r="D67" s="3"/>
      <c r="E67" s="15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>
        <f>SUM($F67:AJ67)</f>
        <v>0</v>
      </c>
      <c r="AL67" s="22"/>
      <c r="AO67" s="14" t="s">
        <v>1558</v>
      </c>
      <c r="AP67" s="15">
        <f ca="1">+SUMIF(AL39:AL70,"CD",D39:D63)/1.19</f>
        <v>52756.302521008409</v>
      </c>
      <c r="AQ67" s="15" t="e">
        <f ca="1">+AP67*AQ$65/AP$65</f>
        <v>#REF!</v>
      </c>
    </row>
    <row r="68" spans="1:44" x14ac:dyDescent="0.35">
      <c r="A68" s="4"/>
      <c r="B68" s="24"/>
      <c r="C68" s="67"/>
      <c r="D68" s="3"/>
      <c r="E68" s="153"/>
      <c r="F68" s="3" t="s">
        <v>13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>
        <f>SUM($F68:AJ68)</f>
        <v>0</v>
      </c>
      <c r="AL68" s="22"/>
      <c r="AO68" s="14" t="s">
        <v>1559</v>
      </c>
      <c r="AP68" s="15">
        <f ca="1">+AP66-AP67</f>
        <v>984394.11764705891</v>
      </c>
      <c r="AQ68" s="15" t="e">
        <f ca="1">+AQ66-AQ67</f>
        <v>#REF!</v>
      </c>
    </row>
    <row r="69" spans="1:44" x14ac:dyDescent="0.35">
      <c r="A69" s="4"/>
      <c r="B69" s="24"/>
      <c r="C69" s="67"/>
      <c r="D69" s="3"/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>
        <f>SUM($F69:AJ69)</f>
        <v>0</v>
      </c>
      <c r="AL69" s="22"/>
      <c r="AO69" s="14" t="s">
        <v>1560</v>
      </c>
      <c r="AP69" s="327">
        <f ca="1">+AP68/AP66</f>
        <v>0.94913341257436945</v>
      </c>
      <c r="AQ69" s="327" t="e">
        <f ca="1">+AQ68/AQ66</f>
        <v>#REF!</v>
      </c>
    </row>
    <row r="70" spans="1:44" x14ac:dyDescent="0.35">
      <c r="A70" s="4"/>
      <c r="B70" s="67"/>
      <c r="C70" s="236"/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J70" s="3"/>
      <c r="AK70" s="3"/>
      <c r="AL70" s="22" t="s">
        <v>1388</v>
      </c>
      <c r="AM70" s="6" t="s">
        <v>1430</v>
      </c>
      <c r="AO70" s="14" t="s">
        <v>81</v>
      </c>
      <c r="AP70" s="15">
        <f>+SUMIF(AL39:AL62,"GAV",D39:D62)/1.19+SUMIF(AL39:AL62,"REM",D39:D62)</f>
        <v>104441.17647058824</v>
      </c>
      <c r="AQ70" s="15" t="e">
        <f>+AP70*AQ$65/AP$65</f>
        <v>#REF!</v>
      </c>
    </row>
    <row r="71" spans="1:44" x14ac:dyDescent="0.35">
      <c r="A71" s="2" t="s">
        <v>9</v>
      </c>
      <c r="D71" s="72">
        <f>SUM(D36:D69)-D36</f>
        <v>3554916.1991311107</v>
      </c>
      <c r="F71" s="3">
        <f t="shared" ref="F71:AJ71" si="2">SUM(F36:F70)</f>
        <v>30000</v>
      </c>
      <c r="G71" s="3">
        <f t="shared" si="2"/>
        <v>0</v>
      </c>
      <c r="H71" s="3">
        <f t="shared" si="2"/>
        <v>0</v>
      </c>
      <c r="I71" s="3">
        <f t="shared" si="2"/>
        <v>0</v>
      </c>
      <c r="J71" s="3">
        <f t="shared" si="2"/>
        <v>13905</v>
      </c>
      <c r="K71" s="3">
        <f t="shared" si="2"/>
        <v>154700</v>
      </c>
      <c r="L71" s="3">
        <f t="shared" si="2"/>
        <v>20820</v>
      </c>
      <c r="M71" s="3">
        <f t="shared" si="2"/>
        <v>0</v>
      </c>
      <c r="N71" s="3">
        <f t="shared" si="2"/>
        <v>0</v>
      </c>
      <c r="O71" s="3">
        <f t="shared" si="2"/>
        <v>0</v>
      </c>
      <c r="P71" s="3">
        <f t="shared" si="2"/>
        <v>0</v>
      </c>
      <c r="Q71" s="3">
        <f t="shared" si="2"/>
        <v>88786</v>
      </c>
      <c r="R71" s="3">
        <f t="shared" si="2"/>
        <v>19330</v>
      </c>
      <c r="S71" s="3">
        <f t="shared" si="2"/>
        <v>0</v>
      </c>
      <c r="T71" s="3">
        <f t="shared" si="2"/>
        <v>0</v>
      </c>
      <c r="U71" s="3">
        <f t="shared" si="2"/>
        <v>0</v>
      </c>
      <c r="V71" s="3">
        <f t="shared" si="2"/>
        <v>0</v>
      </c>
      <c r="W71" s="3">
        <f t="shared" si="2"/>
        <v>0</v>
      </c>
      <c r="X71" s="3">
        <f t="shared" si="2"/>
        <v>0</v>
      </c>
      <c r="Y71" s="3">
        <f t="shared" si="2"/>
        <v>88930</v>
      </c>
      <c r="Z71" s="3">
        <f t="shared" si="2"/>
        <v>0</v>
      </c>
      <c r="AA71" s="3">
        <f t="shared" si="2"/>
        <v>0</v>
      </c>
      <c r="AB71" s="3">
        <f t="shared" si="2"/>
        <v>0</v>
      </c>
      <c r="AC71" s="3">
        <f t="shared" si="2"/>
        <v>0</v>
      </c>
      <c r="AD71" s="3">
        <f t="shared" si="2"/>
        <v>0</v>
      </c>
      <c r="AE71" s="3">
        <f t="shared" si="2"/>
        <v>0</v>
      </c>
      <c r="AF71" s="3">
        <f t="shared" si="2"/>
        <v>0</v>
      </c>
      <c r="AG71" s="3">
        <f t="shared" si="2"/>
        <v>1941153.7777777778</v>
      </c>
      <c r="AH71" s="3">
        <f t="shared" si="2"/>
        <v>22630</v>
      </c>
      <c r="AI71" s="3">
        <f t="shared" si="2"/>
        <v>0</v>
      </c>
      <c r="AJ71" s="3">
        <f t="shared" si="2"/>
        <v>0</v>
      </c>
      <c r="AK71" s="72">
        <f>SUM(AK36:AK69)-AK36</f>
        <v>2380254.777777778</v>
      </c>
      <c r="AL71" s="324">
        <f>+D71-AK71</f>
        <v>1174661.4213533327</v>
      </c>
      <c r="AM71" s="324">
        <f>+AJ72+AL31-AL71-1200000</f>
        <v>1234355.3263574187</v>
      </c>
      <c r="AO71" s="14" t="s">
        <v>1561</v>
      </c>
      <c r="AP71" s="15">
        <f ca="1">+AP68-AP70</f>
        <v>879952.94117647072</v>
      </c>
      <c r="AQ71" s="15" t="e">
        <f ca="1">+AQ68-AQ70</f>
        <v>#REF!</v>
      </c>
    </row>
    <row r="72" spans="1:44" x14ac:dyDescent="0.35">
      <c r="A72" t="s">
        <v>8</v>
      </c>
      <c r="F72" s="3">
        <f t="shared" ref="F72:AJ72" si="3">+F31+F3-F71</f>
        <v>4413640.5254885294</v>
      </c>
      <c r="G72" s="3">
        <f t="shared" si="3"/>
        <v>4413640.5254885294</v>
      </c>
      <c r="H72" s="3">
        <f t="shared" si="3"/>
        <v>4413640.5254885294</v>
      </c>
      <c r="I72" s="3">
        <f t="shared" si="3"/>
        <v>4413640.5254885294</v>
      </c>
      <c r="J72" s="3">
        <f t="shared" si="3"/>
        <v>4445590.5254885294</v>
      </c>
      <c r="K72" s="3">
        <f t="shared" si="3"/>
        <v>4290890.5254885294</v>
      </c>
      <c r="L72" s="3">
        <f t="shared" si="3"/>
        <v>4361259.5254885294</v>
      </c>
      <c r="M72" s="3">
        <f t="shared" si="3"/>
        <v>4361259.5254885294</v>
      </c>
      <c r="N72" s="3">
        <f t="shared" si="3"/>
        <v>4361259.5254885294</v>
      </c>
      <c r="O72" s="3">
        <f t="shared" si="3"/>
        <v>4361259.5254885294</v>
      </c>
      <c r="P72" s="3">
        <f t="shared" si="3"/>
        <v>4361259.5254885294</v>
      </c>
      <c r="Q72" s="3">
        <f t="shared" si="3"/>
        <v>4272473.5254885294</v>
      </c>
      <c r="R72" s="3">
        <f t="shared" si="3"/>
        <v>4253143.5254885294</v>
      </c>
      <c r="S72" s="3">
        <f t="shared" si="3"/>
        <v>4253143.5254885294</v>
      </c>
      <c r="T72" s="3">
        <f t="shared" si="3"/>
        <v>4253143.5254885294</v>
      </c>
      <c r="U72" s="3">
        <f t="shared" si="3"/>
        <v>4253143.5254885294</v>
      </c>
      <c r="V72" s="3">
        <f t="shared" si="3"/>
        <v>4253143.5254885294</v>
      </c>
      <c r="W72" s="3">
        <f t="shared" si="3"/>
        <v>4253143.5254885294</v>
      </c>
      <c r="X72" s="3">
        <f t="shared" si="3"/>
        <v>4253143.5254885294</v>
      </c>
      <c r="Y72" s="3">
        <f t="shared" si="3"/>
        <v>4164213.5254885294</v>
      </c>
      <c r="Z72" s="3">
        <f t="shared" si="3"/>
        <v>4164213.5254885294</v>
      </c>
      <c r="AA72" s="3">
        <f t="shared" si="3"/>
        <v>4164213.5254885294</v>
      </c>
      <c r="AB72" s="3">
        <f t="shared" si="3"/>
        <v>4164213.5254885294</v>
      </c>
      <c r="AC72" s="3">
        <f t="shared" si="3"/>
        <v>4164213.5254885294</v>
      </c>
      <c r="AD72" s="3">
        <f t="shared" si="3"/>
        <v>4251402.5254885294</v>
      </c>
      <c r="AE72" s="3">
        <f t="shared" si="3"/>
        <v>4251402.5254885294</v>
      </c>
      <c r="AF72" s="3">
        <f t="shared" si="3"/>
        <v>4251402.5254885294</v>
      </c>
      <c r="AG72" s="3">
        <f t="shared" si="3"/>
        <v>2310248.7477107514</v>
      </c>
      <c r="AH72" s="3">
        <f t="shared" si="3"/>
        <v>2287618.7477107514</v>
      </c>
      <c r="AI72" s="3">
        <f t="shared" si="3"/>
        <v>2287618.7477107514</v>
      </c>
      <c r="AJ72" s="3">
        <f t="shared" si="3"/>
        <v>2287618.7477107514</v>
      </c>
      <c r="AK72" s="3" t="s">
        <v>13</v>
      </c>
      <c r="AM72" s="22" t="s">
        <v>13</v>
      </c>
      <c r="AO72" s="14" t="s">
        <v>1563</v>
      </c>
      <c r="AP72" s="15">
        <f>+SUMIF(AL39:AL64,"GF",D39:D64)</f>
        <v>13905</v>
      </c>
      <c r="AQ72" s="15">
        <v>0</v>
      </c>
    </row>
    <row r="73" spans="1:44" x14ac:dyDescent="0.35">
      <c r="F73" s="3"/>
      <c r="G73" s="3"/>
      <c r="H73" s="3"/>
      <c r="I73" s="3" t="s">
        <v>13</v>
      </c>
      <c r="J73" s="3"/>
      <c r="K73" s="3" t="s">
        <v>13</v>
      </c>
      <c r="L73" s="3"/>
      <c r="M73" s="3"/>
      <c r="N73" s="3"/>
      <c r="O73" s="3"/>
      <c r="P73" s="3" t="s">
        <v>13</v>
      </c>
      <c r="Q73" s="3"/>
      <c r="R73" s="3"/>
      <c r="S73" s="3"/>
      <c r="T73" s="3" t="s">
        <v>13</v>
      </c>
      <c r="U73" s="3"/>
      <c r="V73" s="3"/>
      <c r="W73" s="3"/>
      <c r="Y73" s="3" t="s">
        <v>13</v>
      </c>
      <c r="Z73" s="3" t="s">
        <v>13</v>
      </c>
      <c r="AA73" s="3" t="s">
        <v>13</v>
      </c>
      <c r="AB73" s="3" t="s">
        <v>13</v>
      </c>
      <c r="AO73" s="14" t="s">
        <v>82</v>
      </c>
      <c r="AP73" s="15">
        <v>0</v>
      </c>
      <c r="AQ73" s="15">
        <f>+SUMIF(AL39:AL64,"AF",D39:D64)/1.19</f>
        <v>0</v>
      </c>
    </row>
    <row r="74" spans="1:44" ht="15" thickBot="1" x14ac:dyDescent="0.4">
      <c r="F74" s="3" t="s">
        <v>13</v>
      </c>
      <c r="G74" s="3" t="s">
        <v>13</v>
      </c>
      <c r="H74" s="3" t="s">
        <v>13</v>
      </c>
      <c r="I74" s="3"/>
      <c r="J74" s="3"/>
      <c r="K74" s="3"/>
      <c r="L74" s="3"/>
      <c r="M74" s="3"/>
      <c r="N74" s="3"/>
      <c r="O74" s="3"/>
      <c r="P74" s="3" t="s">
        <v>13</v>
      </c>
      <c r="Q74" s="3" t="s">
        <v>13</v>
      </c>
      <c r="R74" s="3" t="s">
        <v>13</v>
      </c>
      <c r="S74" s="3"/>
      <c r="T74" s="3"/>
      <c r="U74" s="3" t="s">
        <v>13</v>
      </c>
      <c r="V74" s="3"/>
      <c r="W74" s="3"/>
      <c r="AB74" s="3" t="s">
        <v>13</v>
      </c>
      <c r="AG74" s="3" t="s">
        <v>13</v>
      </c>
      <c r="AJ74" s="3" t="s">
        <v>13</v>
      </c>
      <c r="AO74" s="16"/>
      <c r="AP74" s="19">
        <f ca="1">+AP71-AP72-AP73</f>
        <v>866047.94117647072</v>
      </c>
      <c r="AQ74" s="19" t="e">
        <f ca="1">+AQ71-AQ72-AQ73</f>
        <v>#REF!</v>
      </c>
    </row>
    <row r="75" spans="1:44" x14ac:dyDescent="0.35">
      <c r="A75" t="s">
        <v>2163</v>
      </c>
      <c r="B75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75" s="3" t="e">
        <f>+B75*0.16</f>
        <v>#REF!</v>
      </c>
      <c r="E75" s="6" t="s">
        <v>13</v>
      </c>
      <c r="F75" s="3"/>
      <c r="G75" s="3" t="s">
        <v>13</v>
      </c>
      <c r="H75" s="3" t="s">
        <v>13</v>
      </c>
      <c r="I75" s="3"/>
      <c r="J75" s="3"/>
      <c r="K75" s="3"/>
      <c r="L75" s="3"/>
      <c r="M75" s="3"/>
      <c r="N75" s="3"/>
      <c r="O75" s="3"/>
      <c r="W75" s="3"/>
      <c r="AB75" s="3" t="s">
        <v>13</v>
      </c>
      <c r="AG75" s="3" t="s">
        <v>13</v>
      </c>
      <c r="AJ75" s="3" t="s">
        <v>13</v>
      </c>
      <c r="AO75" t="s">
        <v>1961</v>
      </c>
      <c r="AP75" s="26">
        <f ca="1">+AP$74+'May-23'!AP82</f>
        <v>6492439.6008759942</v>
      </c>
      <c r="AQ75" s="3" t="e">
        <f ca="1">+AQ$74+'May-23'!AQ82</f>
        <v>#REF!</v>
      </c>
    </row>
    <row r="76" spans="1:44" x14ac:dyDescent="0.35">
      <c r="F76" s="3"/>
      <c r="G76" s="3" t="s">
        <v>13</v>
      </c>
      <c r="H76" s="3"/>
      <c r="I76" s="3"/>
      <c r="J76" s="3"/>
      <c r="K76" s="3"/>
      <c r="L76" s="3"/>
      <c r="M76" s="3"/>
      <c r="N76" s="3"/>
      <c r="O76" s="3"/>
      <c r="W76" s="3" t="s">
        <v>13</v>
      </c>
      <c r="AB76" s="3" t="s">
        <v>13</v>
      </c>
      <c r="AG76" s="3" t="s">
        <v>13</v>
      </c>
      <c r="AJ76" s="3" t="s">
        <v>13</v>
      </c>
      <c r="AO76" t="s">
        <v>1960</v>
      </c>
      <c r="AP76" s="26">
        <f ca="1">+AP$74+'May-23'!AP83</f>
        <v>8088577.5032537021</v>
      </c>
      <c r="AQ76" s="3" t="e">
        <f ca="1">+AQ$74+'May-23'!AQ83</f>
        <v>#REF!</v>
      </c>
    </row>
    <row r="77" spans="1:44" x14ac:dyDescent="0.35">
      <c r="A77" t="s">
        <v>13</v>
      </c>
      <c r="F77" s="3" t="s">
        <v>13</v>
      </c>
      <c r="G77" s="3" t="s">
        <v>13</v>
      </c>
      <c r="H77" s="3"/>
      <c r="I77" s="3"/>
      <c r="J77" s="3"/>
      <c r="K77" s="3"/>
      <c r="L77" s="3"/>
      <c r="M77" s="3">
        <v>538500</v>
      </c>
      <c r="N77" s="3"/>
      <c r="O77" s="3"/>
      <c r="W77" s="3"/>
      <c r="AB77" s="3" t="s">
        <v>13</v>
      </c>
      <c r="AG77" s="3" t="s">
        <v>13</v>
      </c>
      <c r="AJ77" s="3" t="s">
        <v>13</v>
      </c>
    </row>
    <row r="78" spans="1:44" x14ac:dyDescent="0.35">
      <c r="B78" t="s">
        <v>13</v>
      </c>
      <c r="F78" s="3" t="s">
        <v>13</v>
      </c>
      <c r="G78" s="3" t="s">
        <v>13</v>
      </c>
      <c r="H78" s="3"/>
      <c r="I78" s="3"/>
      <c r="J78" s="3"/>
      <c r="K78" s="3"/>
      <c r="L78" s="3" t="s">
        <v>13</v>
      </c>
      <c r="M78" s="3">
        <v>682100</v>
      </c>
      <c r="N78" s="3"/>
      <c r="O78" s="3"/>
      <c r="W78" s="3"/>
      <c r="AB78" s="3" t="s">
        <v>13</v>
      </c>
      <c r="AG78" s="3" t="s">
        <v>13</v>
      </c>
      <c r="AJ78" s="3" t="s">
        <v>13</v>
      </c>
      <c r="AL78"/>
      <c r="AM78"/>
    </row>
    <row r="79" spans="1:44" x14ac:dyDescent="0.35">
      <c r="F79" s="3"/>
      <c r="G79" s="3" t="s">
        <v>13</v>
      </c>
      <c r="H79" s="3"/>
      <c r="I79" s="3"/>
      <c r="J79" s="3"/>
      <c r="K79" s="3"/>
      <c r="L79" s="3"/>
      <c r="M79" s="3">
        <f>SUM(M77:M78)</f>
        <v>1220600</v>
      </c>
      <c r="AG79" s="3" t="s">
        <v>13</v>
      </c>
      <c r="AJ79" s="3" t="s">
        <v>13</v>
      </c>
      <c r="AL79"/>
      <c r="AM79"/>
    </row>
    <row r="80" spans="1:44" x14ac:dyDescent="0.35">
      <c r="F80" s="3"/>
      <c r="G80" s="3" t="s">
        <v>13</v>
      </c>
      <c r="H80" s="3"/>
      <c r="I80" s="3"/>
      <c r="J80" s="3"/>
      <c r="K80" s="3"/>
      <c r="L80" s="3"/>
      <c r="AB80" t="s">
        <v>13</v>
      </c>
      <c r="AG80" s="3" t="s">
        <v>13</v>
      </c>
      <c r="AJ80" s="3" t="s">
        <v>13</v>
      </c>
      <c r="AL80"/>
      <c r="AM80"/>
      <c r="AQ80" t="s">
        <v>13</v>
      </c>
    </row>
    <row r="81" spans="2:39" x14ac:dyDescent="0.35">
      <c r="F81" s="3"/>
      <c r="G81" s="3" t="s">
        <v>13</v>
      </c>
      <c r="H81" s="3"/>
      <c r="I81" s="3"/>
      <c r="J81" s="3"/>
      <c r="K81" s="3"/>
      <c r="L81" s="3"/>
      <c r="AG81" s="3" t="s">
        <v>13</v>
      </c>
      <c r="AJ81" s="3" t="s">
        <v>13</v>
      </c>
      <c r="AL81"/>
      <c r="AM81"/>
    </row>
    <row r="82" spans="2:39" x14ac:dyDescent="0.35">
      <c r="F82" s="3"/>
      <c r="G82" s="3" t="s">
        <v>13</v>
      </c>
      <c r="H82" s="3"/>
      <c r="I82" s="3"/>
      <c r="J82" s="3"/>
      <c r="K82" s="3"/>
      <c r="L82" s="3"/>
      <c r="AG82" s="3" t="s">
        <v>13</v>
      </c>
      <c r="AJ82" s="3" t="s">
        <v>13</v>
      </c>
      <c r="AL82"/>
      <c r="AM82"/>
    </row>
    <row r="83" spans="2:39" x14ac:dyDescent="0.35">
      <c r="F83" s="3"/>
      <c r="G83" s="3" t="s">
        <v>13</v>
      </c>
      <c r="H83" s="3"/>
      <c r="I83" s="3"/>
      <c r="J83" s="3"/>
      <c r="K83" s="3"/>
      <c r="L83" s="3"/>
      <c r="AG83" s="3" t="s">
        <v>13</v>
      </c>
      <c r="AJ83" s="3" t="s">
        <v>13</v>
      </c>
      <c r="AL83"/>
      <c r="AM83"/>
    </row>
    <row r="84" spans="2:39" x14ac:dyDescent="0.35">
      <c r="B84" t="s">
        <v>13</v>
      </c>
      <c r="F84" s="3"/>
      <c r="G84" s="3" t="s">
        <v>13</v>
      </c>
      <c r="H84" s="3"/>
      <c r="I84" s="3"/>
      <c r="J84" s="3"/>
      <c r="K84" s="3"/>
      <c r="L84" s="3"/>
      <c r="AG84" s="3" t="s">
        <v>13</v>
      </c>
      <c r="AJ84" s="3" t="s">
        <v>13</v>
      </c>
      <c r="AL84"/>
      <c r="AM84"/>
    </row>
    <row r="85" spans="2:39" x14ac:dyDescent="0.35">
      <c r="B85" t="s">
        <v>13</v>
      </c>
      <c r="F85" s="3"/>
      <c r="G85" s="3" t="s">
        <v>13</v>
      </c>
      <c r="H85" s="3"/>
      <c r="I85" s="3"/>
      <c r="J85" s="3"/>
      <c r="K85" s="3"/>
      <c r="L85" s="3"/>
      <c r="AG85" s="3" t="s">
        <v>13</v>
      </c>
      <c r="AJ85" s="3" t="s">
        <v>13</v>
      </c>
      <c r="AL85"/>
      <c r="AM85"/>
    </row>
    <row r="86" spans="2:39" x14ac:dyDescent="0.35">
      <c r="B86" t="s">
        <v>13</v>
      </c>
      <c r="F86" s="3"/>
      <c r="G86" s="3" t="s">
        <v>13</v>
      </c>
      <c r="H86" s="3"/>
      <c r="I86" s="3"/>
      <c r="J86" s="3"/>
      <c r="K86" s="3"/>
      <c r="L86" s="3"/>
      <c r="AG86" s="3" t="s">
        <v>13</v>
      </c>
      <c r="AJ86" s="3" t="s">
        <v>13</v>
      </c>
      <c r="AL86"/>
      <c r="AM86"/>
    </row>
    <row r="87" spans="2:39" x14ac:dyDescent="0.35">
      <c r="B87" t="s">
        <v>13</v>
      </c>
      <c r="F87" s="3"/>
      <c r="G87" s="3" t="s">
        <v>13</v>
      </c>
      <c r="H87" s="3"/>
      <c r="I87" s="3"/>
      <c r="J87" s="3"/>
      <c r="K87" s="3"/>
      <c r="L87" s="3"/>
      <c r="AG87" s="3" t="s">
        <v>13</v>
      </c>
      <c r="AJ87" s="3" t="s">
        <v>13</v>
      </c>
      <c r="AL87"/>
      <c r="AM87"/>
    </row>
    <row r="88" spans="2:39" x14ac:dyDescent="0.35">
      <c r="B88" t="s">
        <v>13</v>
      </c>
      <c r="F88" s="3"/>
      <c r="G88" s="3" t="s">
        <v>13</v>
      </c>
      <c r="H88" s="3"/>
      <c r="I88" s="3"/>
      <c r="J88" s="3"/>
      <c r="K88" s="3"/>
      <c r="L88" s="3"/>
      <c r="AG88" s="3" t="s">
        <v>13</v>
      </c>
      <c r="AJ88" s="3" t="s">
        <v>13</v>
      </c>
      <c r="AL88"/>
      <c r="AM88"/>
    </row>
    <row r="89" spans="2:39" x14ac:dyDescent="0.35">
      <c r="B89" t="s">
        <v>13</v>
      </c>
      <c r="F89" s="3"/>
      <c r="G89" s="3" t="s">
        <v>13</v>
      </c>
      <c r="H89" s="3"/>
      <c r="I89" s="3"/>
      <c r="J89" s="3"/>
      <c r="K89" s="3"/>
      <c r="L89" s="3"/>
      <c r="AG89" s="3" t="s">
        <v>13</v>
      </c>
      <c r="AJ89" s="3" t="s">
        <v>13</v>
      </c>
      <c r="AL89"/>
      <c r="AM89"/>
    </row>
    <row r="90" spans="2:39" x14ac:dyDescent="0.35">
      <c r="B90" t="s">
        <v>13</v>
      </c>
      <c r="F90" s="3"/>
      <c r="G90" s="3" t="s">
        <v>13</v>
      </c>
      <c r="H90" s="3"/>
      <c r="I90" s="3"/>
      <c r="J90" s="3"/>
      <c r="K90" s="3"/>
      <c r="L90" s="3"/>
      <c r="AG90" s="3" t="s">
        <v>13</v>
      </c>
      <c r="AJ90" s="3" t="s">
        <v>13</v>
      </c>
      <c r="AL90"/>
      <c r="AM90"/>
    </row>
    <row r="91" spans="2:39" x14ac:dyDescent="0.35">
      <c r="B91" t="s">
        <v>13</v>
      </c>
      <c r="F91" s="3"/>
      <c r="G91" s="3" t="s">
        <v>13</v>
      </c>
      <c r="H91" s="3"/>
      <c r="I91" s="3"/>
      <c r="J91" s="3"/>
      <c r="K91" s="3"/>
      <c r="L91" s="3"/>
      <c r="AG91" s="3" t="s">
        <v>13</v>
      </c>
      <c r="AJ91" s="3" t="s">
        <v>13</v>
      </c>
      <c r="AL91"/>
      <c r="AM91"/>
    </row>
    <row r="92" spans="2:39" x14ac:dyDescent="0.35">
      <c r="B92" t="s">
        <v>13</v>
      </c>
      <c r="F92" s="3"/>
      <c r="G92" s="3" t="s">
        <v>13</v>
      </c>
      <c r="H92" s="3"/>
      <c r="I92" s="3"/>
      <c r="J92" s="3"/>
      <c r="K92" s="3"/>
      <c r="L92" s="3"/>
      <c r="AL92"/>
      <c r="AM92"/>
    </row>
    <row r="93" spans="2:39" x14ac:dyDescent="0.35">
      <c r="B93" t="s">
        <v>13</v>
      </c>
      <c r="F93" s="3"/>
      <c r="G93" s="3" t="s">
        <v>13</v>
      </c>
      <c r="H93" s="3"/>
      <c r="I93" s="3"/>
      <c r="J93" s="3"/>
      <c r="K93" s="3"/>
      <c r="L93" s="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  <row r="119" spans="2:39" x14ac:dyDescent="0.35">
      <c r="B119" t="s">
        <v>13</v>
      </c>
      <c r="E119"/>
      <c r="AL119"/>
      <c r="AM119"/>
    </row>
    <row r="120" spans="2:39" x14ac:dyDescent="0.35">
      <c r="B120" t="s">
        <v>13</v>
      </c>
      <c r="E120"/>
      <c r="AL120"/>
      <c r="AM120"/>
    </row>
    <row r="121" spans="2:39" x14ac:dyDescent="0.35">
      <c r="B121" t="s">
        <v>13</v>
      </c>
      <c r="E121"/>
      <c r="AL121"/>
      <c r="AM121"/>
    </row>
    <row r="122" spans="2:39" x14ac:dyDescent="0.35">
      <c r="B122" t="s">
        <v>13</v>
      </c>
      <c r="E122"/>
      <c r="AL122"/>
      <c r="AM122"/>
    </row>
    <row r="123" spans="2:39" x14ac:dyDescent="0.35">
      <c r="B123" t="s">
        <v>13</v>
      </c>
      <c r="E123"/>
      <c r="AL123"/>
      <c r="AM123"/>
    </row>
    <row r="124" spans="2:39" x14ac:dyDescent="0.35">
      <c r="B124" t="s">
        <v>13</v>
      </c>
      <c r="E124"/>
      <c r="AL124"/>
      <c r="AM124"/>
    </row>
    <row r="125" spans="2:39" x14ac:dyDescent="0.35">
      <c r="B125" t="s">
        <v>13</v>
      </c>
      <c r="E125"/>
      <c r="AL125"/>
      <c r="AM125"/>
    </row>
    <row r="126" spans="2:39" x14ac:dyDescent="0.35">
      <c r="B126" t="s">
        <v>13</v>
      </c>
      <c r="E126"/>
      <c r="AL126"/>
      <c r="AM126"/>
    </row>
  </sheetData>
  <phoneticPr fontId="20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44EA-5E50-4787-BB9A-370F6B675A7C}">
  <dimension ref="A1:AR119"/>
  <sheetViews>
    <sheetView zoomScale="78" zoomScaleNormal="78" workbookViewId="0">
      <pane xSplit="5" ySplit="3" topLeftCell="AG33" activePane="bottomRight" state="frozen"/>
      <selection pane="topRight" activeCell="F1" sqref="F1"/>
      <selection pane="bottomLeft" activeCell="A4" sqref="A4"/>
      <selection pane="bottomRight" activeCell="A46" sqref="A46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45200</v>
      </c>
      <c r="G2" s="1">
        <v>45201</v>
      </c>
      <c r="H2" s="1">
        <v>45202</v>
      </c>
      <c r="I2" s="1">
        <v>45203</v>
      </c>
      <c r="J2" s="1">
        <v>45204</v>
      </c>
      <c r="K2" s="1">
        <v>45205</v>
      </c>
      <c r="L2" s="1">
        <v>45206</v>
      </c>
      <c r="M2" s="1">
        <v>45207</v>
      </c>
      <c r="N2" s="1">
        <v>45208</v>
      </c>
      <c r="O2" s="1">
        <v>45209</v>
      </c>
      <c r="P2" s="1">
        <v>45210</v>
      </c>
      <c r="Q2" s="1">
        <v>45211</v>
      </c>
      <c r="R2" s="1">
        <v>45212</v>
      </c>
      <c r="S2" s="1">
        <v>45213</v>
      </c>
      <c r="T2" s="1">
        <v>45214</v>
      </c>
      <c r="U2" s="1">
        <v>45215</v>
      </c>
      <c r="V2" s="1">
        <v>45216</v>
      </c>
      <c r="W2" s="1">
        <v>45217</v>
      </c>
      <c r="X2" s="1">
        <v>45218</v>
      </c>
      <c r="Y2" s="1">
        <v>45219</v>
      </c>
      <c r="Z2" s="1">
        <v>45220</v>
      </c>
      <c r="AA2" s="1">
        <v>45221</v>
      </c>
      <c r="AB2" s="1">
        <v>45222</v>
      </c>
      <c r="AC2" s="1">
        <v>45223</v>
      </c>
      <c r="AD2" s="1">
        <v>45224</v>
      </c>
      <c r="AE2" s="1">
        <v>45225</v>
      </c>
      <c r="AF2" s="1">
        <v>45226</v>
      </c>
      <c r="AG2" s="1">
        <v>45227</v>
      </c>
      <c r="AH2" s="1">
        <v>45228</v>
      </c>
      <c r="AI2" s="1">
        <v>45229</v>
      </c>
      <c r="AJ2" s="1">
        <v>45230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+'Sep-23'!AI72</f>
        <v>2287618.7477107514</v>
      </c>
      <c r="G3" s="3">
        <f t="shared" ref="G3:AJ3" si="0">+F65</f>
        <v>2287618.7477107514</v>
      </c>
      <c r="H3" s="3">
        <f t="shared" si="0"/>
        <v>2287618.7477107514</v>
      </c>
      <c r="I3" s="3">
        <f t="shared" si="0"/>
        <v>2183053.7477107514</v>
      </c>
      <c r="J3" s="3">
        <f t="shared" si="0"/>
        <v>2183053.7477107514</v>
      </c>
      <c r="K3" s="3">
        <f t="shared" si="0"/>
        <v>2169148.7477107514</v>
      </c>
      <c r="L3" s="3">
        <f t="shared" si="0"/>
        <v>2151048.7477107514</v>
      </c>
      <c r="M3" s="3">
        <f t="shared" si="0"/>
        <v>2151048.7477107514</v>
      </c>
      <c r="N3" s="3">
        <f t="shared" si="0"/>
        <v>2151048.7477107514</v>
      </c>
      <c r="O3" s="3">
        <f t="shared" si="0"/>
        <v>2151048.7477107514</v>
      </c>
      <c r="P3" s="3">
        <f t="shared" si="0"/>
        <v>2151048.7477107514</v>
      </c>
      <c r="Q3" s="3">
        <f t="shared" si="0"/>
        <v>2151048.7477107514</v>
      </c>
      <c r="R3" s="3">
        <f t="shared" si="0"/>
        <v>2151048.7477107514</v>
      </c>
      <c r="S3" s="3">
        <f t="shared" si="0"/>
        <v>2128448.7477107514</v>
      </c>
      <c r="T3" s="3">
        <f t="shared" si="0"/>
        <v>2128448.7477107514</v>
      </c>
      <c r="U3" s="3">
        <f t="shared" si="0"/>
        <v>2128448.7477107514</v>
      </c>
      <c r="V3" s="3">
        <f t="shared" si="0"/>
        <v>2260970.7477107514</v>
      </c>
      <c r="W3" s="3">
        <f t="shared" si="0"/>
        <v>2260970.7477107514</v>
      </c>
      <c r="X3" s="3">
        <f t="shared" si="0"/>
        <v>2074807.7477107514</v>
      </c>
      <c r="Y3" s="3">
        <f t="shared" si="0"/>
        <v>2074807.7477107514</v>
      </c>
      <c r="Z3" s="3">
        <f t="shared" si="0"/>
        <v>2074807.7477107514</v>
      </c>
      <c r="AA3" s="3">
        <f t="shared" si="0"/>
        <v>2074807.7477107514</v>
      </c>
      <c r="AB3" s="3">
        <f t="shared" si="0"/>
        <v>2074807.7477107514</v>
      </c>
      <c r="AC3" s="3">
        <f t="shared" si="0"/>
        <v>2074807.7477107514</v>
      </c>
      <c r="AD3" s="3">
        <f t="shared" si="0"/>
        <v>2074807.7477107514</v>
      </c>
      <c r="AE3" s="3">
        <f t="shared" si="0"/>
        <v>2074807.7477107514</v>
      </c>
      <c r="AF3" s="3">
        <f t="shared" si="0"/>
        <v>2074807.7477107514</v>
      </c>
      <c r="AG3" s="3">
        <f t="shared" si="0"/>
        <v>2074807.7477107514</v>
      </c>
      <c r="AH3" s="3">
        <f t="shared" si="0"/>
        <v>2074807.7477107514</v>
      </c>
      <c r="AI3" s="3">
        <f t="shared" si="0"/>
        <v>2074807.7477107514</v>
      </c>
      <c r="AJ3" s="3">
        <f t="shared" si="0"/>
        <v>2161996.7477107514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2226</v>
      </c>
      <c r="B6" s="66" t="s">
        <v>2221</v>
      </c>
      <c r="C6" s="38">
        <v>45169</v>
      </c>
      <c r="D6" s="39">
        <v>87189</v>
      </c>
      <c r="E6" s="40" t="s">
        <v>782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2227</v>
      </c>
      <c r="B7" t="s">
        <v>2222</v>
      </c>
      <c r="C7" s="5">
        <v>45169</v>
      </c>
      <c r="D7" s="3">
        <v>87189</v>
      </c>
      <c r="E7" s="42" t="s">
        <v>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0</v>
      </c>
      <c r="AL7" s="22"/>
    </row>
    <row r="8" spans="1:39" x14ac:dyDescent="0.35">
      <c r="A8" s="41" t="s">
        <v>2228</v>
      </c>
      <c r="B8" t="s">
        <v>2223</v>
      </c>
      <c r="C8" s="5">
        <v>45170</v>
      </c>
      <c r="D8" s="3">
        <v>87189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0</v>
      </c>
      <c r="AL8" s="22"/>
    </row>
    <row r="9" spans="1:39" x14ac:dyDescent="0.35">
      <c r="A9" s="41" t="s">
        <v>2229</v>
      </c>
      <c r="B9" t="s">
        <v>2224</v>
      </c>
      <c r="C9" s="5">
        <v>45170</v>
      </c>
      <c r="D9" s="3">
        <v>87189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0</v>
      </c>
      <c r="AL9" s="22"/>
    </row>
    <row r="10" spans="1:39" x14ac:dyDescent="0.35">
      <c r="A10" s="41" t="s">
        <v>2231</v>
      </c>
      <c r="B10" t="s">
        <v>2232</v>
      </c>
      <c r="C10" s="5">
        <v>45172</v>
      </c>
      <c r="D10" s="3">
        <v>128522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0</v>
      </c>
      <c r="AL10" s="22"/>
    </row>
    <row r="11" spans="1:39" x14ac:dyDescent="0.35">
      <c r="A11" s="41" t="s">
        <v>2235</v>
      </c>
      <c r="B11" t="s">
        <v>2233</v>
      </c>
      <c r="C11" s="5">
        <v>45176</v>
      </c>
      <c r="D11" s="3">
        <v>45855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2236</v>
      </c>
      <c r="B12" t="s">
        <v>2234</v>
      </c>
      <c r="C12" s="5">
        <v>45176</v>
      </c>
      <c r="D12" s="3">
        <v>87189</v>
      </c>
      <c r="E12" s="42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2244</v>
      </c>
      <c r="B13" t="s">
        <v>2241</v>
      </c>
      <c r="C13" s="5">
        <v>45178</v>
      </c>
      <c r="D13" s="3">
        <v>45855</v>
      </c>
      <c r="E13" s="42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x14ac:dyDescent="0.35">
      <c r="A14" s="41" t="s">
        <v>2245</v>
      </c>
      <c r="B14" t="s">
        <v>2242</v>
      </c>
      <c r="C14" s="5">
        <v>45178</v>
      </c>
      <c r="D14" s="3">
        <v>87189</v>
      </c>
      <c r="E14" s="42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2248</v>
      </c>
      <c r="B15" t="s">
        <v>2243</v>
      </c>
      <c r="C15" s="5">
        <v>45183</v>
      </c>
      <c r="D15" s="3">
        <v>87189</v>
      </c>
      <c r="E15" s="42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2251</v>
      </c>
      <c r="B16" t="s">
        <v>2249</v>
      </c>
      <c r="C16" s="5">
        <v>45184</v>
      </c>
      <c r="D16" s="3">
        <v>45855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38" x14ac:dyDescent="0.35">
      <c r="A17" s="41" t="s">
        <v>2252</v>
      </c>
      <c r="B17" t="s">
        <v>2250</v>
      </c>
      <c r="C17" s="5">
        <v>45184</v>
      </c>
      <c r="D17" s="3">
        <v>4522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38" x14ac:dyDescent="0.35">
      <c r="A18" s="41" t="s">
        <v>2255</v>
      </c>
      <c r="B18" t="s">
        <v>2253</v>
      </c>
      <c r="C18" s="5">
        <v>45192</v>
      </c>
      <c r="D18" s="3">
        <v>45855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 t="s">
        <v>13</v>
      </c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38" x14ac:dyDescent="0.35">
      <c r="A19" s="41" t="s">
        <v>2256</v>
      </c>
      <c r="B19" t="s">
        <v>2254</v>
      </c>
      <c r="C19" s="5">
        <v>45192</v>
      </c>
      <c r="D19" s="3">
        <v>87189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 t="s">
        <v>13</v>
      </c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38" x14ac:dyDescent="0.35">
      <c r="A20" s="41" t="s">
        <v>2270</v>
      </c>
      <c r="B20" t="s">
        <v>2266</v>
      </c>
      <c r="C20" s="5">
        <v>45189</v>
      </c>
      <c r="D20" s="3">
        <v>87189</v>
      </c>
      <c r="E20" s="42" t="s">
        <v>1345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>
        <v>87189</v>
      </c>
      <c r="AK20" s="3">
        <f>SUM($F20:AJ20)</f>
        <v>87189</v>
      </c>
      <c r="AL20" s="22"/>
    </row>
    <row r="21" spans="1:38" x14ac:dyDescent="0.35">
      <c r="A21" s="41" t="s">
        <v>2302</v>
      </c>
      <c r="B21" t="s">
        <v>2267</v>
      </c>
      <c r="C21" s="5">
        <v>45199</v>
      </c>
      <c r="D21" s="3">
        <v>87189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8" x14ac:dyDescent="0.35">
      <c r="A22" s="41" t="s">
        <v>2303</v>
      </c>
      <c r="B22" t="s">
        <v>2268</v>
      </c>
      <c r="C22" s="5">
        <v>45199</v>
      </c>
      <c r="D22" s="3">
        <v>45855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8" ht="15" thickBot="1" x14ac:dyDescent="0.4">
      <c r="A23" s="41" t="s">
        <v>2304</v>
      </c>
      <c r="B23" t="s">
        <v>2269</v>
      </c>
      <c r="C23" s="5">
        <v>45199</v>
      </c>
      <c r="D23" s="3">
        <v>87189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8" x14ac:dyDescent="0.35">
      <c r="A24" s="36" t="s">
        <v>2280</v>
      </c>
      <c r="B24" s="66" t="s">
        <v>2275</v>
      </c>
      <c r="C24" s="38">
        <v>45205</v>
      </c>
      <c r="D24" s="39">
        <v>132522</v>
      </c>
      <c r="E24" s="40" t="s">
        <v>1345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132522</v>
      </c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132522</v>
      </c>
      <c r="AL24" s="22"/>
    </row>
    <row r="25" spans="1:38" x14ac:dyDescent="0.35">
      <c r="A25" s="41" t="s">
        <v>2281</v>
      </c>
      <c r="B25" t="s">
        <v>2276</v>
      </c>
      <c r="C25" s="5">
        <v>45205</v>
      </c>
      <c r="D25" s="3">
        <v>45855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38" x14ac:dyDescent="0.35">
      <c r="A26" s="41" t="s">
        <v>2282</v>
      </c>
      <c r="B26" t="s">
        <v>2277</v>
      </c>
      <c r="C26" s="5">
        <v>45205</v>
      </c>
      <c r="D26" s="3">
        <v>96114</v>
      </c>
      <c r="E26" s="42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38" x14ac:dyDescent="0.35">
      <c r="A27" s="41" t="s">
        <v>2284</v>
      </c>
      <c r="B27" t="s">
        <v>2278</v>
      </c>
      <c r="C27" s="5">
        <v>45205</v>
      </c>
      <c r="D27" s="3">
        <v>87189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38" x14ac:dyDescent="0.35">
      <c r="A28" s="41" t="s">
        <v>2283</v>
      </c>
      <c r="B28" t="s">
        <v>2279</v>
      </c>
      <c r="C28" s="5">
        <v>45205</v>
      </c>
      <c r="D28" s="3">
        <v>45855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</row>
    <row r="29" spans="1:38" x14ac:dyDescent="0.35">
      <c r="A29" s="41" t="s">
        <v>2286</v>
      </c>
      <c r="B29" t="s">
        <v>2287</v>
      </c>
      <c r="C29" s="5">
        <v>45210</v>
      </c>
      <c r="D29" s="3">
        <v>87189</v>
      </c>
      <c r="E29" s="42" t="s">
        <v>782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0</v>
      </c>
      <c r="AL29" s="22"/>
    </row>
    <row r="30" spans="1:38" x14ac:dyDescent="0.35">
      <c r="A30" s="41" t="s">
        <v>2288</v>
      </c>
      <c r="B30" t="s">
        <v>2289</v>
      </c>
      <c r="C30" s="5">
        <v>45210</v>
      </c>
      <c r="D30" s="3">
        <v>87189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>
        <f>SUM($F30:AJ30)</f>
        <v>0</v>
      </c>
      <c r="AL30" s="22"/>
    </row>
    <row r="31" spans="1:38" x14ac:dyDescent="0.35">
      <c r="A31" s="41" t="s">
        <v>2290</v>
      </c>
      <c r="B31" t="s">
        <v>2291</v>
      </c>
      <c r="C31" s="5">
        <v>45213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">
        <f>SUM($F31:AJ31)</f>
        <v>0</v>
      </c>
      <c r="AL31" s="22"/>
    </row>
    <row r="32" spans="1:38" x14ac:dyDescent="0.35">
      <c r="A32" s="41" t="s">
        <v>2292</v>
      </c>
      <c r="B32" t="s">
        <v>2054</v>
      </c>
      <c r="C32" s="5">
        <v>45213</v>
      </c>
      <c r="D32" s="3">
        <v>87189</v>
      </c>
      <c r="E32" s="42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0</v>
      </c>
      <c r="AL32" s="22"/>
    </row>
    <row r="33" spans="1:41" x14ac:dyDescent="0.35">
      <c r="A33" s="41" t="s">
        <v>2293</v>
      </c>
      <c r="B33" t="s">
        <v>2294</v>
      </c>
      <c r="C33" s="5">
        <v>45214</v>
      </c>
      <c r="D33" s="3">
        <v>87189</v>
      </c>
      <c r="E33" s="42" t="s">
        <v>782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K33" s="3">
        <f>SUM($F33:AJ33)</f>
        <v>0</v>
      </c>
      <c r="AL33" s="22"/>
    </row>
    <row r="34" spans="1:41" x14ac:dyDescent="0.35">
      <c r="A34" s="41" t="s">
        <v>2305</v>
      </c>
      <c r="B34" t="s">
        <v>2306</v>
      </c>
      <c r="C34" s="5">
        <v>45225</v>
      </c>
      <c r="D34" s="3">
        <v>96114</v>
      </c>
      <c r="E34" s="42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>
        <f>SUM($F34:AJ34)</f>
        <v>0</v>
      </c>
      <c r="AL34" s="22"/>
    </row>
    <row r="35" spans="1:41" x14ac:dyDescent="0.35">
      <c r="A35" s="41" t="s">
        <v>2307</v>
      </c>
      <c r="B35" t="s">
        <v>2308</v>
      </c>
      <c r="C35" s="5">
        <v>45226</v>
      </c>
      <c r="D35" s="3">
        <v>87189</v>
      </c>
      <c r="E35" s="42" t="s">
        <v>1345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">
        <f>SUM($F35:AJ35)</f>
        <v>0</v>
      </c>
      <c r="AL35" s="22"/>
    </row>
    <row r="36" spans="1:41" x14ac:dyDescent="0.35">
      <c r="A36" s="41"/>
      <c r="C36" s="5"/>
      <c r="D36" s="3"/>
      <c r="E36" s="4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0</v>
      </c>
      <c r="AL36" s="22"/>
    </row>
    <row r="37" spans="1:41" ht="15" thickBot="1" x14ac:dyDescent="0.4">
      <c r="A37" s="43"/>
      <c r="B37" s="76"/>
      <c r="C37" s="45"/>
      <c r="D37" s="46"/>
      <c r="E37" s="4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</row>
    <row r="38" spans="1:41" x14ac:dyDescent="0.35">
      <c r="D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24" t="s">
        <v>1962</v>
      </c>
      <c r="AL38" s="22" t="s">
        <v>1352</v>
      </c>
    </row>
    <row r="39" spans="1:41" x14ac:dyDescent="0.35">
      <c r="A39" s="2" t="s">
        <v>1676</v>
      </c>
      <c r="D39" s="3">
        <f>SUM(D24:D37)</f>
        <v>1026783</v>
      </c>
      <c r="F39" s="3">
        <f t="shared" ref="F39:AJ39" si="1">SUM(F5:F37)</f>
        <v>0</v>
      </c>
      <c r="G39" s="3">
        <f t="shared" si="1"/>
        <v>0</v>
      </c>
      <c r="H39" s="3">
        <f t="shared" si="1"/>
        <v>0</v>
      </c>
      <c r="I39" s="3">
        <f t="shared" si="1"/>
        <v>0</v>
      </c>
      <c r="J39" s="3">
        <f t="shared" si="1"/>
        <v>0</v>
      </c>
      <c r="K39" s="3">
        <f t="shared" si="1"/>
        <v>0</v>
      </c>
      <c r="L39" s="3">
        <f t="shared" si="1"/>
        <v>0</v>
      </c>
      <c r="M39" s="3">
        <f t="shared" si="1"/>
        <v>0</v>
      </c>
      <c r="N39" s="3">
        <f t="shared" si="1"/>
        <v>0</v>
      </c>
      <c r="O39" s="3">
        <f t="shared" si="1"/>
        <v>0</v>
      </c>
      <c r="P39" s="3">
        <f t="shared" si="1"/>
        <v>0</v>
      </c>
      <c r="Q39" s="3">
        <f t="shared" si="1"/>
        <v>0</v>
      </c>
      <c r="R39" s="3">
        <f t="shared" si="1"/>
        <v>0</v>
      </c>
      <c r="S39" s="3">
        <f t="shared" si="1"/>
        <v>0</v>
      </c>
      <c r="T39" s="3">
        <f t="shared" si="1"/>
        <v>0</v>
      </c>
      <c r="U39" s="3">
        <f t="shared" si="1"/>
        <v>132522</v>
      </c>
      <c r="V39" s="3">
        <f t="shared" si="1"/>
        <v>0</v>
      </c>
      <c r="W39" s="3">
        <f t="shared" si="1"/>
        <v>0</v>
      </c>
      <c r="X39" s="3">
        <f t="shared" si="1"/>
        <v>0</v>
      </c>
      <c r="Y39" s="3">
        <f t="shared" si="1"/>
        <v>0</v>
      </c>
      <c r="Z39" s="3">
        <f t="shared" si="1"/>
        <v>0</v>
      </c>
      <c r="AA39" s="3">
        <f t="shared" si="1"/>
        <v>0</v>
      </c>
      <c r="AB39" s="3">
        <f t="shared" si="1"/>
        <v>0</v>
      </c>
      <c r="AC39" s="3">
        <f t="shared" si="1"/>
        <v>0</v>
      </c>
      <c r="AD39" s="3">
        <f t="shared" si="1"/>
        <v>0</v>
      </c>
      <c r="AE39" s="3">
        <f t="shared" si="1"/>
        <v>0</v>
      </c>
      <c r="AF39" s="3">
        <f t="shared" si="1"/>
        <v>0</v>
      </c>
      <c r="AG39" s="3">
        <f t="shared" si="1"/>
        <v>0</v>
      </c>
      <c r="AH39" s="3">
        <f t="shared" si="1"/>
        <v>0</v>
      </c>
      <c r="AI39" s="3">
        <f t="shared" si="1"/>
        <v>87189</v>
      </c>
      <c r="AJ39" s="3">
        <f t="shared" si="1"/>
        <v>0</v>
      </c>
      <c r="AK39" s="72">
        <f>SUM(AK6:AK37)</f>
        <v>219711</v>
      </c>
      <c r="AL39" s="22">
        <f>+D40-AK39</f>
        <v>2128470</v>
      </c>
      <c r="AM39" s="6" t="s">
        <v>13</v>
      </c>
    </row>
    <row r="40" spans="1:41" x14ac:dyDescent="0.35">
      <c r="A40" s="2" t="s">
        <v>1780</v>
      </c>
      <c r="B40" t="s">
        <v>13</v>
      </c>
      <c r="C40" s="3" t="s">
        <v>13</v>
      </c>
      <c r="D40" s="3">
        <f>SUM(D6:D37)</f>
        <v>2348181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41" x14ac:dyDescent="0.35">
      <c r="A41" s="2"/>
      <c r="C41" s="3"/>
      <c r="D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41" x14ac:dyDescent="0.35">
      <c r="A42" s="2" t="s">
        <v>2</v>
      </c>
      <c r="C42" t="s">
        <v>13</v>
      </c>
      <c r="F42" s="3"/>
      <c r="G42" s="3"/>
      <c r="H42" s="3"/>
      <c r="I42" s="3"/>
      <c r="J42" s="3"/>
      <c r="K42" s="3"/>
      <c r="L42" s="3" t="s">
        <v>13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41" ht="15" thickBot="1" x14ac:dyDescent="0.4">
      <c r="A43" s="404">
        <v>45178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41" x14ac:dyDescent="0.35">
      <c r="A44" s="358" t="s">
        <v>1008</v>
      </c>
      <c r="B44" s="37" t="s">
        <v>337</v>
      </c>
      <c r="C44" s="38"/>
      <c r="D44" s="39">
        <v>2400000</v>
      </c>
      <c r="E44" s="40"/>
      <c r="F44" s="3"/>
      <c r="G44" s="3"/>
      <c r="H44" s="3" t="s">
        <v>13</v>
      </c>
      <c r="I44" s="3" t="s">
        <v>13</v>
      </c>
      <c r="J44" s="3"/>
      <c r="K44" s="3"/>
      <c r="L44" s="3"/>
      <c r="M44" s="3"/>
      <c r="N44" s="3"/>
      <c r="O44" s="3"/>
      <c r="P44" s="3" t="s">
        <v>13</v>
      </c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K44" s="3">
        <f>SUM($F44:AJ44)</f>
        <v>0</v>
      </c>
    </row>
    <row r="45" spans="1:41" x14ac:dyDescent="0.35">
      <c r="A45" s="41" t="s">
        <v>2271</v>
      </c>
      <c r="B45" t="s">
        <v>337</v>
      </c>
      <c r="C45" s="5">
        <v>45170</v>
      </c>
      <c r="D45" s="3">
        <v>38120</v>
      </c>
      <c r="E45" s="42"/>
      <c r="F45" s="3" t="s">
        <v>13</v>
      </c>
      <c r="G45" s="3"/>
      <c r="H45" s="3"/>
      <c r="I45" s="3"/>
      <c r="J45" s="3"/>
      <c r="K45" s="3"/>
      <c r="L45" s="3"/>
      <c r="M45" s="3" t="s">
        <v>13</v>
      </c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G45" s="3" t="s">
        <v>13</v>
      </c>
      <c r="AH45" s="3"/>
      <c r="AI45" s="3"/>
      <c r="AK45" s="3">
        <f>SUM($F45:AJ45)</f>
        <v>0</v>
      </c>
    </row>
    <row r="46" spans="1:41" x14ac:dyDescent="0.35">
      <c r="A46" s="343" t="s">
        <v>2272</v>
      </c>
      <c r="B46" t="s">
        <v>1740</v>
      </c>
      <c r="C46" s="5">
        <v>45202</v>
      </c>
      <c r="D46" s="3">
        <v>142800</v>
      </c>
      <c r="E46" s="344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0</v>
      </c>
      <c r="AL46" s="6" t="s">
        <v>83</v>
      </c>
      <c r="AN46" s="26"/>
      <c r="AO46" s="3"/>
    </row>
    <row r="47" spans="1:41" x14ac:dyDescent="0.35">
      <c r="A47" s="343" t="s">
        <v>2273</v>
      </c>
      <c r="C47" s="5">
        <v>45202</v>
      </c>
      <c r="D47" s="3">
        <v>104565</v>
      </c>
      <c r="E47" s="344"/>
      <c r="F47" s="3"/>
      <c r="H47" s="3">
        <v>104565</v>
      </c>
      <c r="I47" s="3"/>
      <c r="J47" s="3"/>
      <c r="K47" s="3"/>
      <c r="L47" s="3"/>
      <c r="M47" s="3"/>
      <c r="N47" s="3"/>
      <c r="O47" s="3"/>
      <c r="P47" s="3"/>
      <c r="Q47" s="3" t="s">
        <v>13</v>
      </c>
      <c r="R47" s="3"/>
      <c r="S47" s="3"/>
      <c r="T47" s="3"/>
      <c r="U47" s="3"/>
      <c r="V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f>SUM($F47:AJ47)</f>
        <v>104565</v>
      </c>
      <c r="AL47" s="6" t="s">
        <v>81</v>
      </c>
      <c r="AN47" s="26"/>
      <c r="AO47" s="3"/>
    </row>
    <row r="48" spans="1:41" x14ac:dyDescent="0.35">
      <c r="A48" s="343" t="s">
        <v>2218</v>
      </c>
      <c r="C48" s="5">
        <v>45204</v>
      </c>
      <c r="D48" s="3">
        <v>13905</v>
      </c>
      <c r="E48" s="344"/>
      <c r="F48" s="3"/>
      <c r="H48" s="3"/>
      <c r="I48" s="3"/>
      <c r="J48" s="3">
        <v>13905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13905</v>
      </c>
      <c r="AL48" s="6" t="s">
        <v>1557</v>
      </c>
      <c r="AN48" s="26"/>
      <c r="AO48" s="3"/>
    </row>
    <row r="49" spans="1:44" x14ac:dyDescent="0.35">
      <c r="A49" s="343" t="s">
        <v>1161</v>
      </c>
      <c r="B49" t="s">
        <v>2274</v>
      </c>
      <c r="C49" s="5">
        <v>45205</v>
      </c>
      <c r="D49" s="3">
        <v>18100</v>
      </c>
      <c r="E49" s="344" t="s">
        <v>1704</v>
      </c>
      <c r="F49" s="3"/>
      <c r="H49" s="3"/>
      <c r="I49" s="3"/>
      <c r="J49" s="3"/>
      <c r="K49" s="3">
        <v>18100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18100</v>
      </c>
      <c r="AL49" s="6" t="s">
        <v>83</v>
      </c>
      <c r="AN49" s="26" t="s">
        <v>13</v>
      </c>
      <c r="AO49" s="3"/>
    </row>
    <row r="50" spans="1:44" x14ac:dyDescent="0.35">
      <c r="A50" s="343" t="s">
        <v>1161</v>
      </c>
      <c r="B50" t="s">
        <v>2285</v>
      </c>
      <c r="C50" s="5">
        <v>45212</v>
      </c>
      <c r="D50" s="3">
        <v>22600</v>
      </c>
      <c r="E50" s="344" t="s">
        <v>1704</v>
      </c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>
        <v>22600</v>
      </c>
      <c r="S50" s="3"/>
      <c r="T50" s="3"/>
      <c r="U50" s="3"/>
      <c r="V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22600</v>
      </c>
      <c r="AL50" s="6" t="s">
        <v>83</v>
      </c>
      <c r="AN50" s="26"/>
      <c r="AO50" s="3"/>
    </row>
    <row r="51" spans="1:44" x14ac:dyDescent="0.35">
      <c r="A51" s="343" t="s">
        <v>1161</v>
      </c>
      <c r="B51" t="s">
        <v>2295</v>
      </c>
      <c r="C51" s="5">
        <v>45217</v>
      </c>
      <c r="D51" s="3">
        <v>21030</v>
      </c>
      <c r="E51" s="344" t="s">
        <v>1704</v>
      </c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>
        <v>21030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21030</v>
      </c>
      <c r="AL51" s="6" t="s">
        <v>83</v>
      </c>
      <c r="AN51" s="26"/>
      <c r="AO51" s="3"/>
    </row>
    <row r="52" spans="1:44" x14ac:dyDescent="0.35">
      <c r="A52" s="343" t="s">
        <v>806</v>
      </c>
      <c r="C52" s="5">
        <v>45217</v>
      </c>
      <c r="D52" s="3">
        <v>165133</v>
      </c>
      <c r="E52" s="344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>
        <v>165133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f>SUM($F52:AJ52)</f>
        <v>165133</v>
      </c>
      <c r="AN52" s="26"/>
      <c r="AO52" s="3"/>
    </row>
    <row r="53" spans="1:44" x14ac:dyDescent="0.35">
      <c r="A53" s="343"/>
      <c r="C53" s="5"/>
      <c r="D53" s="3"/>
      <c r="E53" s="344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f>SUM($F53:AJ53)</f>
        <v>0</v>
      </c>
      <c r="AN53" s="26"/>
      <c r="AO53" s="3"/>
    </row>
    <row r="54" spans="1:44" x14ac:dyDescent="0.35">
      <c r="A54" s="343"/>
      <c r="C54" s="5"/>
      <c r="D54" s="3"/>
      <c r="E54" s="344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0</v>
      </c>
      <c r="AN54" s="26"/>
      <c r="AO54" s="3"/>
    </row>
    <row r="55" spans="1:44" x14ac:dyDescent="0.35">
      <c r="A55" s="343"/>
      <c r="B55" s="24"/>
      <c r="C55" s="5" t="s">
        <v>13</v>
      </c>
      <c r="D55" s="3" t="s">
        <v>13</v>
      </c>
      <c r="E55" s="34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 t="s">
        <v>13</v>
      </c>
      <c r="X55" s="3" t="s">
        <v>13</v>
      </c>
      <c r="Y55" s="3" t="s">
        <v>13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f>SUM($F55:AJ55)</f>
        <v>0</v>
      </c>
      <c r="AN55" s="26" t="s">
        <v>13</v>
      </c>
      <c r="AO55" s="3"/>
    </row>
    <row r="56" spans="1:44" ht="15" thickBot="1" x14ac:dyDescent="0.4">
      <c r="A56" s="43" t="s">
        <v>2300</v>
      </c>
      <c r="B56" s="76" t="s">
        <v>337</v>
      </c>
      <c r="C56" s="45">
        <v>45230</v>
      </c>
      <c r="D56" s="46">
        <f>+AK39*0.17</f>
        <v>37350.870000000003</v>
      </c>
      <c r="E56" s="47"/>
      <c r="F56" s="3"/>
      <c r="G56" s="3" t="s">
        <v>13</v>
      </c>
      <c r="H56" s="3" t="s">
        <v>13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f>SUM($F56:AJ56)</f>
        <v>0</v>
      </c>
      <c r="AL56" s="6" t="s">
        <v>1846</v>
      </c>
      <c r="AM56" s="6" t="s">
        <v>13</v>
      </c>
      <c r="AN56" s="26" t="s">
        <v>13</v>
      </c>
      <c r="AO56" s="3"/>
    </row>
    <row r="57" spans="1:44" x14ac:dyDescent="0.35">
      <c r="A57" s="4" t="s">
        <v>2153</v>
      </c>
      <c r="B57" s="372">
        <f>84.052*3/8</f>
        <v>31.519500000000001</v>
      </c>
      <c r="C57" s="67" t="s">
        <v>13</v>
      </c>
      <c r="D57" s="3">
        <f>+B57*C58</f>
        <v>1136541.47802</v>
      </c>
      <c r="E57" s="153"/>
      <c r="F57" s="3"/>
      <c r="G57" s="3"/>
      <c r="H57" s="3" t="s">
        <v>13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Z57" s="3"/>
      <c r="AA57" s="3"/>
      <c r="AB57" s="3"/>
      <c r="AC57" s="3"/>
      <c r="AD57" s="3"/>
      <c r="AE57" s="3"/>
      <c r="AF57" s="3" t="s">
        <v>13</v>
      </c>
      <c r="AG57" s="3" t="s">
        <v>13</v>
      </c>
      <c r="AH57" s="3" t="s">
        <v>13</v>
      </c>
      <c r="AI57" s="3"/>
      <c r="AJ57" s="3" t="s">
        <v>13</v>
      </c>
      <c r="AK57" s="3" t="s">
        <v>13</v>
      </c>
      <c r="AL57" s="22" t="s">
        <v>13</v>
      </c>
      <c r="AM57" s="6" t="s">
        <v>13</v>
      </c>
      <c r="AO57" s="26" t="s">
        <v>13</v>
      </c>
      <c r="AQ57" s="6" t="s">
        <v>1675</v>
      </c>
    </row>
    <row r="58" spans="1:44" ht="15" thickBot="1" x14ac:dyDescent="0.4">
      <c r="A58" s="4" t="s">
        <v>13</v>
      </c>
      <c r="B58" s="67" t="s">
        <v>933</v>
      </c>
      <c r="C58" s="236">
        <v>36058.36</v>
      </c>
      <c r="D58" s="3"/>
      <c r="E58" s="15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 t="s">
        <v>13</v>
      </c>
      <c r="AL58" s="22"/>
      <c r="AO58" s="26" t="s">
        <v>13</v>
      </c>
      <c r="AP58" s="64" t="e">
        <f>+[2]Hoja1!$L$305+[3]Hoja1!#REF!</f>
        <v>#REF!</v>
      </c>
      <c r="AQ58" s="64" t="e">
        <f>+[3]Hoja1!#REF!</f>
        <v>#REF!</v>
      </c>
      <c r="AR58" s="64" t="e">
        <f>+AQ58+'Mar-23'!AR96</f>
        <v>#REF!</v>
      </c>
    </row>
    <row r="59" spans="1:44" x14ac:dyDescent="0.35">
      <c r="A59" s="371" t="s">
        <v>255</v>
      </c>
      <c r="B59" s="372">
        <f>84.052-31.52-31.52</f>
        <v>21.012000000000011</v>
      </c>
      <c r="C59" s="67"/>
      <c r="D59" s="3"/>
      <c r="E59" s="15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13</v>
      </c>
      <c r="AL59" s="22"/>
      <c r="AO59" s="11" t="s">
        <v>91</v>
      </c>
      <c r="AP59" s="53">
        <f>+D39/1.19</f>
        <v>862842.85714285716</v>
      </c>
      <c r="AQ59" s="53">
        <f>+(SUMIF(E24:E37,"MD",D24:D37)+SUMIF(E24:E37,"MK",D24:D37)/1.19)</f>
        <v>219711</v>
      </c>
    </row>
    <row r="60" spans="1:44" x14ac:dyDescent="0.35">
      <c r="A60" s="3" t="s">
        <v>13</v>
      </c>
      <c r="B60" s="24"/>
      <c r="D60" s="3"/>
      <c r="E60" s="15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13</v>
      </c>
      <c r="AL60" s="22"/>
      <c r="AO60" s="14" t="s">
        <v>1558</v>
      </c>
      <c r="AP60" s="15">
        <f>+SUMIF(AL46:AL56,"CD",D46:D56)/1.19</f>
        <v>171873.94957983194</v>
      </c>
      <c r="AQ60" s="15" t="e">
        <f>+AP60*AQ$58/AP$58</f>
        <v>#REF!</v>
      </c>
    </row>
    <row r="61" spans="1:44" x14ac:dyDescent="0.35">
      <c r="A61" s="4"/>
      <c r="B61" s="24"/>
      <c r="C61" s="67"/>
      <c r="D61" s="3"/>
      <c r="E61" s="153"/>
      <c r="F61" s="3" t="s">
        <v>13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 t="s">
        <v>13</v>
      </c>
      <c r="AL61" s="22"/>
      <c r="AO61" s="14" t="s">
        <v>1559</v>
      </c>
      <c r="AP61" s="15">
        <f>+AP59-AP60</f>
        <v>690968.90756302525</v>
      </c>
      <c r="AQ61" s="15" t="e">
        <f>+AQ59-AQ60</f>
        <v>#REF!</v>
      </c>
    </row>
    <row r="62" spans="1:44" x14ac:dyDescent="0.35">
      <c r="A62" s="4"/>
      <c r="B62" s="24"/>
      <c r="C62" s="67"/>
      <c r="D62" s="3"/>
      <c r="E62" s="15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 t="s">
        <v>13</v>
      </c>
      <c r="AL62" s="22"/>
      <c r="AO62" s="14" t="s">
        <v>1560</v>
      </c>
      <c r="AP62" s="327">
        <f>+AP61/AP59</f>
        <v>0.80080503864984132</v>
      </c>
      <c r="AQ62" s="327" t="e">
        <f>+AQ61/AQ59</f>
        <v>#REF!</v>
      </c>
    </row>
    <row r="63" spans="1:44" x14ac:dyDescent="0.35">
      <c r="A63" s="4"/>
      <c r="B63" s="67"/>
      <c r="C63" s="236"/>
      <c r="E63" s="15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Y63" s="3"/>
      <c r="AJ63" s="3"/>
      <c r="AK63" s="3"/>
      <c r="AL63" s="22" t="s">
        <v>1388</v>
      </c>
      <c r="AM63" s="6" t="s">
        <v>1430</v>
      </c>
      <c r="AO63" s="14" t="s">
        <v>81</v>
      </c>
      <c r="AP63" s="15">
        <f>+SUMIF(AL46:AL56,"GAV",D46:D56)/1.19+SUMIF(AL46:AL55,"REM",D46:D55)</f>
        <v>87869.747899159673</v>
      </c>
      <c r="AQ63" s="15" t="e">
        <f>+AP63*AQ$58/AP$58</f>
        <v>#REF!</v>
      </c>
    </row>
    <row r="64" spans="1:44" x14ac:dyDescent="0.35">
      <c r="A64" s="2" t="s">
        <v>9</v>
      </c>
      <c r="D64" s="72">
        <f>SUM(D44:D62)-D44</f>
        <v>1700145.3480200004</v>
      </c>
      <c r="F64" s="3">
        <f t="shared" ref="F64:AJ64" si="2">SUM(F44:F63)</f>
        <v>0</v>
      </c>
      <c r="G64" s="3">
        <f t="shared" si="2"/>
        <v>0</v>
      </c>
      <c r="H64" s="3">
        <f t="shared" si="2"/>
        <v>104565</v>
      </c>
      <c r="I64" s="3">
        <f t="shared" si="2"/>
        <v>0</v>
      </c>
      <c r="J64" s="3">
        <f t="shared" si="2"/>
        <v>13905</v>
      </c>
      <c r="K64" s="3">
        <f t="shared" si="2"/>
        <v>18100</v>
      </c>
      <c r="L64" s="3">
        <f t="shared" si="2"/>
        <v>0</v>
      </c>
      <c r="M64" s="3">
        <f t="shared" si="2"/>
        <v>0</v>
      </c>
      <c r="N64" s="3">
        <f t="shared" si="2"/>
        <v>0</v>
      </c>
      <c r="O64" s="3">
        <f t="shared" si="2"/>
        <v>0</v>
      </c>
      <c r="P64" s="3">
        <f t="shared" si="2"/>
        <v>0</v>
      </c>
      <c r="Q64" s="3">
        <f t="shared" si="2"/>
        <v>0</v>
      </c>
      <c r="R64" s="3">
        <f t="shared" si="2"/>
        <v>22600</v>
      </c>
      <c r="S64" s="3">
        <f t="shared" si="2"/>
        <v>0</v>
      </c>
      <c r="T64" s="3">
        <f t="shared" si="2"/>
        <v>0</v>
      </c>
      <c r="U64" s="3">
        <f t="shared" si="2"/>
        <v>0</v>
      </c>
      <c r="V64" s="3">
        <f t="shared" si="2"/>
        <v>0</v>
      </c>
      <c r="W64" s="3">
        <f t="shared" si="2"/>
        <v>186163</v>
      </c>
      <c r="X64" s="3">
        <f t="shared" si="2"/>
        <v>0</v>
      </c>
      <c r="Y64" s="3">
        <f t="shared" si="2"/>
        <v>0</v>
      </c>
      <c r="Z64" s="3">
        <f t="shared" si="2"/>
        <v>0</v>
      </c>
      <c r="AA64" s="3">
        <f t="shared" si="2"/>
        <v>0</v>
      </c>
      <c r="AB64" s="3">
        <f t="shared" si="2"/>
        <v>0</v>
      </c>
      <c r="AC64" s="3">
        <f t="shared" si="2"/>
        <v>0</v>
      </c>
      <c r="AD64" s="3">
        <f t="shared" si="2"/>
        <v>0</v>
      </c>
      <c r="AE64" s="3">
        <f t="shared" si="2"/>
        <v>0</v>
      </c>
      <c r="AF64" s="3">
        <f t="shared" si="2"/>
        <v>0</v>
      </c>
      <c r="AG64" s="3">
        <f t="shared" si="2"/>
        <v>0</v>
      </c>
      <c r="AH64" s="3">
        <f t="shared" si="2"/>
        <v>0</v>
      </c>
      <c r="AI64" s="3">
        <f t="shared" si="2"/>
        <v>0</v>
      </c>
      <c r="AJ64" s="3">
        <f t="shared" si="2"/>
        <v>0</v>
      </c>
      <c r="AK64" s="72">
        <f>SUM(AK44:AK62)-AK44</f>
        <v>345333</v>
      </c>
      <c r="AL64" s="324">
        <f>+D64-AK64</f>
        <v>1354812.3480200004</v>
      </c>
      <c r="AM64" s="324">
        <f>+AJ65+AL39-AL64-1200000</f>
        <v>1735654.399690751</v>
      </c>
      <c r="AO64" s="14" t="s">
        <v>1561</v>
      </c>
      <c r="AP64" s="15">
        <f>+AP61-AP63</f>
        <v>603099.15966386558</v>
      </c>
      <c r="AQ64" s="15" t="e">
        <f>+AQ61-AQ63</f>
        <v>#REF!</v>
      </c>
    </row>
    <row r="65" spans="1:43" x14ac:dyDescent="0.35">
      <c r="A65" t="s">
        <v>8</v>
      </c>
      <c r="F65" s="3">
        <f t="shared" ref="F65:AJ65" si="3">+F39+F3-F64</f>
        <v>2287618.7477107514</v>
      </c>
      <c r="G65" s="3">
        <f t="shared" si="3"/>
        <v>2287618.7477107514</v>
      </c>
      <c r="H65" s="3">
        <f t="shared" si="3"/>
        <v>2183053.7477107514</v>
      </c>
      <c r="I65" s="3">
        <f t="shared" si="3"/>
        <v>2183053.7477107514</v>
      </c>
      <c r="J65" s="3">
        <f t="shared" si="3"/>
        <v>2169148.7477107514</v>
      </c>
      <c r="K65" s="3">
        <f t="shared" si="3"/>
        <v>2151048.7477107514</v>
      </c>
      <c r="L65" s="3">
        <f t="shared" si="3"/>
        <v>2151048.7477107514</v>
      </c>
      <c r="M65" s="3">
        <f t="shared" si="3"/>
        <v>2151048.7477107514</v>
      </c>
      <c r="N65" s="3">
        <f t="shared" si="3"/>
        <v>2151048.7477107514</v>
      </c>
      <c r="O65" s="3">
        <f t="shared" si="3"/>
        <v>2151048.7477107514</v>
      </c>
      <c r="P65" s="3">
        <f t="shared" si="3"/>
        <v>2151048.7477107514</v>
      </c>
      <c r="Q65" s="3">
        <f t="shared" si="3"/>
        <v>2151048.7477107514</v>
      </c>
      <c r="R65" s="3">
        <f t="shared" si="3"/>
        <v>2128448.7477107514</v>
      </c>
      <c r="S65" s="3">
        <f t="shared" si="3"/>
        <v>2128448.7477107514</v>
      </c>
      <c r="T65" s="3">
        <f t="shared" si="3"/>
        <v>2128448.7477107514</v>
      </c>
      <c r="U65" s="3">
        <f t="shared" si="3"/>
        <v>2260970.7477107514</v>
      </c>
      <c r="V65" s="3">
        <f t="shared" si="3"/>
        <v>2260970.7477107514</v>
      </c>
      <c r="W65" s="3">
        <f t="shared" si="3"/>
        <v>2074807.7477107514</v>
      </c>
      <c r="X65" s="3">
        <f t="shared" si="3"/>
        <v>2074807.7477107514</v>
      </c>
      <c r="Y65" s="3">
        <f t="shared" si="3"/>
        <v>2074807.7477107514</v>
      </c>
      <c r="Z65" s="3">
        <f t="shared" si="3"/>
        <v>2074807.7477107514</v>
      </c>
      <c r="AA65" s="3">
        <f t="shared" si="3"/>
        <v>2074807.7477107514</v>
      </c>
      <c r="AB65" s="3">
        <f t="shared" si="3"/>
        <v>2074807.7477107514</v>
      </c>
      <c r="AC65" s="3">
        <f t="shared" si="3"/>
        <v>2074807.7477107514</v>
      </c>
      <c r="AD65" s="3">
        <f t="shared" si="3"/>
        <v>2074807.7477107514</v>
      </c>
      <c r="AE65" s="3">
        <f t="shared" si="3"/>
        <v>2074807.7477107514</v>
      </c>
      <c r="AF65" s="3">
        <f t="shared" si="3"/>
        <v>2074807.7477107514</v>
      </c>
      <c r="AG65" s="3">
        <f t="shared" si="3"/>
        <v>2074807.7477107514</v>
      </c>
      <c r="AH65" s="3">
        <f t="shared" si="3"/>
        <v>2074807.7477107514</v>
      </c>
      <c r="AI65" s="3">
        <f t="shared" si="3"/>
        <v>2161996.7477107514</v>
      </c>
      <c r="AJ65" s="3">
        <f t="shared" si="3"/>
        <v>2161996.7477107514</v>
      </c>
      <c r="AK65" s="3" t="s">
        <v>13</v>
      </c>
      <c r="AM65" s="22" t="s">
        <v>13</v>
      </c>
      <c r="AO65" s="14" t="s">
        <v>1563</v>
      </c>
      <c r="AP65" s="15">
        <f>+SUMIF(AL46:AL57,"GF",D46:D57)</f>
        <v>13905</v>
      </c>
      <c r="AQ65" s="15">
        <v>0</v>
      </c>
    </row>
    <row r="66" spans="1:43" x14ac:dyDescent="0.35">
      <c r="F66" s="3"/>
      <c r="G66" s="3"/>
      <c r="H66" s="3"/>
      <c r="I66" s="3" t="s">
        <v>13</v>
      </c>
      <c r="J66" s="3"/>
      <c r="K66" s="3" t="s">
        <v>13</v>
      </c>
      <c r="L66" s="3"/>
      <c r="M66" s="3"/>
      <c r="N66" s="3"/>
      <c r="O66" s="3"/>
      <c r="P66" s="3" t="s">
        <v>13</v>
      </c>
      <c r="Q66" s="3"/>
      <c r="R66" s="3"/>
      <c r="S66" s="3"/>
      <c r="T66" s="3" t="s">
        <v>13</v>
      </c>
      <c r="U66" s="3"/>
      <c r="V66" s="3"/>
      <c r="W66" s="3"/>
      <c r="Y66" s="3" t="s">
        <v>13</v>
      </c>
      <c r="Z66" s="3" t="s">
        <v>13</v>
      </c>
      <c r="AA66" s="3" t="s">
        <v>13</v>
      </c>
      <c r="AB66" s="3" t="s">
        <v>13</v>
      </c>
      <c r="AO66" s="14" t="s">
        <v>82</v>
      </c>
      <c r="AP66" s="15">
        <v>0</v>
      </c>
      <c r="AQ66" s="15">
        <f>+SUMIF(AL46:AL57,"AF",D46:D57)/1.19</f>
        <v>0</v>
      </c>
    </row>
    <row r="67" spans="1:43" ht="15" thickBot="1" x14ac:dyDescent="0.4">
      <c r="F67" s="3" t="s">
        <v>13</v>
      </c>
      <c r="G67" s="3" t="s">
        <v>13</v>
      </c>
      <c r="H67" s="3" t="s">
        <v>13</v>
      </c>
      <c r="I67" s="3"/>
      <c r="J67" s="3"/>
      <c r="K67" s="3"/>
      <c r="L67" s="3"/>
      <c r="M67" s="3"/>
      <c r="N67" s="3"/>
      <c r="O67" s="3"/>
      <c r="P67" s="3" t="s">
        <v>13</v>
      </c>
      <c r="Q67" s="3" t="s">
        <v>13</v>
      </c>
      <c r="R67" s="3" t="s">
        <v>13</v>
      </c>
      <c r="S67" s="3"/>
      <c r="T67" s="3"/>
      <c r="U67" s="3" t="s">
        <v>13</v>
      </c>
      <c r="V67" s="3"/>
      <c r="W67" s="3"/>
      <c r="AB67" s="3" t="s">
        <v>13</v>
      </c>
      <c r="AG67" s="3" t="s">
        <v>13</v>
      </c>
      <c r="AJ67" s="3" t="s">
        <v>13</v>
      </c>
      <c r="AO67" s="16"/>
      <c r="AP67" s="19">
        <f>+AP64-AP65-AP66</f>
        <v>589194.15966386558</v>
      </c>
      <c r="AQ67" s="19" t="e">
        <f>+AQ64-AQ65-AQ66</f>
        <v>#REF!</v>
      </c>
    </row>
    <row r="68" spans="1:43" x14ac:dyDescent="0.35">
      <c r="A68" t="s">
        <v>2163</v>
      </c>
      <c r="B68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68" s="3" t="e">
        <f>+B68*0.16</f>
        <v>#REF!</v>
      </c>
      <c r="E68" s="6" t="s">
        <v>13</v>
      </c>
      <c r="F68" s="3"/>
      <c r="G68" s="3" t="s">
        <v>13</v>
      </c>
      <c r="H68" s="3" t="s">
        <v>13</v>
      </c>
      <c r="I68" s="3"/>
      <c r="J68" s="3"/>
      <c r="K68" s="3"/>
      <c r="L68" s="3"/>
      <c r="M68" s="3"/>
      <c r="N68" s="3"/>
      <c r="O68" s="3"/>
      <c r="W68" s="3"/>
      <c r="AB68" s="3" t="s">
        <v>13</v>
      </c>
      <c r="AG68" s="3" t="s">
        <v>13</v>
      </c>
      <c r="AJ68" s="3" t="s">
        <v>13</v>
      </c>
      <c r="AO68" t="s">
        <v>1961</v>
      </c>
      <c r="AP68" s="26">
        <f ca="1">+AP$67+'May-23'!AP82</f>
        <v>6215585.8193633892</v>
      </c>
      <c r="AQ68" s="3" t="e">
        <f ca="1">+AQ$67+'May-23'!AQ82</f>
        <v>#REF!</v>
      </c>
    </row>
    <row r="69" spans="1:43" x14ac:dyDescent="0.35">
      <c r="F69" s="3"/>
      <c r="G69" s="3" t="s">
        <v>13</v>
      </c>
      <c r="H69" s="3"/>
      <c r="I69" s="3"/>
      <c r="J69" s="3"/>
      <c r="K69" s="3"/>
      <c r="L69" s="3"/>
      <c r="M69" s="3"/>
      <c r="N69" s="3"/>
      <c r="O69" s="3"/>
      <c r="W69" s="3" t="s">
        <v>13</v>
      </c>
      <c r="AB69" s="3" t="s">
        <v>13</v>
      </c>
      <c r="AD69" t="s">
        <v>2296</v>
      </c>
      <c r="AE69">
        <v>2</v>
      </c>
      <c r="AG69" s="3" t="s">
        <v>13</v>
      </c>
      <c r="AJ69" s="3" t="s">
        <v>13</v>
      </c>
      <c r="AO69" t="s">
        <v>1960</v>
      </c>
      <c r="AP69" s="26">
        <f ca="1">+AP$67+'May-23'!AP83</f>
        <v>7811723.721741097</v>
      </c>
      <c r="AQ69" s="3" t="e">
        <f ca="1">+AQ$67+'May-23'!AQ83</f>
        <v>#REF!</v>
      </c>
    </row>
    <row r="70" spans="1:43" x14ac:dyDescent="0.35">
      <c r="A70" t="s">
        <v>13</v>
      </c>
      <c r="F70" s="3" t="s">
        <v>13</v>
      </c>
      <c r="G70" s="3" t="s">
        <v>13</v>
      </c>
      <c r="H70" s="3"/>
      <c r="I70" s="3"/>
      <c r="J70" s="3"/>
      <c r="K70" s="3"/>
      <c r="L70" s="3"/>
      <c r="M70" s="3">
        <v>538500</v>
      </c>
      <c r="N70" s="3"/>
      <c r="O70" s="3"/>
      <c r="W70" s="3"/>
      <c r="AB70" s="3" t="s">
        <v>13</v>
      </c>
      <c r="AD70" t="s">
        <v>2297</v>
      </c>
      <c r="AG70" s="3" t="s">
        <v>13</v>
      </c>
      <c r="AJ70" s="3" t="s">
        <v>13</v>
      </c>
    </row>
    <row r="71" spans="1:43" x14ac:dyDescent="0.35">
      <c r="B71" t="s">
        <v>13</v>
      </c>
      <c r="F71" s="3" t="s">
        <v>13</v>
      </c>
      <c r="G71" s="3" t="s">
        <v>13</v>
      </c>
      <c r="H71" s="3"/>
      <c r="I71" s="3"/>
      <c r="J71" s="3"/>
      <c r="K71" s="3"/>
      <c r="L71" s="3" t="s">
        <v>13</v>
      </c>
      <c r="M71" s="3">
        <v>682100</v>
      </c>
      <c r="N71" s="3"/>
      <c r="O71" s="3"/>
      <c r="W71" s="3"/>
      <c r="AB71" s="3" t="s">
        <v>13</v>
      </c>
      <c r="AG71" s="3" t="s">
        <v>13</v>
      </c>
      <c r="AJ71" s="3" t="s">
        <v>13</v>
      </c>
      <c r="AL71"/>
      <c r="AM71"/>
    </row>
    <row r="72" spans="1:43" x14ac:dyDescent="0.35">
      <c r="F72" s="3"/>
      <c r="G72" s="3" t="s">
        <v>13</v>
      </c>
      <c r="H72" s="3"/>
      <c r="I72" s="3"/>
      <c r="J72" s="3"/>
      <c r="K72" s="3"/>
      <c r="L72" s="3"/>
      <c r="M72" s="3">
        <f>SUM(M70:M71)</f>
        <v>1220600</v>
      </c>
      <c r="AG72" s="3" t="s">
        <v>13</v>
      </c>
      <c r="AJ72" s="3" t="s">
        <v>13</v>
      </c>
      <c r="AL72"/>
      <c r="AM72"/>
    </row>
    <row r="73" spans="1:43" x14ac:dyDescent="0.35">
      <c r="F73" s="3"/>
      <c r="G73" s="3" t="s">
        <v>13</v>
      </c>
      <c r="H73" s="3"/>
      <c r="I73" s="3"/>
      <c r="J73" s="3"/>
      <c r="K73" s="3"/>
      <c r="L73" s="3"/>
      <c r="AB73" t="s">
        <v>13</v>
      </c>
      <c r="AG73" s="3" t="s">
        <v>13</v>
      </c>
      <c r="AJ73" s="3" t="s">
        <v>13</v>
      </c>
      <c r="AL73"/>
      <c r="AM73"/>
      <c r="AQ73" t="s">
        <v>13</v>
      </c>
    </row>
    <row r="74" spans="1:43" x14ac:dyDescent="0.35">
      <c r="F74" s="3"/>
      <c r="G74" s="3" t="s">
        <v>13</v>
      </c>
      <c r="H74" s="3"/>
      <c r="I74" s="3"/>
      <c r="J74" s="3"/>
      <c r="K74" s="3"/>
      <c r="L74" s="3"/>
      <c r="AG74" s="3" t="s">
        <v>13</v>
      </c>
      <c r="AJ74" s="3" t="s">
        <v>13</v>
      </c>
      <c r="AL74"/>
      <c r="AM74"/>
    </row>
    <row r="75" spans="1:43" x14ac:dyDescent="0.35">
      <c r="F75" s="3"/>
      <c r="G75" s="3" t="s">
        <v>13</v>
      </c>
      <c r="H75" s="3"/>
      <c r="I75" s="3"/>
      <c r="J75" s="3"/>
      <c r="K75" s="3"/>
      <c r="L75" s="3"/>
      <c r="AG75" s="3" t="s">
        <v>13</v>
      </c>
      <c r="AJ75" s="3" t="s">
        <v>13</v>
      </c>
      <c r="AL75"/>
      <c r="AM75"/>
    </row>
    <row r="76" spans="1:43" x14ac:dyDescent="0.35">
      <c r="F76" s="3"/>
      <c r="G76" s="3" t="s">
        <v>13</v>
      </c>
      <c r="H76" s="3"/>
      <c r="I76" s="3"/>
      <c r="J76" s="3"/>
      <c r="K76" s="3"/>
      <c r="L76" s="3"/>
      <c r="AG76" s="3" t="s">
        <v>13</v>
      </c>
      <c r="AJ76" s="3" t="s">
        <v>13</v>
      </c>
      <c r="AL76"/>
      <c r="AM76"/>
    </row>
    <row r="77" spans="1:43" x14ac:dyDescent="0.35">
      <c r="B77" t="s">
        <v>13</v>
      </c>
      <c r="F77" s="3"/>
      <c r="G77" s="3" t="s">
        <v>13</v>
      </c>
      <c r="H77" s="3"/>
      <c r="I77" s="3"/>
      <c r="J77" s="3"/>
      <c r="K77" s="3"/>
      <c r="L77" s="3"/>
      <c r="AG77" s="3" t="s">
        <v>13</v>
      </c>
      <c r="AJ77" s="3" t="s">
        <v>13</v>
      </c>
      <c r="AL77"/>
      <c r="AM77"/>
    </row>
    <row r="78" spans="1:43" x14ac:dyDescent="0.35">
      <c r="B78" t="s">
        <v>13</v>
      </c>
      <c r="F78" s="3"/>
      <c r="G78" s="3" t="s">
        <v>13</v>
      </c>
      <c r="H78" s="3"/>
      <c r="I78" s="3"/>
      <c r="J78" s="3"/>
      <c r="K78" s="3"/>
      <c r="L78" s="3"/>
      <c r="AG78" s="3" t="s">
        <v>13</v>
      </c>
      <c r="AJ78" s="3" t="s">
        <v>13</v>
      </c>
      <c r="AL78"/>
      <c r="AM78"/>
    </row>
    <row r="79" spans="1:43" x14ac:dyDescent="0.35">
      <c r="B79" t="s">
        <v>13</v>
      </c>
      <c r="F79" s="3"/>
      <c r="G79" s="3" t="s">
        <v>13</v>
      </c>
      <c r="H79" s="3"/>
      <c r="I79" s="3"/>
      <c r="J79" s="3"/>
      <c r="K79" s="3"/>
      <c r="L79" s="3"/>
      <c r="AG79" s="3" t="s">
        <v>13</v>
      </c>
      <c r="AJ79" s="3" t="s">
        <v>13</v>
      </c>
      <c r="AL79"/>
      <c r="AM79"/>
    </row>
    <row r="80" spans="1:43" x14ac:dyDescent="0.35">
      <c r="B80" t="s">
        <v>13</v>
      </c>
      <c r="F80" s="3"/>
      <c r="G80" s="3" t="s">
        <v>13</v>
      </c>
      <c r="H80" s="3"/>
      <c r="I80" s="3"/>
      <c r="J80" s="3"/>
      <c r="K80" s="3"/>
      <c r="L80" s="3"/>
      <c r="AG80" s="3" t="s">
        <v>13</v>
      </c>
      <c r="AJ80" s="3" t="s">
        <v>13</v>
      </c>
      <c r="AL80"/>
      <c r="AM80"/>
    </row>
    <row r="81" spans="2:39" x14ac:dyDescent="0.35">
      <c r="B81" t="s">
        <v>13</v>
      </c>
      <c r="F81" s="3"/>
      <c r="G81" s="3" t="s">
        <v>13</v>
      </c>
      <c r="H81" s="3"/>
      <c r="I81" s="3"/>
      <c r="J81" s="3"/>
      <c r="K81" s="3"/>
      <c r="L81" s="3"/>
      <c r="AG81" s="3" t="s">
        <v>13</v>
      </c>
      <c r="AJ81" s="3" t="s">
        <v>13</v>
      </c>
      <c r="AL81"/>
      <c r="AM81"/>
    </row>
    <row r="82" spans="2:39" x14ac:dyDescent="0.35">
      <c r="B82" t="s">
        <v>13</v>
      </c>
      <c r="F82" s="3"/>
      <c r="G82" s="3" t="s">
        <v>13</v>
      </c>
      <c r="H82" s="3"/>
      <c r="I82" s="3"/>
      <c r="J82" s="3"/>
      <c r="K82" s="3"/>
      <c r="L82" s="3"/>
      <c r="AG82" s="3" t="s">
        <v>13</v>
      </c>
      <c r="AJ82" s="3" t="s">
        <v>13</v>
      </c>
      <c r="AL82"/>
      <c r="AM82"/>
    </row>
    <row r="83" spans="2:39" x14ac:dyDescent="0.35">
      <c r="B83" t="s">
        <v>13</v>
      </c>
      <c r="F83" s="3"/>
      <c r="G83" s="3" t="s">
        <v>13</v>
      </c>
      <c r="H83" s="3"/>
      <c r="I83" s="3"/>
      <c r="J83" s="3"/>
      <c r="K83" s="3"/>
      <c r="L83" s="3"/>
      <c r="AG83" s="3" t="s">
        <v>13</v>
      </c>
      <c r="AJ83" s="3" t="s">
        <v>13</v>
      </c>
      <c r="AL83"/>
      <c r="AM83"/>
    </row>
    <row r="84" spans="2:39" x14ac:dyDescent="0.35">
      <c r="B84" t="s">
        <v>13</v>
      </c>
      <c r="F84" s="3"/>
      <c r="G84" s="3" t="s">
        <v>13</v>
      </c>
      <c r="H84" s="3"/>
      <c r="I84" s="3"/>
      <c r="J84" s="3"/>
      <c r="K84" s="3"/>
      <c r="L84" s="3"/>
      <c r="AG84" s="3" t="s">
        <v>13</v>
      </c>
      <c r="AJ84" s="3" t="s">
        <v>13</v>
      </c>
      <c r="AL84"/>
      <c r="AM84"/>
    </row>
    <row r="85" spans="2:39" x14ac:dyDescent="0.35">
      <c r="B85" t="s">
        <v>13</v>
      </c>
      <c r="F85" s="3"/>
      <c r="G85" s="3" t="s">
        <v>13</v>
      </c>
      <c r="H85" s="3"/>
      <c r="I85" s="3"/>
      <c r="J85" s="3"/>
      <c r="K85" s="3"/>
      <c r="L85" s="3"/>
      <c r="AL85"/>
      <c r="AM85"/>
    </row>
    <row r="86" spans="2:39" x14ac:dyDescent="0.35">
      <c r="B86" t="s">
        <v>13</v>
      </c>
      <c r="F86" s="3"/>
      <c r="G86" s="3" t="s">
        <v>13</v>
      </c>
      <c r="H86" s="3"/>
      <c r="I86" s="3"/>
      <c r="J86" s="3"/>
      <c r="K86" s="3"/>
      <c r="L86" s="3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  <row r="119" spans="2:39" x14ac:dyDescent="0.35">
      <c r="B119" t="s">
        <v>13</v>
      </c>
      <c r="E119"/>
      <c r="AL119"/>
      <c r="AM119"/>
    </row>
  </sheetData>
  <phoneticPr fontId="20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A574-D0FB-4D15-A14E-61FCD9B591CF}">
  <dimension ref="A1:AR126"/>
  <sheetViews>
    <sheetView zoomScale="76" zoomScaleNormal="76" workbookViewId="0">
      <pane xSplit="5" ySplit="3" topLeftCell="AH36" activePane="bottomRight" state="frozen"/>
      <selection pane="topRight" activeCell="F1" sqref="F1"/>
      <selection pane="bottomLeft" activeCell="A4" sqref="A4"/>
      <selection pane="bottomRight" activeCell="A48" sqref="A48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45231</v>
      </c>
      <c r="G2" s="1">
        <v>45232</v>
      </c>
      <c r="H2" s="1">
        <v>45233</v>
      </c>
      <c r="I2" s="1">
        <v>45234</v>
      </c>
      <c r="J2" s="1">
        <v>45235</v>
      </c>
      <c r="K2" s="1">
        <v>45236</v>
      </c>
      <c r="L2" s="1">
        <v>45237</v>
      </c>
      <c r="M2" s="1">
        <v>45238</v>
      </c>
      <c r="N2" s="1">
        <v>45239</v>
      </c>
      <c r="O2" s="1">
        <v>45240</v>
      </c>
      <c r="P2" s="1">
        <v>45241</v>
      </c>
      <c r="Q2" s="1">
        <v>45242</v>
      </c>
      <c r="R2" s="1">
        <v>45243</v>
      </c>
      <c r="S2" s="1">
        <v>45244</v>
      </c>
      <c r="T2" s="1">
        <v>45245</v>
      </c>
      <c r="U2" s="1">
        <v>45246</v>
      </c>
      <c r="V2" s="1">
        <v>45247</v>
      </c>
      <c r="W2" s="1">
        <v>45248</v>
      </c>
      <c r="X2" s="1">
        <v>45249</v>
      </c>
      <c r="Y2" s="1">
        <v>45250</v>
      </c>
      <c r="Z2" s="1">
        <v>45251</v>
      </c>
      <c r="AA2" s="1">
        <v>45252</v>
      </c>
      <c r="AB2" s="1">
        <v>45253</v>
      </c>
      <c r="AC2" s="1">
        <v>45254</v>
      </c>
      <c r="AD2" s="1">
        <v>45255</v>
      </c>
      <c r="AE2" s="1">
        <v>45256</v>
      </c>
      <c r="AF2" s="1">
        <v>45257</v>
      </c>
      <c r="AG2" s="1">
        <v>45258</v>
      </c>
      <c r="AH2" s="1">
        <v>45259</v>
      </c>
      <c r="AI2" s="1">
        <v>45260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+'Oct-23'!AJ65</f>
        <v>2161996.7477107514</v>
      </c>
      <c r="G3" s="3">
        <f t="shared" ref="G3:AJ3" si="0">+F72</f>
        <v>2161996.7477107514</v>
      </c>
      <c r="H3" s="3">
        <f t="shared" si="0"/>
        <v>2161996.7477107514</v>
      </c>
      <c r="I3" s="3">
        <f t="shared" si="0"/>
        <v>2161996.7477107514</v>
      </c>
      <c r="J3" s="3">
        <f t="shared" si="0"/>
        <v>2161996.7477107514</v>
      </c>
      <c r="K3" s="3">
        <f t="shared" si="0"/>
        <v>2148091.7477107514</v>
      </c>
      <c r="L3" s="3">
        <f t="shared" si="0"/>
        <v>2005291.7477107514</v>
      </c>
      <c r="M3" s="3">
        <f t="shared" si="0"/>
        <v>1967940.8777107513</v>
      </c>
      <c r="N3" s="3">
        <f t="shared" si="0"/>
        <v>1967940.8777107513</v>
      </c>
      <c r="O3" s="3">
        <f t="shared" si="0"/>
        <v>1947940.8777107513</v>
      </c>
      <c r="P3" s="3">
        <f t="shared" si="0"/>
        <v>1947940.8777107513</v>
      </c>
      <c r="Q3" s="3">
        <f t="shared" si="0"/>
        <v>1947940.8777107513</v>
      </c>
      <c r="R3" s="3">
        <f t="shared" si="0"/>
        <v>1947940.8777107513</v>
      </c>
      <c r="S3" s="3">
        <f t="shared" si="0"/>
        <v>1947940.8777107513</v>
      </c>
      <c r="T3" s="3">
        <f t="shared" si="0"/>
        <v>1947940.8777107513</v>
      </c>
      <c r="U3" s="3">
        <f t="shared" si="0"/>
        <v>1947940.8777107513</v>
      </c>
      <c r="V3" s="3">
        <f t="shared" si="0"/>
        <v>1947940.8777107513</v>
      </c>
      <c r="W3" s="3">
        <f t="shared" si="0"/>
        <v>1947940.8777107513</v>
      </c>
      <c r="X3" s="3">
        <f t="shared" si="0"/>
        <v>1947940.8777107513</v>
      </c>
      <c r="Y3" s="3">
        <f t="shared" si="0"/>
        <v>1947940.8777107513</v>
      </c>
      <c r="Z3" s="3">
        <f t="shared" si="0"/>
        <v>1950012.8777107513</v>
      </c>
      <c r="AA3" s="3">
        <f t="shared" si="0"/>
        <v>1950012.8777107513</v>
      </c>
      <c r="AB3" s="3">
        <f t="shared" si="0"/>
        <v>798764.08579575131</v>
      </c>
      <c r="AC3" s="3">
        <f t="shared" si="0"/>
        <v>771840.33579575131</v>
      </c>
      <c r="AD3" s="3">
        <f t="shared" si="0"/>
        <v>771840.33579575131</v>
      </c>
      <c r="AE3" s="3">
        <f t="shared" si="0"/>
        <v>771840.33579575131</v>
      </c>
      <c r="AF3" s="3">
        <f t="shared" si="0"/>
        <v>771840.33579575131</v>
      </c>
      <c r="AG3" s="3">
        <f t="shared" si="0"/>
        <v>1166450.3357957513</v>
      </c>
      <c r="AH3" s="3">
        <f t="shared" si="0"/>
        <v>1166450.3357957513</v>
      </c>
      <c r="AI3" s="3">
        <f t="shared" si="0"/>
        <v>1166450.3357957513</v>
      </c>
      <c r="AJ3" s="3">
        <f t="shared" si="0"/>
        <v>1069900.3357957513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2226</v>
      </c>
      <c r="B6" s="66" t="s">
        <v>2221</v>
      </c>
      <c r="C6" s="38">
        <v>45169</v>
      </c>
      <c r="D6" s="39">
        <v>87189</v>
      </c>
      <c r="E6" s="40" t="s">
        <v>782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Y6" s="3">
        <v>87189</v>
      </c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87189</v>
      </c>
      <c r="AL6" s="22"/>
    </row>
    <row r="7" spans="1:39" x14ac:dyDescent="0.35">
      <c r="A7" s="41" t="s">
        <v>2227</v>
      </c>
      <c r="B7" t="s">
        <v>2222</v>
      </c>
      <c r="C7" s="5">
        <v>45169</v>
      </c>
      <c r="D7" s="3">
        <v>87189</v>
      </c>
      <c r="E7" s="42" t="s">
        <v>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Y7" s="3">
        <v>87189</v>
      </c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87189</v>
      </c>
      <c r="AL7" s="22"/>
    </row>
    <row r="8" spans="1:39" x14ac:dyDescent="0.35">
      <c r="A8" s="41" t="s">
        <v>2228</v>
      </c>
      <c r="B8" t="s">
        <v>2223</v>
      </c>
      <c r="C8" s="5">
        <v>45170</v>
      </c>
      <c r="D8" s="3">
        <v>87189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Y8" s="3">
        <v>87189</v>
      </c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87189</v>
      </c>
      <c r="AL8" s="22"/>
    </row>
    <row r="9" spans="1:39" x14ac:dyDescent="0.35">
      <c r="A9" s="41" t="s">
        <v>2229</v>
      </c>
      <c r="B9" t="s">
        <v>2224</v>
      </c>
      <c r="C9" s="5">
        <v>45170</v>
      </c>
      <c r="D9" s="3">
        <v>87189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Y9" s="3">
        <v>87189</v>
      </c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87189</v>
      </c>
      <c r="AL9" s="22"/>
    </row>
    <row r="10" spans="1:39" x14ac:dyDescent="0.35">
      <c r="A10" s="41" t="s">
        <v>2231</v>
      </c>
      <c r="B10" t="s">
        <v>2232</v>
      </c>
      <c r="C10" s="5">
        <v>45172</v>
      </c>
      <c r="D10" s="3">
        <v>128522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>
        <v>128522</v>
      </c>
      <c r="AG10" s="3"/>
      <c r="AH10" s="3"/>
      <c r="AI10" s="3"/>
      <c r="AK10" s="3">
        <f>SUM($F10:AJ10)</f>
        <v>128522</v>
      </c>
      <c r="AL10" s="22"/>
    </row>
    <row r="11" spans="1:39" x14ac:dyDescent="0.35">
      <c r="A11" s="41" t="s">
        <v>2235</v>
      </c>
      <c r="B11" t="s">
        <v>2233</v>
      </c>
      <c r="C11" s="5">
        <v>45176</v>
      </c>
      <c r="D11" s="3">
        <v>45855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>
        <v>45855</v>
      </c>
      <c r="AG11" s="3"/>
      <c r="AH11" s="3"/>
      <c r="AI11" s="3"/>
      <c r="AK11" s="3">
        <f>SUM($F11:AJ11)</f>
        <v>45855</v>
      </c>
      <c r="AL11" s="22"/>
    </row>
    <row r="12" spans="1:39" x14ac:dyDescent="0.35">
      <c r="A12" s="41" t="s">
        <v>2236</v>
      </c>
      <c r="B12" t="s">
        <v>2234</v>
      </c>
      <c r="C12" s="5">
        <v>45176</v>
      </c>
      <c r="D12" s="3">
        <v>87189</v>
      </c>
      <c r="E12" s="42" t="s">
        <v>782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>
        <v>87189</v>
      </c>
      <c r="AG12" s="3"/>
      <c r="AH12" s="3"/>
      <c r="AI12" s="3"/>
      <c r="AK12" s="3">
        <f>SUM($F12:AJ12)</f>
        <v>87189</v>
      </c>
      <c r="AL12" s="22"/>
    </row>
    <row r="13" spans="1:39" x14ac:dyDescent="0.35">
      <c r="A13" s="41" t="s">
        <v>2244</v>
      </c>
      <c r="B13" t="s">
        <v>2241</v>
      </c>
      <c r="C13" s="5">
        <v>45178</v>
      </c>
      <c r="D13" s="3">
        <v>45855</v>
      </c>
      <c r="E13" s="42" t="s">
        <v>782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>
        <v>45855</v>
      </c>
      <c r="AG13" s="3"/>
      <c r="AH13" s="3"/>
      <c r="AI13" s="3"/>
      <c r="AK13" s="3">
        <f>SUM($F13:AJ13)</f>
        <v>45855</v>
      </c>
      <c r="AL13" s="22"/>
    </row>
    <row r="14" spans="1:39" x14ac:dyDescent="0.35">
      <c r="A14" s="41" t="s">
        <v>2245</v>
      </c>
      <c r="B14" t="s">
        <v>2242</v>
      </c>
      <c r="C14" s="5">
        <v>45178</v>
      </c>
      <c r="D14" s="3">
        <v>87189</v>
      </c>
      <c r="E14" s="42" t="s">
        <v>782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2248</v>
      </c>
      <c r="B15" t="s">
        <v>2243</v>
      </c>
      <c r="C15" s="5">
        <v>45183</v>
      </c>
      <c r="D15" s="3">
        <v>87189</v>
      </c>
      <c r="E15" s="42" t="s">
        <v>782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2251</v>
      </c>
      <c r="B16" t="s">
        <v>2249</v>
      </c>
      <c r="C16" s="5">
        <v>45184</v>
      </c>
      <c r="D16" s="3">
        <v>45855</v>
      </c>
      <c r="E16" s="42" t="s">
        <v>782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38" x14ac:dyDescent="0.35">
      <c r="A17" s="41" t="s">
        <v>2252</v>
      </c>
      <c r="B17" t="s">
        <v>2250</v>
      </c>
      <c r="C17" s="5">
        <v>45184</v>
      </c>
      <c r="D17" s="3">
        <v>4522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38" x14ac:dyDescent="0.35">
      <c r="A18" s="41" t="s">
        <v>2255</v>
      </c>
      <c r="B18" t="s">
        <v>2253</v>
      </c>
      <c r="C18" s="5">
        <v>45192</v>
      </c>
      <c r="D18" s="3">
        <v>45855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 t="s">
        <v>13</v>
      </c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38" x14ac:dyDescent="0.35">
      <c r="A19" s="41" t="s">
        <v>2256</v>
      </c>
      <c r="B19" t="s">
        <v>2254</v>
      </c>
      <c r="C19" s="5">
        <v>45192</v>
      </c>
      <c r="D19" s="3">
        <v>87189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 t="s">
        <v>13</v>
      </c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38" x14ac:dyDescent="0.35">
      <c r="A20" s="41" t="s">
        <v>2251</v>
      </c>
      <c r="B20" t="s">
        <v>2267</v>
      </c>
      <c r="C20" s="5">
        <v>45199</v>
      </c>
      <c r="D20" s="3">
        <v>87189</v>
      </c>
      <c r="E20" s="42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38" x14ac:dyDescent="0.35">
      <c r="A21" s="41" t="s">
        <v>2252</v>
      </c>
      <c r="B21" t="s">
        <v>2268</v>
      </c>
      <c r="C21" s="5">
        <v>45199</v>
      </c>
      <c r="D21" s="3">
        <v>45855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8" x14ac:dyDescent="0.35">
      <c r="A22" s="41" t="s">
        <v>2248</v>
      </c>
      <c r="B22" t="s">
        <v>2269</v>
      </c>
      <c r="C22" s="5">
        <v>45199</v>
      </c>
      <c r="D22" s="3">
        <v>87189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8" x14ac:dyDescent="0.35">
      <c r="A23" s="41" t="s">
        <v>2281</v>
      </c>
      <c r="B23" t="s">
        <v>2276</v>
      </c>
      <c r="C23" s="5">
        <v>45205</v>
      </c>
      <c r="D23" s="3">
        <v>45855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8" x14ac:dyDescent="0.35">
      <c r="A24" s="41" t="s">
        <v>2282</v>
      </c>
      <c r="B24" t="s">
        <v>2277</v>
      </c>
      <c r="C24" s="5">
        <v>45205</v>
      </c>
      <c r="D24" s="3">
        <v>96114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38" x14ac:dyDescent="0.35">
      <c r="A25" s="41" t="s">
        <v>2284</v>
      </c>
      <c r="B25" t="s">
        <v>2278</v>
      </c>
      <c r="C25" s="5">
        <v>45205</v>
      </c>
      <c r="D25" s="3">
        <v>87189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38" x14ac:dyDescent="0.35">
      <c r="A26" s="41" t="s">
        <v>2283</v>
      </c>
      <c r="B26" t="s">
        <v>2279</v>
      </c>
      <c r="C26" s="5">
        <v>45205</v>
      </c>
      <c r="D26" s="3">
        <v>45855</v>
      </c>
      <c r="E26" s="42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38" x14ac:dyDescent="0.35">
      <c r="A27" s="41" t="s">
        <v>2286</v>
      </c>
      <c r="B27" t="s">
        <v>2287</v>
      </c>
      <c r="C27" s="5">
        <v>45210</v>
      </c>
      <c r="D27" s="3">
        <v>87189</v>
      </c>
      <c r="E27" s="42" t="s">
        <v>782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38" x14ac:dyDescent="0.35">
      <c r="A28" s="41" t="s">
        <v>2288</v>
      </c>
      <c r="B28" t="s">
        <v>2289</v>
      </c>
      <c r="C28" s="5">
        <v>45210</v>
      </c>
      <c r="D28" s="3">
        <v>87189</v>
      </c>
      <c r="E28" s="42" t="s">
        <v>782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</row>
    <row r="29" spans="1:38" x14ac:dyDescent="0.35">
      <c r="A29" s="41" t="s">
        <v>2290</v>
      </c>
      <c r="B29" t="s">
        <v>2291</v>
      </c>
      <c r="C29" s="5">
        <v>45213</v>
      </c>
      <c r="D29" s="3">
        <v>87189</v>
      </c>
      <c r="E29" s="42" t="s">
        <v>782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0</v>
      </c>
      <c r="AL29" s="22"/>
    </row>
    <row r="30" spans="1:38" x14ac:dyDescent="0.35">
      <c r="A30" s="41" t="s">
        <v>2292</v>
      </c>
      <c r="B30" t="s">
        <v>2054</v>
      </c>
      <c r="C30" s="5">
        <v>45213</v>
      </c>
      <c r="D30" s="3">
        <v>87189</v>
      </c>
      <c r="E30" s="42" t="s">
        <v>782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>
        <f>SUM($F30:AJ30)</f>
        <v>0</v>
      </c>
      <c r="AL30" s="22"/>
    </row>
    <row r="31" spans="1:38" x14ac:dyDescent="0.35">
      <c r="A31" s="41" t="s">
        <v>2293</v>
      </c>
      <c r="B31" t="s">
        <v>2294</v>
      </c>
      <c r="C31" s="5">
        <v>45214</v>
      </c>
      <c r="D31" s="3">
        <v>87189</v>
      </c>
      <c r="E31" s="42" t="s">
        <v>782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">
        <f>SUM($F31:AJ31)</f>
        <v>0</v>
      </c>
      <c r="AL31" s="22"/>
    </row>
    <row r="32" spans="1:38" x14ac:dyDescent="0.35">
      <c r="A32" s="41" t="s">
        <v>2305</v>
      </c>
      <c r="B32" t="s">
        <v>2306</v>
      </c>
      <c r="C32" s="5">
        <v>45225</v>
      </c>
      <c r="D32" s="3">
        <v>96114</v>
      </c>
      <c r="E32" s="42" t="s">
        <v>782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0</v>
      </c>
      <c r="AL32" s="22"/>
    </row>
    <row r="33" spans="1:41" ht="15" thickBot="1" x14ac:dyDescent="0.4">
      <c r="A33" s="43" t="s">
        <v>2307</v>
      </c>
      <c r="B33" s="76" t="s">
        <v>2308</v>
      </c>
      <c r="C33" s="45">
        <v>45226</v>
      </c>
      <c r="D33" s="46">
        <v>87189</v>
      </c>
      <c r="E33" s="47" t="s">
        <v>1345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>
        <v>87189</v>
      </c>
      <c r="AG33" s="3"/>
      <c r="AH33" s="3"/>
      <c r="AI33" s="3"/>
      <c r="AK33" s="3">
        <f>SUM($F33:AJ33)</f>
        <v>87189</v>
      </c>
      <c r="AL33" s="22"/>
    </row>
    <row r="34" spans="1:41" x14ac:dyDescent="0.35">
      <c r="A34" s="41" t="s">
        <v>2311</v>
      </c>
      <c r="B34" t="s">
        <v>2312</v>
      </c>
      <c r="C34" s="5">
        <v>45239</v>
      </c>
      <c r="D34" s="3">
        <v>87189</v>
      </c>
      <c r="E34" s="42" t="s">
        <v>782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>
        <f>SUM($F34:AJ34)</f>
        <v>0</v>
      </c>
      <c r="AL34" s="22"/>
    </row>
    <row r="35" spans="1:41" x14ac:dyDescent="0.35">
      <c r="A35" s="41" t="s">
        <v>2314</v>
      </c>
      <c r="B35" t="s">
        <v>975</v>
      </c>
      <c r="C35" s="5">
        <v>45256</v>
      </c>
      <c r="D35" s="3">
        <v>87189</v>
      </c>
      <c r="E35" s="42" t="s">
        <v>782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K35" s="3">
        <f>SUM($F35:AJ35)</f>
        <v>0</v>
      </c>
      <c r="AL35" s="22"/>
    </row>
    <row r="36" spans="1:41" x14ac:dyDescent="0.35">
      <c r="A36" s="41"/>
      <c r="C36" s="5"/>
      <c r="D36" s="3"/>
      <c r="E36" s="4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0</v>
      </c>
      <c r="AL36" s="22"/>
    </row>
    <row r="37" spans="1:41" x14ac:dyDescent="0.35">
      <c r="A37" s="41"/>
      <c r="C37" s="5"/>
      <c r="D37" s="3"/>
      <c r="E37" s="4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  <c r="AL37" s="22"/>
    </row>
    <row r="38" spans="1:41" x14ac:dyDescent="0.35">
      <c r="A38" s="41"/>
      <c r="C38" s="5"/>
      <c r="D38" s="3"/>
      <c r="E38" s="4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K38" s="3">
        <f>SUM($F38:AJ38)</f>
        <v>0</v>
      </c>
      <c r="AL38" s="22"/>
    </row>
    <row r="39" spans="1:41" ht="15" thickBot="1" x14ac:dyDescent="0.4">
      <c r="A39" s="43"/>
      <c r="B39" s="76"/>
      <c r="C39" s="45"/>
      <c r="D39" s="46"/>
      <c r="E39" s="4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K39" s="3">
        <f>SUM($F39:AJ39)</f>
        <v>0</v>
      </c>
      <c r="AL39" s="22"/>
    </row>
    <row r="40" spans="1:41" x14ac:dyDescent="0.35">
      <c r="D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K40" s="324" t="s">
        <v>1962</v>
      </c>
      <c r="AL40" s="22" t="s">
        <v>1352</v>
      </c>
    </row>
    <row r="41" spans="1:41" x14ac:dyDescent="0.35">
      <c r="A41" s="2" t="s">
        <v>1676</v>
      </c>
      <c r="D41" s="3">
        <f>SUM(D23:D39)</f>
        <v>1068639</v>
      </c>
      <c r="F41" s="3">
        <f t="shared" ref="F41:AJ41" si="1">SUM(F5:F39)</f>
        <v>0</v>
      </c>
      <c r="G41" s="3">
        <f t="shared" si="1"/>
        <v>0</v>
      </c>
      <c r="H41" s="3">
        <f t="shared" si="1"/>
        <v>0</v>
      </c>
      <c r="I41" s="3">
        <f t="shared" si="1"/>
        <v>0</v>
      </c>
      <c r="J41" s="3">
        <f t="shared" si="1"/>
        <v>0</v>
      </c>
      <c r="K41" s="3">
        <f t="shared" si="1"/>
        <v>0</v>
      </c>
      <c r="L41" s="3">
        <f t="shared" si="1"/>
        <v>0</v>
      </c>
      <c r="M41" s="3">
        <f t="shared" si="1"/>
        <v>0</v>
      </c>
      <c r="N41" s="3">
        <f t="shared" si="1"/>
        <v>0</v>
      </c>
      <c r="O41" s="3">
        <f t="shared" si="1"/>
        <v>0</v>
      </c>
      <c r="P41" s="3">
        <f t="shared" si="1"/>
        <v>0</v>
      </c>
      <c r="Q41" s="3">
        <f t="shared" si="1"/>
        <v>0</v>
      </c>
      <c r="R41" s="3">
        <f t="shared" si="1"/>
        <v>0</v>
      </c>
      <c r="S41" s="3">
        <f t="shared" si="1"/>
        <v>0</v>
      </c>
      <c r="T41" s="3">
        <f t="shared" si="1"/>
        <v>0</v>
      </c>
      <c r="U41" s="3">
        <f t="shared" si="1"/>
        <v>0</v>
      </c>
      <c r="V41" s="3">
        <f t="shared" si="1"/>
        <v>0</v>
      </c>
      <c r="W41" s="3">
        <f t="shared" si="1"/>
        <v>0</v>
      </c>
      <c r="X41" s="3">
        <f t="shared" si="1"/>
        <v>0</v>
      </c>
      <c r="Y41" s="3">
        <f t="shared" si="1"/>
        <v>348756</v>
      </c>
      <c r="Z41" s="3">
        <f t="shared" si="1"/>
        <v>0</v>
      </c>
      <c r="AA41" s="3">
        <f t="shared" si="1"/>
        <v>0</v>
      </c>
      <c r="AB41" s="3">
        <f t="shared" si="1"/>
        <v>0</v>
      </c>
      <c r="AC41" s="3">
        <f t="shared" si="1"/>
        <v>0</v>
      </c>
      <c r="AD41" s="3">
        <f t="shared" si="1"/>
        <v>0</v>
      </c>
      <c r="AE41" s="3">
        <f t="shared" si="1"/>
        <v>0</v>
      </c>
      <c r="AF41" s="3">
        <f t="shared" si="1"/>
        <v>394610</v>
      </c>
      <c r="AG41" s="3">
        <f t="shared" si="1"/>
        <v>0</v>
      </c>
      <c r="AH41" s="3">
        <f t="shared" si="1"/>
        <v>0</v>
      </c>
      <c r="AI41" s="3">
        <f t="shared" si="1"/>
        <v>0</v>
      </c>
      <c r="AJ41" s="3">
        <f t="shared" si="1"/>
        <v>0</v>
      </c>
      <c r="AK41" s="72">
        <f>SUM(AK6:AK39)</f>
        <v>743366</v>
      </c>
      <c r="AL41" s="22">
        <f>+D42-AK41</f>
        <v>1559482</v>
      </c>
      <c r="AM41" s="6" t="s">
        <v>13</v>
      </c>
    </row>
    <row r="42" spans="1:41" x14ac:dyDescent="0.35">
      <c r="A42" s="2" t="s">
        <v>1780</v>
      </c>
      <c r="B42" t="s">
        <v>13</v>
      </c>
      <c r="C42" s="3" t="s">
        <v>13</v>
      </c>
      <c r="D42" s="3">
        <f>SUM(D6:D39)</f>
        <v>2302848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41" x14ac:dyDescent="0.35">
      <c r="A43" s="2"/>
      <c r="C43" s="3"/>
      <c r="D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41" x14ac:dyDescent="0.35">
      <c r="A44" s="2" t="s">
        <v>2</v>
      </c>
      <c r="C44" t="s">
        <v>13</v>
      </c>
      <c r="F44" s="3"/>
      <c r="G44" s="3"/>
      <c r="H44" s="3"/>
      <c r="I44" s="3"/>
      <c r="J44" s="3"/>
      <c r="K44" s="3"/>
      <c r="L44" s="3" t="s">
        <v>13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41" ht="15" thickBot="1" x14ac:dyDescent="0.4">
      <c r="A45" s="404">
        <v>45178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41" x14ac:dyDescent="0.35">
      <c r="A46" s="358" t="s">
        <v>1008</v>
      </c>
      <c r="B46" s="37" t="s">
        <v>337</v>
      </c>
      <c r="C46" s="38"/>
      <c r="D46" s="39">
        <v>2400000</v>
      </c>
      <c r="E46" s="40"/>
      <c r="F46" s="3"/>
      <c r="G46" s="3"/>
      <c r="H46" s="3" t="s">
        <v>13</v>
      </c>
      <c r="I46" s="3" t="s">
        <v>13</v>
      </c>
      <c r="J46" s="3"/>
      <c r="K46" s="3"/>
      <c r="L46" s="3"/>
      <c r="M46" s="3"/>
      <c r="N46" s="3"/>
      <c r="O46" s="3"/>
      <c r="P46" s="3" t="s">
        <v>13</v>
      </c>
      <c r="Q46" s="3"/>
      <c r="R46" s="3"/>
      <c r="S46" s="3"/>
      <c r="T46" s="3"/>
      <c r="U46" s="3"/>
      <c r="V46" s="3"/>
      <c r="W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K46" s="3">
        <f>SUM($F46:AJ46)</f>
        <v>0</v>
      </c>
    </row>
    <row r="47" spans="1:41" x14ac:dyDescent="0.35">
      <c r="A47" s="41" t="s">
        <v>2300</v>
      </c>
      <c r="B47" t="s">
        <v>337</v>
      </c>
      <c r="C47" s="5">
        <v>45236</v>
      </c>
      <c r="D47" s="3">
        <v>37350.870000000003</v>
      </c>
      <c r="E47" s="42" t="s">
        <v>503</v>
      </c>
      <c r="F47" s="3" t="s">
        <v>13</v>
      </c>
      <c r="G47" s="3"/>
      <c r="H47" s="3"/>
      <c r="I47" s="3"/>
      <c r="J47" s="3"/>
      <c r="K47" s="3"/>
      <c r="L47" s="3">
        <v>37350.870000000003</v>
      </c>
      <c r="M47" s="3" t="s">
        <v>13</v>
      </c>
      <c r="N47" s="3"/>
      <c r="O47" s="3"/>
      <c r="P47" s="3"/>
      <c r="Q47" s="3"/>
      <c r="R47" s="3"/>
      <c r="S47" s="3"/>
      <c r="T47" s="3"/>
      <c r="U47" s="3"/>
      <c r="V47" s="3"/>
      <c r="W47" s="3"/>
      <c r="Z47" s="3"/>
      <c r="AA47" s="3"/>
      <c r="AB47" s="3"/>
      <c r="AC47" s="3"/>
      <c r="AD47" s="3"/>
      <c r="AE47" s="3"/>
      <c r="AG47" s="3" t="s">
        <v>13</v>
      </c>
      <c r="AH47" s="3"/>
      <c r="AI47" s="3"/>
      <c r="AK47" s="3">
        <f>SUM($F47:AJ47)</f>
        <v>37350.870000000003</v>
      </c>
      <c r="AL47" s="6" t="s">
        <v>1846</v>
      </c>
    </row>
    <row r="48" spans="1:41" x14ac:dyDescent="0.35">
      <c r="A48" s="343" t="s">
        <v>2272</v>
      </c>
      <c r="B48" t="s">
        <v>1740</v>
      </c>
      <c r="C48" s="5">
        <v>45236</v>
      </c>
      <c r="D48" s="3">
        <v>142800</v>
      </c>
      <c r="E48" s="344" t="s">
        <v>503</v>
      </c>
      <c r="F48" s="3" t="s">
        <v>13</v>
      </c>
      <c r="H48" s="3"/>
      <c r="I48" s="3"/>
      <c r="J48" s="3"/>
      <c r="K48" s="3">
        <v>142800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142800</v>
      </c>
      <c r="AL48" s="6" t="s">
        <v>83</v>
      </c>
      <c r="AN48" s="26"/>
      <c r="AO48" s="3"/>
    </row>
    <row r="49" spans="1:43" x14ac:dyDescent="0.35">
      <c r="A49" s="343" t="s">
        <v>2298</v>
      </c>
      <c r="C49" s="5">
        <v>45231</v>
      </c>
      <c r="D49" s="3">
        <v>13905</v>
      </c>
      <c r="E49" s="344" t="s">
        <v>503</v>
      </c>
      <c r="F49" s="3"/>
      <c r="H49" s="3"/>
      <c r="I49" s="3"/>
      <c r="J49" s="3">
        <v>13905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13905</v>
      </c>
      <c r="AL49" s="6" t="s">
        <v>1557</v>
      </c>
      <c r="AN49" s="26"/>
      <c r="AO49" s="3"/>
    </row>
    <row r="50" spans="1:43" x14ac:dyDescent="0.35">
      <c r="A50" s="343" t="s">
        <v>823</v>
      </c>
      <c r="C50" s="5">
        <v>45250</v>
      </c>
      <c r="D50" s="3">
        <v>178156</v>
      </c>
      <c r="E50" s="344" t="s">
        <v>4</v>
      </c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 t="s">
        <v>13</v>
      </c>
      <c r="Y50" s="3">
        <v>178156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178156</v>
      </c>
      <c r="AN50" s="26"/>
      <c r="AO50" s="3"/>
    </row>
    <row r="51" spans="1:43" x14ac:dyDescent="0.35">
      <c r="A51" s="343" t="s">
        <v>2126</v>
      </c>
      <c r="C51" s="5">
        <v>45237</v>
      </c>
      <c r="D51" s="3">
        <v>5499</v>
      </c>
      <c r="E51" s="344" t="s">
        <v>4</v>
      </c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Y51" s="3">
        <v>5499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5499</v>
      </c>
      <c r="AL51" s="6" t="s">
        <v>81</v>
      </c>
      <c r="AN51" s="26"/>
      <c r="AO51" s="3"/>
    </row>
    <row r="52" spans="1:43" x14ac:dyDescent="0.35">
      <c r="A52" s="343" t="s">
        <v>2126</v>
      </c>
      <c r="C52" s="5">
        <v>45238</v>
      </c>
      <c r="D52" s="3">
        <v>56290</v>
      </c>
      <c r="E52" s="344" t="s">
        <v>4</v>
      </c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f>SUM($F52:AJ52)</f>
        <v>0</v>
      </c>
      <c r="AL52" s="6" t="s">
        <v>81</v>
      </c>
      <c r="AN52" s="26"/>
      <c r="AO52" s="3"/>
    </row>
    <row r="53" spans="1:43" x14ac:dyDescent="0.35">
      <c r="A53" s="343" t="s">
        <v>2309</v>
      </c>
      <c r="C53" s="5">
        <v>45239</v>
      </c>
      <c r="D53" s="3">
        <v>20000</v>
      </c>
      <c r="E53" s="344" t="s">
        <v>503</v>
      </c>
      <c r="F53" s="3"/>
      <c r="H53" s="3"/>
      <c r="I53" s="3"/>
      <c r="J53" s="3"/>
      <c r="K53" s="3"/>
      <c r="L53" s="3"/>
      <c r="M53" s="3"/>
      <c r="N53" s="3">
        <v>20000</v>
      </c>
      <c r="O53" s="3"/>
      <c r="P53" s="3"/>
      <c r="Q53" s="3"/>
      <c r="R53" s="3"/>
      <c r="S53" s="3"/>
      <c r="T53" s="3"/>
      <c r="U53" s="3"/>
      <c r="V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f>SUM($F53:AJ53)</f>
        <v>20000</v>
      </c>
      <c r="AL53" s="6" t="s">
        <v>81</v>
      </c>
      <c r="AN53" s="26"/>
      <c r="AO53" s="3"/>
    </row>
    <row r="54" spans="1:43" x14ac:dyDescent="0.35">
      <c r="A54" s="343" t="s">
        <v>2310</v>
      </c>
      <c r="C54" s="5">
        <v>45243</v>
      </c>
      <c r="D54" s="3">
        <v>163029</v>
      </c>
      <c r="E54" s="344" t="s">
        <v>4</v>
      </c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Y54" s="3">
        <v>163029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163029</v>
      </c>
      <c r="AL54" s="6" t="s">
        <v>83</v>
      </c>
      <c r="AN54" s="26"/>
      <c r="AO54" s="3"/>
    </row>
    <row r="55" spans="1:43" x14ac:dyDescent="0.35">
      <c r="A55" s="343" t="s">
        <v>2313</v>
      </c>
      <c r="C55" s="5">
        <v>45253</v>
      </c>
      <c r="D55" s="3">
        <v>26923.75</v>
      </c>
      <c r="E55" s="344" t="s">
        <v>503</v>
      </c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Y55" s="3"/>
      <c r="Z55" s="3"/>
      <c r="AA55" s="3"/>
      <c r="AB55" s="3">
        <v>26923.75</v>
      </c>
      <c r="AC55" s="3"/>
      <c r="AD55" s="3"/>
      <c r="AE55" s="3"/>
      <c r="AF55" s="3"/>
      <c r="AG55" s="3"/>
      <c r="AH55" s="3"/>
      <c r="AI55" s="3"/>
      <c r="AJ55" s="3"/>
      <c r="AK55" s="3">
        <f>SUM($F55:AJ55)</f>
        <v>26923.75</v>
      </c>
      <c r="AL55" s="6" t="s">
        <v>81</v>
      </c>
      <c r="AN55" s="26"/>
      <c r="AO55" s="3"/>
    </row>
    <row r="56" spans="1:43" x14ac:dyDescent="0.35">
      <c r="A56" s="343" t="s">
        <v>2315</v>
      </c>
      <c r="B56" t="s">
        <v>1639</v>
      </c>
      <c r="C56" s="5">
        <v>45260</v>
      </c>
      <c r="D56" s="3">
        <v>68000</v>
      </c>
      <c r="E56" s="344" t="s">
        <v>503</v>
      </c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>
        <v>68000</v>
      </c>
      <c r="AJ56" s="3"/>
      <c r="AK56" s="3">
        <f>SUM($F56:AJ56)</f>
        <v>68000</v>
      </c>
      <c r="AL56" s="6" t="s">
        <v>83</v>
      </c>
      <c r="AN56" s="26"/>
      <c r="AO56" s="3"/>
    </row>
    <row r="57" spans="1:43" x14ac:dyDescent="0.35">
      <c r="A57" s="343" t="s">
        <v>1161</v>
      </c>
      <c r="B57" t="s">
        <v>2316</v>
      </c>
      <c r="C57" s="5">
        <v>45260</v>
      </c>
      <c r="D57" s="3">
        <v>28550</v>
      </c>
      <c r="E57" s="344" t="s">
        <v>1704</v>
      </c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28550</v>
      </c>
      <c r="AJ57" s="3"/>
      <c r="AK57" s="3">
        <f>SUM($F57:AJ57)</f>
        <v>28550</v>
      </c>
      <c r="AL57" s="6" t="s">
        <v>83</v>
      </c>
      <c r="AN57" s="26"/>
      <c r="AO57" s="3"/>
    </row>
    <row r="58" spans="1:43" x14ac:dyDescent="0.35">
      <c r="A58" s="343" t="s">
        <v>2317</v>
      </c>
      <c r="B58" s="24"/>
      <c r="C58" s="5">
        <v>45260</v>
      </c>
      <c r="D58" s="3">
        <f>3603.5+2990.99+(1611.57+337.51)*2+1290*49*2/9</f>
        <v>24539.316666666666</v>
      </c>
      <c r="E58" s="34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 t="s">
        <v>13</v>
      </c>
      <c r="X58" s="3" t="s">
        <v>13</v>
      </c>
      <c r="Y58" s="3" t="s">
        <v>13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>
        <f>SUM($F58:AJ58)</f>
        <v>0</v>
      </c>
      <c r="AL58" s="6" t="s">
        <v>81</v>
      </c>
      <c r="AN58" s="26" t="s">
        <v>13</v>
      </c>
      <c r="AO58" s="3"/>
    </row>
    <row r="59" spans="1:43" x14ac:dyDescent="0.35">
      <c r="A59" s="343"/>
      <c r="B59" s="24"/>
      <c r="C59" s="5"/>
      <c r="D59" s="3"/>
      <c r="E59" s="34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>
        <f>SUM($F59:AJ59)</f>
        <v>0</v>
      </c>
      <c r="AN59" s="26"/>
      <c r="AO59" s="3"/>
    </row>
    <row r="60" spans="1:43" x14ac:dyDescent="0.35">
      <c r="A60" s="343"/>
      <c r="B60" s="24"/>
      <c r="C60" s="5"/>
      <c r="D60" s="3"/>
      <c r="E60" s="34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>
        <f>SUM($F60:AJ60)</f>
        <v>0</v>
      </c>
      <c r="AN60" s="26"/>
      <c r="AO60" s="3"/>
    </row>
    <row r="61" spans="1:43" x14ac:dyDescent="0.35">
      <c r="A61" s="343"/>
      <c r="B61" s="24"/>
      <c r="C61" s="5"/>
      <c r="D61" s="3"/>
      <c r="E61" s="34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>
        <f>SUM($F61:AJ61)</f>
        <v>0</v>
      </c>
      <c r="AN61" s="26"/>
      <c r="AO61" s="3"/>
    </row>
    <row r="62" spans="1:43" x14ac:dyDescent="0.35">
      <c r="A62" s="343"/>
      <c r="B62" s="24"/>
      <c r="C62" s="5"/>
      <c r="D62" s="3"/>
      <c r="E62" s="34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>
        <f>SUM($F62:AJ62)</f>
        <v>0</v>
      </c>
      <c r="AN62" s="26"/>
      <c r="AO62" s="3"/>
    </row>
    <row r="63" spans="1:43" ht="15" thickBot="1" x14ac:dyDescent="0.4">
      <c r="A63" s="43" t="s">
        <v>2301</v>
      </c>
      <c r="B63" s="76" t="s">
        <v>337</v>
      </c>
      <c r="C63" s="45">
        <v>45260</v>
      </c>
      <c r="D63" s="46">
        <f>+AK41*0.17</f>
        <v>126372.22000000002</v>
      </c>
      <c r="E63" s="47"/>
      <c r="F63" s="3"/>
      <c r="G63" s="3" t="s">
        <v>13</v>
      </c>
      <c r="H63" s="3" t="s">
        <v>13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f>SUM($F63:AJ63)</f>
        <v>0</v>
      </c>
      <c r="AL63" s="6" t="s">
        <v>1846</v>
      </c>
      <c r="AM63" s="6" t="s">
        <v>13</v>
      </c>
      <c r="AN63" s="26" t="s">
        <v>13</v>
      </c>
      <c r="AO63" s="3"/>
    </row>
    <row r="64" spans="1:43" x14ac:dyDescent="0.35">
      <c r="A64" s="4" t="s">
        <v>2153</v>
      </c>
      <c r="B64" s="372">
        <f>84.052*3/8</f>
        <v>31.519500000000001</v>
      </c>
      <c r="C64" s="67" t="s">
        <v>13</v>
      </c>
      <c r="D64" s="3">
        <f>+B64*C65</f>
        <v>1151248.791915</v>
      </c>
      <c r="E64" s="153"/>
      <c r="F64" s="3"/>
      <c r="G64" s="3"/>
      <c r="H64" s="3" t="s">
        <v>13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Y64" s="3"/>
      <c r="Z64" s="3"/>
      <c r="AA64" s="3">
        <v>1151248.791915</v>
      </c>
      <c r="AB64" s="3"/>
      <c r="AC64" s="3"/>
      <c r="AD64" s="3"/>
      <c r="AE64" s="3"/>
      <c r="AF64" s="3" t="s">
        <v>13</v>
      </c>
      <c r="AG64" s="3" t="s">
        <v>13</v>
      </c>
      <c r="AH64" s="3" t="s">
        <v>13</v>
      </c>
      <c r="AI64" s="3"/>
      <c r="AJ64" s="3" t="s">
        <v>13</v>
      </c>
      <c r="AK64" s="3">
        <f>SUM($F64:AJ64)</f>
        <v>1151248.791915</v>
      </c>
      <c r="AL64" s="22" t="s">
        <v>13</v>
      </c>
      <c r="AM64" s="6" t="s">
        <v>13</v>
      </c>
      <c r="AO64" s="26" t="s">
        <v>13</v>
      </c>
      <c r="AQ64" s="6" t="s">
        <v>1675</v>
      </c>
    </row>
    <row r="65" spans="1:44" ht="15" thickBot="1" x14ac:dyDescent="0.4">
      <c r="A65" s="372">
        <v>10.5</v>
      </c>
      <c r="B65" s="67" t="s">
        <v>933</v>
      </c>
      <c r="C65" s="236">
        <v>36524.97</v>
      </c>
      <c r="D65" s="3"/>
      <c r="E65" s="15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 t="s">
        <v>13</v>
      </c>
      <c r="AL65" s="22"/>
      <c r="AO65" s="26" t="s">
        <v>13</v>
      </c>
      <c r="AP65" s="64" t="e">
        <f>+[2]Hoja1!$L$305+[3]Hoja1!#REF!</f>
        <v>#REF!</v>
      </c>
      <c r="AQ65" s="64" t="e">
        <f>+[3]Hoja1!#REF!</f>
        <v>#REF!</v>
      </c>
      <c r="AR65" s="64" t="e">
        <f>+AQ65+'Mar-23'!AR96</f>
        <v>#REF!</v>
      </c>
    </row>
    <row r="66" spans="1:44" x14ac:dyDescent="0.35">
      <c r="A66" s="371" t="s">
        <v>255</v>
      </c>
      <c r="B66" s="372">
        <f>84.052-31.52-31.52</f>
        <v>21.012000000000011</v>
      </c>
      <c r="C66" s="67"/>
      <c r="D66" s="3"/>
      <c r="E66" s="15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 t="s">
        <v>13</v>
      </c>
      <c r="AL66" s="22"/>
      <c r="AO66" s="11" t="s">
        <v>91</v>
      </c>
      <c r="AP66" s="53">
        <f>+D41/1.19</f>
        <v>898015.96638655465</v>
      </c>
      <c r="AQ66" s="53">
        <f>+(SUMIF(E23:E39,"MD",D23:D39)+SUMIF(E23:E39,"MK",D23:D39)/1.19)</f>
        <v>87189</v>
      </c>
    </row>
    <row r="67" spans="1:44" x14ac:dyDescent="0.35">
      <c r="A67" s="3" t="s">
        <v>13</v>
      </c>
      <c r="B67" s="24"/>
      <c r="D67" s="3"/>
      <c r="E67" s="15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 t="s">
        <v>13</v>
      </c>
      <c r="AL67" s="22"/>
      <c r="AO67" s="14" t="s">
        <v>1558</v>
      </c>
      <c r="AP67" s="15">
        <f>+SUMIF(AL48:AL63,"CD",D48:D63)/1.19</f>
        <v>338133.61344537814</v>
      </c>
      <c r="AQ67" s="15" t="e">
        <f>+AP67*AQ$65/AP$65</f>
        <v>#REF!</v>
      </c>
    </row>
    <row r="68" spans="1:44" x14ac:dyDescent="0.35">
      <c r="A68" s="4"/>
      <c r="B68" s="24"/>
      <c r="C68" s="67"/>
      <c r="D68" s="3"/>
      <c r="E68" s="153"/>
      <c r="F68" s="3" t="s">
        <v>13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 t="s">
        <v>13</v>
      </c>
      <c r="AL68" s="22"/>
      <c r="AO68" s="14" t="s">
        <v>1559</v>
      </c>
      <c r="AP68" s="15">
        <f>+AP66-AP67</f>
        <v>559882.3529411765</v>
      </c>
      <c r="AQ68" s="15" t="e">
        <f>+AQ66-AQ67</f>
        <v>#REF!</v>
      </c>
    </row>
    <row r="69" spans="1:44" x14ac:dyDescent="0.35">
      <c r="A69" s="4"/>
      <c r="B69" s="24"/>
      <c r="C69" s="67"/>
      <c r="D69" s="3"/>
      <c r="E69" s="15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 t="s">
        <v>13</v>
      </c>
      <c r="AL69" s="22"/>
      <c r="AO69" s="14" t="s">
        <v>1560</v>
      </c>
      <c r="AP69" s="327">
        <f>+AP68/AP66</f>
        <v>0.62346592254259858</v>
      </c>
      <c r="AQ69" s="327" t="e">
        <f>+AQ68/AQ66</f>
        <v>#REF!</v>
      </c>
    </row>
    <row r="70" spans="1:44" x14ac:dyDescent="0.35">
      <c r="A70" s="4"/>
      <c r="B70" s="67"/>
      <c r="C70" s="236"/>
      <c r="E70" s="15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Y70" s="3"/>
      <c r="AJ70" s="3"/>
      <c r="AK70" s="3"/>
      <c r="AL70" s="22" t="s">
        <v>1388</v>
      </c>
      <c r="AM70" s="6" t="s">
        <v>1430</v>
      </c>
      <c r="AO70" s="14" t="s">
        <v>81</v>
      </c>
      <c r="AP70" s="15">
        <f>+SUMIF(AL48:AL63,"GAV",D48:D63)/1.19+SUMIF(AL48:AL58,"REM",D48:D58)</f>
        <v>111976.52661064424</v>
      </c>
      <c r="AQ70" s="15" t="e">
        <f>+AP70*AQ$65/AP$65</f>
        <v>#REF!</v>
      </c>
    </row>
    <row r="71" spans="1:44" x14ac:dyDescent="0.35">
      <c r="A71" s="2" t="s">
        <v>9</v>
      </c>
      <c r="D71" s="72">
        <f>SUM(D46:D69)-D46</f>
        <v>2042663.9485816676</v>
      </c>
      <c r="F71" s="3">
        <f t="shared" ref="F71:AJ71" si="2">SUM(F46:F70)</f>
        <v>0</v>
      </c>
      <c r="G71" s="3">
        <f t="shared" si="2"/>
        <v>0</v>
      </c>
      <c r="H71" s="3">
        <f t="shared" si="2"/>
        <v>0</v>
      </c>
      <c r="I71" s="3">
        <f t="shared" si="2"/>
        <v>0</v>
      </c>
      <c r="J71" s="3">
        <f t="shared" si="2"/>
        <v>13905</v>
      </c>
      <c r="K71" s="3">
        <f t="shared" si="2"/>
        <v>142800</v>
      </c>
      <c r="L71" s="3">
        <f t="shared" si="2"/>
        <v>37350.870000000003</v>
      </c>
      <c r="M71" s="3">
        <f t="shared" si="2"/>
        <v>0</v>
      </c>
      <c r="N71" s="3">
        <f t="shared" si="2"/>
        <v>20000</v>
      </c>
      <c r="O71" s="3">
        <f t="shared" si="2"/>
        <v>0</v>
      </c>
      <c r="P71" s="3">
        <f t="shared" si="2"/>
        <v>0</v>
      </c>
      <c r="Q71" s="3">
        <f t="shared" si="2"/>
        <v>0</v>
      </c>
      <c r="R71" s="3">
        <f t="shared" si="2"/>
        <v>0</v>
      </c>
      <c r="S71" s="3">
        <f t="shared" si="2"/>
        <v>0</v>
      </c>
      <c r="T71" s="3">
        <f t="shared" si="2"/>
        <v>0</v>
      </c>
      <c r="U71" s="3">
        <f t="shared" si="2"/>
        <v>0</v>
      </c>
      <c r="V71" s="3">
        <f t="shared" si="2"/>
        <v>0</v>
      </c>
      <c r="W71" s="3">
        <f t="shared" si="2"/>
        <v>0</v>
      </c>
      <c r="X71" s="3">
        <f t="shared" si="2"/>
        <v>0</v>
      </c>
      <c r="Y71" s="3">
        <f t="shared" si="2"/>
        <v>346684</v>
      </c>
      <c r="Z71" s="3">
        <f t="shared" si="2"/>
        <v>0</v>
      </c>
      <c r="AA71" s="3">
        <f t="shared" si="2"/>
        <v>1151248.791915</v>
      </c>
      <c r="AB71" s="3">
        <f t="shared" si="2"/>
        <v>26923.75</v>
      </c>
      <c r="AC71" s="3">
        <f t="shared" si="2"/>
        <v>0</v>
      </c>
      <c r="AD71" s="3">
        <f t="shared" si="2"/>
        <v>0</v>
      </c>
      <c r="AE71" s="3">
        <f t="shared" si="2"/>
        <v>0</v>
      </c>
      <c r="AF71" s="3">
        <f t="shared" si="2"/>
        <v>0</v>
      </c>
      <c r="AG71" s="3">
        <f t="shared" si="2"/>
        <v>0</v>
      </c>
      <c r="AH71" s="3">
        <f t="shared" si="2"/>
        <v>0</v>
      </c>
      <c r="AI71" s="3">
        <f t="shared" si="2"/>
        <v>96550</v>
      </c>
      <c r="AJ71" s="3">
        <f t="shared" si="2"/>
        <v>0</v>
      </c>
      <c r="AK71" s="72">
        <f>SUM(AK46:AK69)-AK46</f>
        <v>1835462.4119150001</v>
      </c>
      <c r="AL71" s="324">
        <f>+D71-AK71</f>
        <v>207201.53666666755</v>
      </c>
      <c r="AM71" s="324">
        <f>+AJ72+AL41-AL71-1200000</f>
        <v>1222180.7991290838</v>
      </c>
      <c r="AO71" s="14" t="s">
        <v>1561</v>
      </c>
      <c r="AP71" s="15">
        <f>+AP68-AP70</f>
        <v>447905.82633053226</v>
      </c>
      <c r="AQ71" s="15" t="e">
        <f>+AQ68-AQ70</f>
        <v>#REF!</v>
      </c>
    </row>
    <row r="72" spans="1:44" x14ac:dyDescent="0.35">
      <c r="A72" t="s">
        <v>8</v>
      </c>
      <c r="F72" s="3">
        <f t="shared" ref="F72:AJ72" si="3">+F41+F3-F71</f>
        <v>2161996.7477107514</v>
      </c>
      <c r="G72" s="3">
        <f t="shared" si="3"/>
        <v>2161996.7477107514</v>
      </c>
      <c r="H72" s="3">
        <f t="shared" si="3"/>
        <v>2161996.7477107514</v>
      </c>
      <c r="I72" s="3">
        <f t="shared" si="3"/>
        <v>2161996.7477107514</v>
      </c>
      <c r="J72" s="3">
        <f t="shared" si="3"/>
        <v>2148091.7477107514</v>
      </c>
      <c r="K72" s="3">
        <f t="shared" si="3"/>
        <v>2005291.7477107514</v>
      </c>
      <c r="L72" s="3">
        <f t="shared" si="3"/>
        <v>1967940.8777107513</v>
      </c>
      <c r="M72" s="3">
        <f t="shared" si="3"/>
        <v>1967940.8777107513</v>
      </c>
      <c r="N72" s="3">
        <f t="shared" si="3"/>
        <v>1947940.8777107513</v>
      </c>
      <c r="O72" s="3">
        <f t="shared" si="3"/>
        <v>1947940.8777107513</v>
      </c>
      <c r="P72" s="3">
        <f t="shared" si="3"/>
        <v>1947940.8777107513</v>
      </c>
      <c r="Q72" s="3">
        <f t="shared" si="3"/>
        <v>1947940.8777107513</v>
      </c>
      <c r="R72" s="3">
        <f t="shared" si="3"/>
        <v>1947940.8777107513</v>
      </c>
      <c r="S72" s="3">
        <f t="shared" si="3"/>
        <v>1947940.8777107513</v>
      </c>
      <c r="T72" s="3">
        <f t="shared" si="3"/>
        <v>1947940.8777107513</v>
      </c>
      <c r="U72" s="3">
        <f t="shared" si="3"/>
        <v>1947940.8777107513</v>
      </c>
      <c r="V72" s="3">
        <f t="shared" si="3"/>
        <v>1947940.8777107513</v>
      </c>
      <c r="W72" s="3">
        <f t="shared" si="3"/>
        <v>1947940.8777107513</v>
      </c>
      <c r="X72" s="3">
        <f t="shared" si="3"/>
        <v>1947940.8777107513</v>
      </c>
      <c r="Y72" s="3">
        <f t="shared" si="3"/>
        <v>1950012.8777107513</v>
      </c>
      <c r="Z72" s="3">
        <f t="shared" si="3"/>
        <v>1950012.8777107513</v>
      </c>
      <c r="AA72" s="3">
        <f t="shared" si="3"/>
        <v>798764.08579575131</v>
      </c>
      <c r="AB72" s="3">
        <f t="shared" si="3"/>
        <v>771840.33579575131</v>
      </c>
      <c r="AC72" s="3">
        <f t="shared" si="3"/>
        <v>771840.33579575131</v>
      </c>
      <c r="AD72" s="3">
        <f t="shared" si="3"/>
        <v>771840.33579575131</v>
      </c>
      <c r="AE72" s="3">
        <f t="shared" si="3"/>
        <v>771840.33579575131</v>
      </c>
      <c r="AF72" s="3">
        <f t="shared" si="3"/>
        <v>1166450.3357957513</v>
      </c>
      <c r="AG72" s="3">
        <f t="shared" si="3"/>
        <v>1166450.3357957513</v>
      </c>
      <c r="AH72" s="3">
        <f t="shared" si="3"/>
        <v>1166450.3357957513</v>
      </c>
      <c r="AI72" s="3">
        <f t="shared" si="3"/>
        <v>1069900.3357957513</v>
      </c>
      <c r="AJ72" s="3">
        <f t="shared" si="3"/>
        <v>1069900.3357957513</v>
      </c>
      <c r="AK72" s="3" t="s">
        <v>13</v>
      </c>
      <c r="AM72" s="22" t="s">
        <v>13</v>
      </c>
      <c r="AO72" s="14" t="s">
        <v>1563</v>
      </c>
      <c r="AP72" s="15">
        <f>+SUMIF(AL48:AL64,"GF",D48:D64)</f>
        <v>13905</v>
      </c>
      <c r="AQ72" s="15">
        <v>0</v>
      </c>
    </row>
    <row r="73" spans="1:44" x14ac:dyDescent="0.35">
      <c r="F73" s="3"/>
      <c r="G73" s="3"/>
      <c r="H73" s="3"/>
      <c r="I73" s="3" t="s">
        <v>13</v>
      </c>
      <c r="J73" s="3"/>
      <c r="K73" s="3" t="s">
        <v>13</v>
      </c>
      <c r="L73" s="3"/>
      <c r="M73" s="3"/>
      <c r="N73" s="3"/>
      <c r="O73" s="3"/>
      <c r="P73" s="3" t="s">
        <v>13</v>
      </c>
      <c r="Q73" s="3"/>
      <c r="R73" s="3"/>
      <c r="S73" s="3"/>
      <c r="T73" s="3" t="s">
        <v>13</v>
      </c>
      <c r="U73" s="3"/>
      <c r="V73" s="3"/>
      <c r="W73" s="3"/>
      <c r="Y73" s="3" t="s">
        <v>13</v>
      </c>
      <c r="Z73" s="3" t="s">
        <v>13</v>
      </c>
      <c r="AA73" s="3" t="s">
        <v>13</v>
      </c>
      <c r="AB73" s="3" t="s">
        <v>13</v>
      </c>
      <c r="AO73" s="14" t="s">
        <v>82</v>
      </c>
      <c r="AP73" s="15">
        <v>0</v>
      </c>
      <c r="AQ73" s="15">
        <f>+SUMIF(AL48:AL64,"AF",D48:D64)/1.19</f>
        <v>0</v>
      </c>
    </row>
    <row r="74" spans="1:44" ht="15" thickBot="1" x14ac:dyDescent="0.4">
      <c r="F74" s="3" t="s">
        <v>13</v>
      </c>
      <c r="G74" s="3" t="s">
        <v>13</v>
      </c>
      <c r="H74" s="3" t="s">
        <v>13</v>
      </c>
      <c r="I74" s="3"/>
      <c r="J74" s="3"/>
      <c r="K74" s="3"/>
      <c r="L74" s="3"/>
      <c r="M74" s="3"/>
      <c r="N74" s="3"/>
      <c r="O74" s="3"/>
      <c r="P74" s="3" t="s">
        <v>13</v>
      </c>
      <c r="Q74" s="3" t="s">
        <v>13</v>
      </c>
      <c r="R74" s="3" t="s">
        <v>13</v>
      </c>
      <c r="S74" s="3"/>
      <c r="T74" s="3"/>
      <c r="U74" s="3" t="s">
        <v>13</v>
      </c>
      <c r="V74" s="3"/>
      <c r="W74" s="3"/>
      <c r="AB74" s="3" t="s">
        <v>13</v>
      </c>
      <c r="AG74" s="3" t="s">
        <v>13</v>
      </c>
      <c r="AJ74" s="3" t="s">
        <v>13</v>
      </c>
      <c r="AO74" s="16"/>
      <c r="AP74" s="19">
        <f>+AP71-AP72-AP73</f>
        <v>434000.82633053226</v>
      </c>
      <c r="AQ74" s="19" t="e">
        <f>+AQ71-AQ72-AQ73</f>
        <v>#REF!</v>
      </c>
    </row>
    <row r="75" spans="1:44" x14ac:dyDescent="0.35">
      <c r="A75" t="s">
        <v>2163</v>
      </c>
      <c r="B75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75" s="3" t="e">
        <f>+B75*0.16</f>
        <v>#REF!</v>
      </c>
      <c r="E75" s="6" t="s">
        <v>13</v>
      </c>
      <c r="F75" s="3"/>
      <c r="G75" s="3" t="s">
        <v>13</v>
      </c>
      <c r="H75" s="3" t="s">
        <v>13</v>
      </c>
      <c r="I75" s="3"/>
      <c r="J75" s="3"/>
      <c r="K75" s="3"/>
      <c r="L75" s="3"/>
      <c r="M75" s="3"/>
      <c r="N75" s="3"/>
      <c r="O75" s="3"/>
      <c r="W75" s="3"/>
      <c r="AB75" s="3" t="s">
        <v>13</v>
      </c>
      <c r="AG75" s="3" t="s">
        <v>13</v>
      </c>
      <c r="AJ75" s="3" t="s">
        <v>13</v>
      </c>
      <c r="AO75" t="s">
        <v>1961</v>
      </c>
      <c r="AP75" s="26">
        <f ca="1">+AP$74+'May-23'!AP82</f>
        <v>6060392.4860300561</v>
      </c>
      <c r="AQ75" s="3" t="e">
        <f ca="1">+AQ$74+'May-23'!AQ82</f>
        <v>#REF!</v>
      </c>
    </row>
    <row r="76" spans="1:44" x14ac:dyDescent="0.35">
      <c r="F76" s="3"/>
      <c r="G76" s="3" t="s">
        <v>13</v>
      </c>
      <c r="H76" s="3"/>
      <c r="I76" s="3"/>
      <c r="J76" s="3"/>
      <c r="K76" s="3"/>
      <c r="L76" s="3"/>
      <c r="M76" s="3"/>
      <c r="N76" s="3"/>
      <c r="O76" s="3"/>
      <c r="W76" s="3" t="s">
        <v>13</v>
      </c>
      <c r="AB76" s="3" t="s">
        <v>13</v>
      </c>
      <c r="AD76" t="s">
        <v>2296</v>
      </c>
      <c r="AE76">
        <v>2</v>
      </c>
      <c r="AG76" s="3" t="s">
        <v>13</v>
      </c>
      <c r="AJ76" s="3" t="s">
        <v>13</v>
      </c>
      <c r="AO76" t="s">
        <v>1960</v>
      </c>
      <c r="AP76" s="26">
        <f ca="1">+AP$74+'May-23'!AP83</f>
        <v>7656530.388407764</v>
      </c>
      <c r="AQ76" s="3" t="e">
        <f ca="1">+AQ$74+'May-23'!AQ83</f>
        <v>#REF!</v>
      </c>
    </row>
    <row r="77" spans="1:44" x14ac:dyDescent="0.35">
      <c r="A77" t="s">
        <v>13</v>
      </c>
      <c r="F77" s="3" t="s">
        <v>13</v>
      </c>
      <c r="G77" s="3" t="s">
        <v>13</v>
      </c>
      <c r="H77" s="3"/>
      <c r="I77" s="3"/>
      <c r="J77" s="3"/>
      <c r="K77" s="3"/>
      <c r="L77" s="3"/>
      <c r="M77" s="3">
        <v>538500</v>
      </c>
      <c r="N77" s="3"/>
      <c r="O77" s="3"/>
      <c r="W77" s="3"/>
      <c r="AB77" s="3" t="s">
        <v>13</v>
      </c>
      <c r="AD77" t="s">
        <v>2297</v>
      </c>
      <c r="AG77" s="3" t="s">
        <v>13</v>
      </c>
      <c r="AJ77" s="3" t="s">
        <v>13</v>
      </c>
    </row>
    <row r="78" spans="1:44" x14ac:dyDescent="0.35">
      <c r="B78" t="s">
        <v>13</v>
      </c>
      <c r="F78" s="3" t="s">
        <v>13</v>
      </c>
      <c r="G78" s="3" t="s">
        <v>13</v>
      </c>
      <c r="H78" s="3"/>
      <c r="I78" s="3"/>
      <c r="J78" s="3"/>
      <c r="K78" s="3"/>
      <c r="L78" s="3" t="s">
        <v>13</v>
      </c>
      <c r="M78" s="3">
        <v>682100</v>
      </c>
      <c r="N78" s="3"/>
      <c r="O78" s="3"/>
      <c r="W78" s="3"/>
      <c r="AB78" s="3" t="s">
        <v>13</v>
      </c>
      <c r="AG78" s="3" t="s">
        <v>13</v>
      </c>
      <c r="AJ78" s="3" t="s">
        <v>13</v>
      </c>
      <c r="AL78"/>
      <c r="AM78"/>
    </row>
    <row r="79" spans="1:44" x14ac:dyDescent="0.35">
      <c r="F79" s="3"/>
      <c r="G79" s="3" t="s">
        <v>13</v>
      </c>
      <c r="H79" s="3"/>
      <c r="I79" s="3"/>
      <c r="J79" s="3"/>
      <c r="K79" s="3"/>
      <c r="L79" s="3"/>
      <c r="M79" s="3">
        <f>SUM(M77:M78)</f>
        <v>1220600</v>
      </c>
      <c r="AG79" s="3" t="s">
        <v>13</v>
      </c>
      <c r="AJ79" s="3" t="s">
        <v>13</v>
      </c>
      <c r="AL79"/>
      <c r="AM79"/>
    </row>
    <row r="80" spans="1:44" x14ac:dyDescent="0.35">
      <c r="F80" s="3"/>
      <c r="G80" s="3" t="s">
        <v>13</v>
      </c>
      <c r="H80" s="3"/>
      <c r="I80" s="3"/>
      <c r="J80" s="3"/>
      <c r="K80" s="3"/>
      <c r="L80" s="3"/>
      <c r="AB80" t="s">
        <v>13</v>
      </c>
      <c r="AG80" s="3" t="s">
        <v>13</v>
      </c>
      <c r="AJ80" s="3" t="s">
        <v>13</v>
      </c>
      <c r="AL80"/>
      <c r="AM80"/>
      <c r="AQ80" t="s">
        <v>13</v>
      </c>
    </row>
    <row r="81" spans="2:39" x14ac:dyDescent="0.35">
      <c r="F81" s="3"/>
      <c r="G81" s="3" t="s">
        <v>13</v>
      </c>
      <c r="H81" s="3"/>
      <c r="I81" s="3"/>
      <c r="J81" s="3"/>
      <c r="K81" s="3"/>
      <c r="L81" s="3"/>
      <c r="AG81" s="3" t="s">
        <v>13</v>
      </c>
      <c r="AJ81" s="3" t="s">
        <v>13</v>
      </c>
      <c r="AL81"/>
      <c r="AM81"/>
    </row>
    <row r="82" spans="2:39" x14ac:dyDescent="0.35">
      <c r="F82" s="3"/>
      <c r="G82" s="3" t="s">
        <v>13</v>
      </c>
      <c r="H82" s="3"/>
      <c r="I82" s="3"/>
      <c r="J82" s="3"/>
      <c r="K82" s="3"/>
      <c r="L82" s="3"/>
      <c r="AG82" s="3" t="s">
        <v>13</v>
      </c>
      <c r="AJ82" s="3" t="s">
        <v>13</v>
      </c>
      <c r="AL82"/>
      <c r="AM82"/>
    </row>
    <row r="83" spans="2:39" x14ac:dyDescent="0.35">
      <c r="F83" s="3"/>
      <c r="G83" s="3" t="s">
        <v>13</v>
      </c>
      <c r="H83" s="3"/>
      <c r="I83" s="3"/>
      <c r="J83" s="3"/>
      <c r="K83" s="3"/>
      <c r="L83" s="3"/>
      <c r="AG83" s="3" t="s">
        <v>13</v>
      </c>
      <c r="AJ83" s="3" t="s">
        <v>13</v>
      </c>
      <c r="AL83"/>
      <c r="AM83"/>
    </row>
    <row r="84" spans="2:39" x14ac:dyDescent="0.35">
      <c r="B84" t="s">
        <v>13</v>
      </c>
      <c r="F84" s="3"/>
      <c r="G84" s="3" t="s">
        <v>13</v>
      </c>
      <c r="H84" s="3"/>
      <c r="I84" s="3"/>
      <c r="J84" s="3"/>
      <c r="K84" s="3"/>
      <c r="L84" s="3"/>
      <c r="AG84" s="3" t="s">
        <v>13</v>
      </c>
      <c r="AJ84" s="3" t="s">
        <v>13</v>
      </c>
      <c r="AL84"/>
      <c r="AM84"/>
    </row>
    <row r="85" spans="2:39" x14ac:dyDescent="0.35">
      <c r="B85" t="s">
        <v>13</v>
      </c>
      <c r="F85" s="3"/>
      <c r="G85" s="3" t="s">
        <v>13</v>
      </c>
      <c r="H85" s="3"/>
      <c r="I85" s="3"/>
      <c r="J85" s="3"/>
      <c r="K85" s="3"/>
      <c r="L85" s="3"/>
      <c r="AG85" s="3" t="s">
        <v>13</v>
      </c>
      <c r="AJ85" s="3" t="s">
        <v>13</v>
      </c>
      <c r="AL85"/>
      <c r="AM85"/>
    </row>
    <row r="86" spans="2:39" x14ac:dyDescent="0.35">
      <c r="B86" t="s">
        <v>13</v>
      </c>
      <c r="F86" s="3"/>
      <c r="G86" s="3" t="s">
        <v>13</v>
      </c>
      <c r="H86" s="3"/>
      <c r="I86" s="3"/>
      <c r="J86" s="3"/>
      <c r="K86" s="3"/>
      <c r="L86" s="3"/>
      <c r="AG86" s="3" t="s">
        <v>13</v>
      </c>
      <c r="AJ86" s="3" t="s">
        <v>13</v>
      </c>
      <c r="AL86"/>
      <c r="AM86"/>
    </row>
    <row r="87" spans="2:39" x14ac:dyDescent="0.35">
      <c r="B87" t="s">
        <v>13</v>
      </c>
      <c r="F87" s="3"/>
      <c r="G87" s="3" t="s">
        <v>13</v>
      </c>
      <c r="H87" s="3"/>
      <c r="I87" s="3"/>
      <c r="J87" s="3"/>
      <c r="K87" s="3"/>
      <c r="L87" s="3"/>
      <c r="AG87" s="3" t="s">
        <v>13</v>
      </c>
      <c r="AJ87" s="3" t="s">
        <v>13</v>
      </c>
      <c r="AL87"/>
      <c r="AM87"/>
    </row>
    <row r="88" spans="2:39" x14ac:dyDescent="0.35">
      <c r="B88" t="s">
        <v>13</v>
      </c>
      <c r="F88" s="3"/>
      <c r="G88" s="3" t="s">
        <v>13</v>
      </c>
      <c r="H88" s="3"/>
      <c r="I88" s="3"/>
      <c r="J88" s="3"/>
      <c r="K88" s="3"/>
      <c r="L88" s="3"/>
      <c r="AG88" s="3" t="s">
        <v>13</v>
      </c>
      <c r="AJ88" s="3" t="s">
        <v>13</v>
      </c>
      <c r="AL88"/>
      <c r="AM88"/>
    </row>
    <row r="89" spans="2:39" x14ac:dyDescent="0.35">
      <c r="B89" t="s">
        <v>13</v>
      </c>
      <c r="F89" s="3"/>
      <c r="G89" s="3" t="s">
        <v>13</v>
      </c>
      <c r="H89" s="3"/>
      <c r="I89" s="3"/>
      <c r="J89" s="3"/>
      <c r="K89" s="3"/>
      <c r="L89" s="3"/>
      <c r="AG89" s="3" t="s">
        <v>13</v>
      </c>
      <c r="AJ89" s="3" t="s">
        <v>13</v>
      </c>
      <c r="AL89"/>
      <c r="AM89"/>
    </row>
    <row r="90" spans="2:39" x14ac:dyDescent="0.35">
      <c r="B90" t="s">
        <v>13</v>
      </c>
      <c r="F90" s="3"/>
      <c r="G90" s="3" t="s">
        <v>13</v>
      </c>
      <c r="H90" s="3"/>
      <c r="I90" s="3"/>
      <c r="J90" s="3"/>
      <c r="K90" s="3"/>
      <c r="L90" s="3"/>
      <c r="AG90" s="3" t="s">
        <v>13</v>
      </c>
      <c r="AJ90" s="3" t="s">
        <v>13</v>
      </c>
      <c r="AL90"/>
      <c r="AM90"/>
    </row>
    <row r="91" spans="2:39" x14ac:dyDescent="0.35">
      <c r="B91" t="s">
        <v>13</v>
      </c>
      <c r="F91" s="3"/>
      <c r="G91" s="3" t="s">
        <v>13</v>
      </c>
      <c r="H91" s="3"/>
      <c r="I91" s="3"/>
      <c r="J91" s="3"/>
      <c r="K91" s="3"/>
      <c r="L91" s="3"/>
      <c r="AG91" s="3" t="s">
        <v>13</v>
      </c>
      <c r="AJ91" s="3" t="s">
        <v>13</v>
      </c>
      <c r="AL91"/>
      <c r="AM91"/>
    </row>
    <row r="92" spans="2:39" x14ac:dyDescent="0.35">
      <c r="B92" t="s">
        <v>13</v>
      </c>
      <c r="F92" s="3"/>
      <c r="G92" s="3" t="s">
        <v>13</v>
      </c>
      <c r="H92" s="3"/>
      <c r="I92" s="3"/>
      <c r="J92" s="3"/>
      <c r="K92" s="3"/>
      <c r="L92" s="3"/>
      <c r="AL92"/>
      <c r="AM92"/>
    </row>
    <row r="93" spans="2:39" x14ac:dyDescent="0.35">
      <c r="B93" t="s">
        <v>13</v>
      </c>
      <c r="F93" s="3"/>
      <c r="G93" s="3" t="s">
        <v>13</v>
      </c>
      <c r="H93" s="3"/>
      <c r="I93" s="3"/>
      <c r="J93" s="3"/>
      <c r="K93" s="3"/>
      <c r="L93" s="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  <row r="119" spans="2:39" x14ac:dyDescent="0.35">
      <c r="B119" t="s">
        <v>13</v>
      </c>
      <c r="E119"/>
      <c r="AL119"/>
      <c r="AM119"/>
    </row>
    <row r="120" spans="2:39" x14ac:dyDescent="0.35">
      <c r="B120" t="s">
        <v>13</v>
      </c>
      <c r="E120"/>
      <c r="AL120"/>
      <c r="AM120"/>
    </row>
    <row r="121" spans="2:39" x14ac:dyDescent="0.35">
      <c r="B121" t="s">
        <v>13</v>
      </c>
      <c r="E121"/>
      <c r="AL121"/>
      <c r="AM121"/>
    </row>
    <row r="122" spans="2:39" x14ac:dyDescent="0.35">
      <c r="B122" t="s">
        <v>13</v>
      </c>
      <c r="E122"/>
      <c r="AL122"/>
      <c r="AM122"/>
    </row>
    <row r="123" spans="2:39" x14ac:dyDescent="0.35">
      <c r="B123" t="s">
        <v>13</v>
      </c>
      <c r="E123"/>
      <c r="AL123"/>
      <c r="AM123"/>
    </row>
    <row r="124" spans="2:39" x14ac:dyDescent="0.35">
      <c r="B124" t="s">
        <v>13</v>
      </c>
      <c r="E124"/>
      <c r="AL124"/>
      <c r="AM124"/>
    </row>
    <row r="125" spans="2:39" x14ac:dyDescent="0.35">
      <c r="B125" t="s">
        <v>13</v>
      </c>
      <c r="E125"/>
      <c r="AL125"/>
      <c r="AM125"/>
    </row>
    <row r="126" spans="2:39" x14ac:dyDescent="0.35">
      <c r="B126" t="s">
        <v>13</v>
      </c>
      <c r="E126"/>
      <c r="AL126"/>
      <c r="AM126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B213-C125-49AB-92C3-117DFC07B4F7}">
  <dimension ref="A1:AR117"/>
  <sheetViews>
    <sheetView zoomScale="77" zoomScaleNormal="77" workbookViewId="0">
      <pane xSplit="5" ySplit="3" topLeftCell="AK28" activePane="bottomRight" state="frozen"/>
      <selection pane="topRight" activeCell="F1" sqref="F1"/>
      <selection pane="bottomLeft" activeCell="A4" sqref="A4"/>
      <selection pane="bottomRight" activeCell="D62" sqref="D62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45261</v>
      </c>
      <c r="G2" s="1">
        <v>45262</v>
      </c>
      <c r="H2" s="1">
        <v>45263</v>
      </c>
      <c r="I2" s="1">
        <v>45264</v>
      </c>
      <c r="J2" s="1">
        <v>45265</v>
      </c>
      <c r="K2" s="1">
        <v>45266</v>
      </c>
      <c r="L2" s="1">
        <v>45267</v>
      </c>
      <c r="M2" s="1">
        <v>45268</v>
      </c>
      <c r="N2" s="1">
        <v>45269</v>
      </c>
      <c r="O2" s="1">
        <v>45270</v>
      </c>
      <c r="P2" s="1">
        <v>45271</v>
      </c>
      <c r="Q2" s="1">
        <v>45272</v>
      </c>
      <c r="R2" s="1">
        <v>45273</v>
      </c>
      <c r="S2" s="1">
        <v>45274</v>
      </c>
      <c r="T2" s="1">
        <v>45275</v>
      </c>
      <c r="U2" s="1">
        <v>45276</v>
      </c>
      <c r="V2" s="1">
        <v>45277</v>
      </c>
      <c r="W2" s="1">
        <v>45278</v>
      </c>
      <c r="X2" s="1">
        <v>45279</v>
      </c>
      <c r="Y2" s="1">
        <v>45280</v>
      </c>
      <c r="Z2" s="1">
        <v>45281</v>
      </c>
      <c r="AA2" s="1">
        <v>45282</v>
      </c>
      <c r="AB2" s="1">
        <v>45283</v>
      </c>
      <c r="AC2" s="1">
        <v>45284</v>
      </c>
      <c r="AD2" s="1">
        <v>45285</v>
      </c>
      <c r="AE2" s="1">
        <v>45286</v>
      </c>
      <c r="AF2" s="1">
        <v>45287</v>
      </c>
      <c r="AG2" s="1">
        <v>45288</v>
      </c>
      <c r="AH2" s="1">
        <v>45289</v>
      </c>
      <c r="AI2" s="1">
        <v>45290</v>
      </c>
      <c r="AJ2" s="1">
        <v>45291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+'Nov-23'!AI72</f>
        <v>1069900.3357957513</v>
      </c>
      <c r="G3" s="3">
        <f t="shared" ref="G3:AJ3" si="0">+F63</f>
        <v>1069900.3357957513</v>
      </c>
      <c r="H3" s="3">
        <f t="shared" si="0"/>
        <v>1069900.3357957513</v>
      </c>
      <c r="I3" s="3">
        <f t="shared" si="0"/>
        <v>1069900.3357957513</v>
      </c>
      <c r="J3" s="3">
        <f t="shared" si="0"/>
        <v>1418399.3357957513</v>
      </c>
      <c r="K3" s="3">
        <f t="shared" si="0"/>
        <v>1404494.3357957513</v>
      </c>
      <c r="L3" s="3">
        <f t="shared" si="0"/>
        <v>1404494.3357957513</v>
      </c>
      <c r="M3" s="3">
        <f t="shared" si="0"/>
        <v>1404494.3357957513</v>
      </c>
      <c r="N3" s="3">
        <f t="shared" si="0"/>
        <v>1766696.3357957513</v>
      </c>
      <c r="O3" s="3">
        <f t="shared" si="0"/>
        <v>1766696.3357957513</v>
      </c>
      <c r="P3" s="3">
        <f t="shared" si="0"/>
        <v>1766696.3357957513</v>
      </c>
      <c r="Q3" s="3">
        <f t="shared" si="0"/>
        <v>1766696.3357957513</v>
      </c>
      <c r="R3" s="3">
        <f t="shared" si="0"/>
        <v>1640324.3357957513</v>
      </c>
      <c r="S3" s="3">
        <f t="shared" si="0"/>
        <v>1517924.3357957513</v>
      </c>
      <c r="T3" s="3">
        <f t="shared" si="0"/>
        <v>1517924.3357957513</v>
      </c>
      <c r="U3" s="3">
        <f t="shared" si="0"/>
        <v>1517924.3357957513</v>
      </c>
      <c r="V3" s="3">
        <f t="shared" si="0"/>
        <v>1493924.3357957513</v>
      </c>
      <c r="W3" s="3">
        <f t="shared" si="0"/>
        <v>1493924.3357957513</v>
      </c>
      <c r="X3" s="3">
        <f t="shared" si="0"/>
        <v>1801346.3357957513</v>
      </c>
      <c r="Y3" s="3">
        <f t="shared" si="0"/>
        <v>1790683.3357957513</v>
      </c>
      <c r="Z3" s="3">
        <f t="shared" si="0"/>
        <v>1790683.3357957513</v>
      </c>
      <c r="AA3" s="3">
        <f t="shared" si="0"/>
        <v>1790683.3357957513</v>
      </c>
      <c r="AB3" s="3">
        <f t="shared" si="0"/>
        <v>1790683.3357957513</v>
      </c>
      <c r="AC3" s="3">
        <f t="shared" si="0"/>
        <v>1790683.3357957513</v>
      </c>
      <c r="AD3" s="3">
        <f t="shared" si="0"/>
        <v>1790683.3357957513</v>
      </c>
      <c r="AE3" s="3">
        <f t="shared" si="0"/>
        <v>1790683.3357957513</v>
      </c>
      <c r="AF3" s="3">
        <f t="shared" si="0"/>
        <v>1790683.3357957513</v>
      </c>
      <c r="AG3" s="3">
        <f t="shared" si="0"/>
        <v>1767083.3357957513</v>
      </c>
      <c r="AH3" s="3">
        <f t="shared" si="0"/>
        <v>1767083.3357957513</v>
      </c>
      <c r="AI3" s="3">
        <f t="shared" si="0"/>
        <v>1767083.3357957513</v>
      </c>
      <c r="AJ3" s="3">
        <f t="shared" si="0"/>
        <v>1767083.3357957513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41" t="s">
        <v>2245</v>
      </c>
      <c r="B6" t="s">
        <v>2242</v>
      </c>
      <c r="C6" s="5">
        <v>45178</v>
      </c>
      <c r="D6" s="3">
        <v>87189</v>
      </c>
      <c r="E6" s="42" t="s">
        <v>782</v>
      </c>
      <c r="F6" s="3"/>
      <c r="G6" s="3"/>
      <c r="H6" s="3"/>
      <c r="I6" s="3">
        <v>87189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87189</v>
      </c>
      <c r="AL6" s="22"/>
    </row>
    <row r="7" spans="1:39" x14ac:dyDescent="0.35">
      <c r="A7" s="41" t="s">
        <v>2248</v>
      </c>
      <c r="B7" t="s">
        <v>2243</v>
      </c>
      <c r="C7" s="5">
        <v>45183</v>
      </c>
      <c r="D7" s="3">
        <v>87189</v>
      </c>
      <c r="E7" s="42" t="s">
        <v>782</v>
      </c>
      <c r="F7" s="3"/>
      <c r="G7" s="3"/>
      <c r="H7" s="3"/>
      <c r="I7" s="3">
        <v>87189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87189</v>
      </c>
      <c r="AL7" s="22"/>
    </row>
    <row r="8" spans="1:39" x14ac:dyDescent="0.35">
      <c r="A8" s="41" t="s">
        <v>2251</v>
      </c>
      <c r="B8" t="s">
        <v>2249</v>
      </c>
      <c r="C8" s="5">
        <v>45184</v>
      </c>
      <c r="D8" s="3">
        <v>45855</v>
      </c>
      <c r="E8" s="42" t="s">
        <v>782</v>
      </c>
      <c r="F8" s="3"/>
      <c r="G8" s="3"/>
      <c r="H8" s="3"/>
      <c r="I8" s="3">
        <v>45855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45855</v>
      </c>
      <c r="AL8" s="22"/>
    </row>
    <row r="9" spans="1:39" x14ac:dyDescent="0.35">
      <c r="A9" s="41" t="s">
        <v>2252</v>
      </c>
      <c r="B9" t="s">
        <v>2250</v>
      </c>
      <c r="C9" s="5">
        <v>45184</v>
      </c>
      <c r="D9" s="3">
        <v>4522</v>
      </c>
      <c r="E9" s="42" t="s">
        <v>782</v>
      </c>
      <c r="F9" s="3"/>
      <c r="G9" s="3"/>
      <c r="H9" s="3"/>
      <c r="I9" s="3">
        <v>4522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4522</v>
      </c>
      <c r="AL9" s="22"/>
    </row>
    <row r="10" spans="1:39" x14ac:dyDescent="0.35">
      <c r="A10" s="41" t="s">
        <v>2255</v>
      </c>
      <c r="B10" t="s">
        <v>2253</v>
      </c>
      <c r="C10" s="5">
        <v>45192</v>
      </c>
      <c r="D10" s="3">
        <v>45855</v>
      </c>
      <c r="E10" s="42" t="s">
        <v>782</v>
      </c>
      <c r="F10" s="3"/>
      <c r="G10" s="3"/>
      <c r="H10" s="3"/>
      <c r="I10" s="3">
        <v>45855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 t="s">
        <v>13</v>
      </c>
      <c r="AC10" s="3"/>
      <c r="AD10" s="3"/>
      <c r="AE10" s="3"/>
      <c r="AF10" s="3"/>
      <c r="AG10" s="3"/>
      <c r="AH10" s="3"/>
      <c r="AI10" s="3"/>
      <c r="AK10" s="3">
        <f>SUM($F10:AJ10)</f>
        <v>45855</v>
      </c>
      <c r="AL10" s="22"/>
    </row>
    <row r="11" spans="1:39" x14ac:dyDescent="0.35">
      <c r="A11" s="41" t="s">
        <v>2256</v>
      </c>
      <c r="B11" t="s">
        <v>2254</v>
      </c>
      <c r="C11" s="5">
        <v>45192</v>
      </c>
      <c r="D11" s="3">
        <v>87189</v>
      </c>
      <c r="E11" s="42" t="s">
        <v>782</v>
      </c>
      <c r="F11" s="3"/>
      <c r="G11" s="3"/>
      <c r="H11" s="3"/>
      <c r="I11" s="3">
        <v>87189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 t="s">
        <v>13</v>
      </c>
      <c r="AC11" s="3"/>
      <c r="AD11" s="3"/>
      <c r="AE11" s="3"/>
      <c r="AF11" s="3"/>
      <c r="AG11" s="3"/>
      <c r="AH11" s="3"/>
      <c r="AI11" s="3"/>
      <c r="AK11" s="3">
        <f>SUM($F11:AJ11)</f>
        <v>87189</v>
      </c>
      <c r="AL11" s="22"/>
    </row>
    <row r="12" spans="1:39" x14ac:dyDescent="0.35">
      <c r="A12" s="41" t="s">
        <v>2251</v>
      </c>
      <c r="B12" t="s">
        <v>2267</v>
      </c>
      <c r="C12" s="5">
        <v>45199</v>
      </c>
      <c r="D12" s="3">
        <v>87189</v>
      </c>
      <c r="E12" s="42" t="s">
        <v>782</v>
      </c>
      <c r="F12" s="3"/>
      <c r="G12" s="3"/>
      <c r="H12" s="3"/>
      <c r="I12" s="3"/>
      <c r="J12" s="3"/>
      <c r="K12" s="3"/>
      <c r="L12" s="3"/>
      <c r="M12" s="3">
        <v>87189</v>
      </c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87189</v>
      </c>
      <c r="AL12" s="22"/>
    </row>
    <row r="13" spans="1:39" x14ac:dyDescent="0.35">
      <c r="A13" s="41" t="s">
        <v>2252</v>
      </c>
      <c r="B13" t="s">
        <v>2268</v>
      </c>
      <c r="C13" s="5">
        <v>45199</v>
      </c>
      <c r="D13" s="3">
        <v>45855</v>
      </c>
      <c r="E13" s="42" t="s">
        <v>782</v>
      </c>
      <c r="F13" s="3"/>
      <c r="G13" s="3"/>
      <c r="H13" s="3"/>
      <c r="I13" s="3"/>
      <c r="J13" s="3"/>
      <c r="K13" s="3"/>
      <c r="L13" s="3"/>
      <c r="M13" s="3">
        <v>45855</v>
      </c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45855</v>
      </c>
      <c r="AL13" s="22"/>
    </row>
    <row r="14" spans="1:39" x14ac:dyDescent="0.35">
      <c r="A14" s="41" t="s">
        <v>2248</v>
      </c>
      <c r="B14" t="s">
        <v>2269</v>
      </c>
      <c r="C14" s="5">
        <v>45199</v>
      </c>
      <c r="D14" s="3">
        <v>87189</v>
      </c>
      <c r="E14" s="42" t="s">
        <v>782</v>
      </c>
      <c r="F14" s="3"/>
      <c r="G14" s="3"/>
      <c r="H14" s="3"/>
      <c r="I14" s="3"/>
      <c r="J14" s="3"/>
      <c r="K14" s="3"/>
      <c r="L14" s="3"/>
      <c r="M14" s="3">
        <v>87189</v>
      </c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87189</v>
      </c>
      <c r="AL14" s="22"/>
    </row>
    <row r="15" spans="1:39" x14ac:dyDescent="0.35">
      <c r="A15" s="41" t="s">
        <v>2281</v>
      </c>
      <c r="B15" t="s">
        <v>2276</v>
      </c>
      <c r="C15" s="5">
        <v>45205</v>
      </c>
      <c r="D15" s="3">
        <v>45855</v>
      </c>
      <c r="E15" s="42" t="s">
        <v>782</v>
      </c>
      <c r="F15" s="3"/>
      <c r="G15" s="3"/>
      <c r="H15" s="3"/>
      <c r="I15" s="3"/>
      <c r="J15" s="3"/>
      <c r="K15" s="3"/>
      <c r="L15" s="3"/>
      <c r="M15" s="3">
        <v>45855</v>
      </c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45855</v>
      </c>
      <c r="AL15" s="22"/>
    </row>
    <row r="16" spans="1:39" x14ac:dyDescent="0.35">
      <c r="A16" s="41" t="s">
        <v>2282</v>
      </c>
      <c r="B16" t="s">
        <v>2277</v>
      </c>
      <c r="C16" s="5">
        <v>45205</v>
      </c>
      <c r="D16" s="3">
        <v>96114</v>
      </c>
      <c r="E16" s="42" t="s">
        <v>782</v>
      </c>
      <c r="F16" s="3"/>
      <c r="G16" s="3"/>
      <c r="H16" s="3"/>
      <c r="I16" s="3"/>
      <c r="J16" s="3"/>
      <c r="K16" s="3"/>
      <c r="L16" s="3"/>
      <c r="M16" s="3">
        <v>96114</v>
      </c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96114</v>
      </c>
      <c r="AL16" s="22"/>
    </row>
    <row r="17" spans="1:39" x14ac:dyDescent="0.35">
      <c r="A17" s="41" t="s">
        <v>2284</v>
      </c>
      <c r="B17" t="s">
        <v>2278</v>
      </c>
      <c r="C17" s="5">
        <v>45205</v>
      </c>
      <c r="D17" s="3">
        <v>87189</v>
      </c>
      <c r="E17" s="42" t="s">
        <v>782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>
        <v>87189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87189</v>
      </c>
      <c r="AL17" s="22"/>
    </row>
    <row r="18" spans="1:39" x14ac:dyDescent="0.35">
      <c r="A18" s="41" t="s">
        <v>2283</v>
      </c>
      <c r="B18" t="s">
        <v>2279</v>
      </c>
      <c r="C18" s="5">
        <v>45205</v>
      </c>
      <c r="D18" s="3">
        <v>45855</v>
      </c>
      <c r="E18" s="42" t="s">
        <v>782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>
        <v>45855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45855</v>
      </c>
      <c r="AL18" s="22"/>
    </row>
    <row r="19" spans="1:39" x14ac:dyDescent="0.35">
      <c r="A19" s="41" t="s">
        <v>2286</v>
      </c>
      <c r="B19" t="s">
        <v>2287</v>
      </c>
      <c r="C19" s="5">
        <v>45210</v>
      </c>
      <c r="D19" s="3">
        <v>87189</v>
      </c>
      <c r="E19" s="42" t="s">
        <v>782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87189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87189</v>
      </c>
      <c r="AL19" s="22"/>
    </row>
    <row r="20" spans="1:39" x14ac:dyDescent="0.35">
      <c r="A20" s="41" t="s">
        <v>2288</v>
      </c>
      <c r="B20" t="s">
        <v>2289</v>
      </c>
      <c r="C20" s="5">
        <v>45210</v>
      </c>
      <c r="D20" s="3">
        <v>87189</v>
      </c>
      <c r="E20" s="42" t="s">
        <v>782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>
        <v>87189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87189</v>
      </c>
      <c r="AL20" s="22"/>
    </row>
    <row r="21" spans="1:39" x14ac:dyDescent="0.35">
      <c r="A21" s="41" t="s">
        <v>2290</v>
      </c>
      <c r="B21" t="s">
        <v>2291</v>
      </c>
      <c r="C21" s="5">
        <v>45213</v>
      </c>
      <c r="D21" s="3">
        <v>87189</v>
      </c>
      <c r="E21" s="42" t="s">
        <v>782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 t="s">
        <v>13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9" x14ac:dyDescent="0.35">
      <c r="A22" s="41" t="s">
        <v>2292</v>
      </c>
      <c r="B22" t="s">
        <v>2054</v>
      </c>
      <c r="C22" s="5">
        <v>45213</v>
      </c>
      <c r="D22" s="3">
        <v>87189</v>
      </c>
      <c r="E22" s="42" t="s">
        <v>782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9" x14ac:dyDescent="0.35">
      <c r="A23" s="41" t="s">
        <v>2293</v>
      </c>
      <c r="B23" t="s">
        <v>2294</v>
      </c>
      <c r="C23" s="5">
        <v>45214</v>
      </c>
      <c r="D23" s="3">
        <v>87189</v>
      </c>
      <c r="E23" s="42" t="s">
        <v>782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9" x14ac:dyDescent="0.35">
      <c r="A24" s="41" t="s">
        <v>2305</v>
      </c>
      <c r="B24" t="s">
        <v>2306</v>
      </c>
      <c r="C24" s="5">
        <v>45225</v>
      </c>
      <c r="D24" s="3">
        <v>96114</v>
      </c>
      <c r="E24" s="42" t="s">
        <v>782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39" x14ac:dyDescent="0.35">
      <c r="A25" s="41" t="s">
        <v>2311</v>
      </c>
      <c r="B25" t="s">
        <v>2312</v>
      </c>
      <c r="C25" s="5">
        <v>45239</v>
      </c>
      <c r="D25" s="3">
        <v>87189</v>
      </c>
      <c r="E25" s="42" t="s">
        <v>782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39" x14ac:dyDescent="0.35">
      <c r="A26" s="41" t="s">
        <v>2314</v>
      </c>
      <c r="B26" t="s">
        <v>975</v>
      </c>
      <c r="C26" s="5">
        <v>45256</v>
      </c>
      <c r="D26" s="3">
        <v>87189</v>
      </c>
      <c r="E26" s="42" t="s">
        <v>782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39" x14ac:dyDescent="0.35">
      <c r="A27" s="41" t="s">
        <v>2326</v>
      </c>
      <c r="B27" t="s">
        <v>2323</v>
      </c>
      <c r="C27" s="5">
        <v>45273</v>
      </c>
      <c r="D27" s="3">
        <v>169856</v>
      </c>
      <c r="E27" s="42" t="s">
        <v>2325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39" x14ac:dyDescent="0.35">
      <c r="A28" s="41" t="s">
        <v>2327</v>
      </c>
      <c r="B28" t="s">
        <v>2324</v>
      </c>
      <c r="C28" s="5">
        <v>45274</v>
      </c>
      <c r="D28" s="3">
        <v>95188</v>
      </c>
      <c r="E28" s="42" t="s">
        <v>2325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  <c r="AL28" s="22"/>
    </row>
    <row r="29" spans="1:39" x14ac:dyDescent="0.35">
      <c r="A29" s="41"/>
      <c r="C29" s="5"/>
      <c r="D29" s="3"/>
      <c r="E29" s="4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0</v>
      </c>
      <c r="AL29" s="22"/>
    </row>
    <row r="30" spans="1:39" ht="15" thickBot="1" x14ac:dyDescent="0.4">
      <c r="A30" s="43"/>
      <c r="B30" s="76"/>
      <c r="C30" s="45"/>
      <c r="D30" s="46"/>
      <c r="E30" s="4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K30" s="3">
        <f>SUM($F30:AJ30)</f>
        <v>0</v>
      </c>
      <c r="AL30" s="22"/>
    </row>
    <row r="31" spans="1:39" x14ac:dyDescent="0.35">
      <c r="D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K31" s="324" t="s">
        <v>1962</v>
      </c>
      <c r="AL31" s="22" t="s">
        <v>1352</v>
      </c>
    </row>
    <row r="32" spans="1:39" x14ac:dyDescent="0.35">
      <c r="A32" s="2" t="s">
        <v>1676</v>
      </c>
      <c r="D32" s="3">
        <f>SUM(D15:D30)</f>
        <v>1246494</v>
      </c>
      <c r="F32" s="3">
        <f t="shared" ref="F32:AJ32" si="1">SUM(F5:F30)</f>
        <v>0</v>
      </c>
      <c r="G32" s="3">
        <f t="shared" si="1"/>
        <v>0</v>
      </c>
      <c r="H32" s="3">
        <f t="shared" si="1"/>
        <v>0</v>
      </c>
      <c r="I32" s="3">
        <f t="shared" si="1"/>
        <v>357799</v>
      </c>
      <c r="J32" s="3">
        <f t="shared" si="1"/>
        <v>0</v>
      </c>
      <c r="K32" s="3">
        <f t="shared" si="1"/>
        <v>0</v>
      </c>
      <c r="L32" s="3">
        <f t="shared" si="1"/>
        <v>0</v>
      </c>
      <c r="M32" s="3">
        <f t="shared" si="1"/>
        <v>362202</v>
      </c>
      <c r="N32" s="3">
        <f t="shared" si="1"/>
        <v>0</v>
      </c>
      <c r="O32" s="3">
        <f t="shared" si="1"/>
        <v>0</v>
      </c>
      <c r="P32" s="3">
        <f t="shared" si="1"/>
        <v>0</v>
      </c>
      <c r="Q32" s="3">
        <f t="shared" si="1"/>
        <v>0</v>
      </c>
      <c r="R32" s="3">
        <f t="shared" si="1"/>
        <v>0</v>
      </c>
      <c r="S32" s="3">
        <f t="shared" si="1"/>
        <v>0</v>
      </c>
      <c r="T32" s="3">
        <f t="shared" si="1"/>
        <v>0</v>
      </c>
      <c r="U32" s="3">
        <f t="shared" si="1"/>
        <v>0</v>
      </c>
      <c r="V32" s="3">
        <f t="shared" si="1"/>
        <v>0</v>
      </c>
      <c r="W32" s="3">
        <f t="shared" si="1"/>
        <v>307422</v>
      </c>
      <c r="X32" s="3">
        <f t="shared" si="1"/>
        <v>0</v>
      </c>
      <c r="Y32" s="3">
        <f t="shared" si="1"/>
        <v>0</v>
      </c>
      <c r="Z32" s="3">
        <f t="shared" si="1"/>
        <v>0</v>
      </c>
      <c r="AA32" s="3">
        <f t="shared" si="1"/>
        <v>0</v>
      </c>
      <c r="AB32" s="3">
        <f t="shared" si="1"/>
        <v>0</v>
      </c>
      <c r="AC32" s="3">
        <f t="shared" si="1"/>
        <v>0</v>
      </c>
      <c r="AD32" s="3">
        <f t="shared" si="1"/>
        <v>0</v>
      </c>
      <c r="AE32" s="3">
        <f t="shared" si="1"/>
        <v>0</v>
      </c>
      <c r="AF32" s="3">
        <f t="shared" si="1"/>
        <v>0</v>
      </c>
      <c r="AG32" s="3">
        <f t="shared" si="1"/>
        <v>0</v>
      </c>
      <c r="AH32" s="3">
        <f t="shared" si="1"/>
        <v>0</v>
      </c>
      <c r="AI32" s="3">
        <f t="shared" si="1"/>
        <v>0</v>
      </c>
      <c r="AJ32" s="3">
        <f t="shared" si="1"/>
        <v>0</v>
      </c>
      <c r="AK32" s="72">
        <f>SUM(AK6:AK30)</f>
        <v>1027423</v>
      </c>
      <c r="AL32" s="22">
        <f>+D33-AK32</f>
        <v>797103</v>
      </c>
      <c r="AM32" s="6" t="s">
        <v>13</v>
      </c>
    </row>
    <row r="33" spans="1:41" x14ac:dyDescent="0.35">
      <c r="A33" s="2" t="s">
        <v>1780</v>
      </c>
      <c r="B33" t="s">
        <v>13</v>
      </c>
      <c r="C33" s="3" t="s">
        <v>13</v>
      </c>
      <c r="D33" s="3">
        <f>SUM(D6:D30)</f>
        <v>1824526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41" x14ac:dyDescent="0.35">
      <c r="A34" s="2"/>
      <c r="C34" s="3"/>
      <c r="D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41" x14ac:dyDescent="0.35">
      <c r="A35" s="2" t="s">
        <v>2</v>
      </c>
      <c r="C35" t="s">
        <v>13</v>
      </c>
      <c r="F35" s="3"/>
      <c r="G35" s="3"/>
      <c r="H35" s="3"/>
      <c r="I35" s="3"/>
      <c r="J35" s="3"/>
      <c r="K35" s="3"/>
      <c r="L35" s="3" t="s">
        <v>13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41" ht="15" thickBot="1" x14ac:dyDescent="0.4">
      <c r="A36" s="404">
        <v>45178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41" x14ac:dyDescent="0.35">
      <c r="A37" s="358" t="s">
        <v>1008</v>
      </c>
      <c r="B37" s="37" t="s">
        <v>337</v>
      </c>
      <c r="C37" s="38"/>
      <c r="D37" s="39">
        <v>2400000</v>
      </c>
      <c r="E37" s="40"/>
      <c r="F37" s="3"/>
      <c r="G37" s="3"/>
      <c r="H37" s="3" t="s">
        <v>13</v>
      </c>
      <c r="I37" s="3" t="s">
        <v>13</v>
      </c>
      <c r="J37" s="3"/>
      <c r="K37" s="3"/>
      <c r="L37" s="3"/>
      <c r="M37" s="3"/>
      <c r="N37" s="3"/>
      <c r="O37" s="3"/>
      <c r="P37" s="3" t="s">
        <v>13</v>
      </c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0</v>
      </c>
    </row>
    <row r="38" spans="1:41" x14ac:dyDescent="0.35">
      <c r="A38" s="41" t="s">
        <v>2301</v>
      </c>
      <c r="B38" t="s">
        <v>337</v>
      </c>
      <c r="C38" s="5">
        <v>45236</v>
      </c>
      <c r="D38" s="3">
        <v>126372</v>
      </c>
      <c r="E38" s="42" t="s">
        <v>503</v>
      </c>
      <c r="F38" s="3" t="s">
        <v>13</v>
      </c>
      <c r="G38" s="3"/>
      <c r="H38" s="3"/>
      <c r="I38" s="3"/>
      <c r="K38" s="3"/>
      <c r="L38" s="3" t="s">
        <v>13</v>
      </c>
      <c r="M38" s="3" t="s">
        <v>13</v>
      </c>
      <c r="N38" s="3"/>
      <c r="O38" s="3"/>
      <c r="P38" s="3"/>
      <c r="Q38" s="3">
        <v>126372</v>
      </c>
      <c r="R38" s="3"/>
      <c r="S38" s="3"/>
      <c r="T38" s="3"/>
      <c r="U38" s="3"/>
      <c r="V38" s="3"/>
      <c r="W38" s="3"/>
      <c r="Z38" s="3"/>
      <c r="AA38" s="3"/>
      <c r="AB38" s="3"/>
      <c r="AC38" s="3"/>
      <c r="AD38" s="3"/>
      <c r="AE38" s="3"/>
      <c r="AG38" s="3" t="s">
        <v>13</v>
      </c>
      <c r="AH38" s="3"/>
      <c r="AI38" s="3"/>
      <c r="AK38" s="3">
        <f>SUM($F38:AJ38)</f>
        <v>126372</v>
      </c>
    </row>
    <row r="39" spans="1:41" x14ac:dyDescent="0.35">
      <c r="A39" s="343" t="s">
        <v>2126</v>
      </c>
      <c r="C39" s="5">
        <v>45238</v>
      </c>
      <c r="D39" s="3">
        <v>56290</v>
      </c>
      <c r="E39" s="344" t="s">
        <v>4</v>
      </c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L39" s="6" t="s">
        <v>13</v>
      </c>
      <c r="AN39" s="26"/>
      <c r="AO39" s="3"/>
    </row>
    <row r="40" spans="1:41" ht="15" thickBot="1" x14ac:dyDescent="0.4">
      <c r="A40" s="345" t="s">
        <v>2317</v>
      </c>
      <c r="B40" s="44"/>
      <c r="C40" s="45">
        <v>45260</v>
      </c>
      <c r="D40" s="46">
        <f>3603.5+2990.99+(1611.57+337.51)*2+1290*49*2/9</f>
        <v>24539.316666666666</v>
      </c>
      <c r="E40" s="347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 t="s">
        <v>13</v>
      </c>
      <c r="X40" s="3" t="s">
        <v>13</v>
      </c>
      <c r="Y40" s="3" t="s">
        <v>13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N40" s="26" t="s">
        <v>13</v>
      </c>
      <c r="AO40" s="3"/>
    </row>
    <row r="41" spans="1:41" x14ac:dyDescent="0.35">
      <c r="A41" s="343" t="s">
        <v>2319</v>
      </c>
      <c r="B41" s="24" t="s">
        <v>2320</v>
      </c>
      <c r="C41" s="5">
        <v>45261</v>
      </c>
      <c r="D41" s="3">
        <v>36790</v>
      </c>
      <c r="E41" s="344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L41" s="6" t="s">
        <v>83</v>
      </c>
      <c r="AN41" s="26"/>
      <c r="AO41" s="3"/>
    </row>
    <row r="42" spans="1:41" x14ac:dyDescent="0.35">
      <c r="A42" s="343" t="s">
        <v>1161</v>
      </c>
      <c r="B42" t="s">
        <v>2318</v>
      </c>
      <c r="C42" s="5">
        <v>45264</v>
      </c>
      <c r="D42" s="3">
        <v>9300</v>
      </c>
      <c r="E42" s="344" t="s">
        <v>1704</v>
      </c>
      <c r="F42" s="3"/>
      <c r="G42" s="3"/>
      <c r="H42" s="3"/>
      <c r="I42" s="3">
        <v>9300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9300</v>
      </c>
      <c r="AL42" s="6" t="s">
        <v>83</v>
      </c>
      <c r="AN42" s="26"/>
      <c r="AO42" s="3"/>
    </row>
    <row r="43" spans="1:41" x14ac:dyDescent="0.35">
      <c r="A43" s="343" t="s">
        <v>2322</v>
      </c>
      <c r="B43" s="24"/>
      <c r="C43" s="5">
        <v>45265</v>
      </c>
      <c r="D43" s="3">
        <v>13905</v>
      </c>
      <c r="E43" s="344" t="s">
        <v>503</v>
      </c>
      <c r="F43" s="3"/>
      <c r="G43" s="3"/>
      <c r="H43" s="3"/>
      <c r="I43" s="3"/>
      <c r="J43" s="3">
        <v>13905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13905</v>
      </c>
      <c r="AL43" s="6" t="s">
        <v>1557</v>
      </c>
      <c r="AN43" s="26"/>
      <c r="AO43" s="3"/>
    </row>
    <row r="44" spans="1:41" x14ac:dyDescent="0.35">
      <c r="A44" s="343" t="s">
        <v>2328</v>
      </c>
      <c r="B44" s="24"/>
      <c r="C44" s="5">
        <v>45276</v>
      </c>
      <c r="D44" s="3">
        <v>24000</v>
      </c>
      <c r="E44" s="344" t="s">
        <v>503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24000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24000</v>
      </c>
      <c r="AL44" s="6" t="s">
        <v>81</v>
      </c>
      <c r="AN44" s="26"/>
      <c r="AO44" s="3"/>
    </row>
    <row r="45" spans="1:41" x14ac:dyDescent="0.35">
      <c r="A45" s="343" t="s">
        <v>1161</v>
      </c>
      <c r="B45" s="24"/>
      <c r="C45" s="5">
        <v>45279</v>
      </c>
      <c r="D45" s="3">
        <v>6200</v>
      </c>
      <c r="E45" s="344" t="s">
        <v>1704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>
        <v>6200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6200</v>
      </c>
      <c r="AL45" s="6" t="s">
        <v>83</v>
      </c>
      <c r="AN45" s="26"/>
      <c r="AO45" s="3"/>
    </row>
    <row r="46" spans="1:41" x14ac:dyDescent="0.35">
      <c r="A46" s="343" t="s">
        <v>533</v>
      </c>
      <c r="B46" s="24"/>
      <c r="C46" s="5">
        <v>45279</v>
      </c>
      <c r="D46" s="3">
        <v>4463</v>
      </c>
      <c r="E46" s="344" t="s">
        <v>503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>
        <v>4463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4463</v>
      </c>
      <c r="AN46" s="26"/>
      <c r="AO46" s="3"/>
    </row>
    <row r="47" spans="1:41" x14ac:dyDescent="0.35">
      <c r="A47" s="343" t="s">
        <v>2329</v>
      </c>
      <c r="B47" s="24" t="s">
        <v>2330</v>
      </c>
      <c r="C47" s="5">
        <v>45286</v>
      </c>
      <c r="D47" s="3">
        <v>8990</v>
      </c>
      <c r="E47" s="344" t="s">
        <v>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">
        <v>13</v>
      </c>
      <c r="AF47" s="3"/>
      <c r="AG47" s="3"/>
      <c r="AH47" s="3"/>
      <c r="AI47" s="3"/>
      <c r="AJ47" s="3"/>
      <c r="AK47" s="3">
        <f>SUM($F47:AJ47)</f>
        <v>0</v>
      </c>
      <c r="AL47" s="6" t="s">
        <v>83</v>
      </c>
      <c r="AN47" s="26"/>
      <c r="AO47" s="3"/>
    </row>
    <row r="48" spans="1:41" x14ac:dyDescent="0.35">
      <c r="A48" s="343" t="s">
        <v>1161</v>
      </c>
      <c r="B48" s="24" t="s">
        <v>2332</v>
      </c>
      <c r="C48" s="5">
        <v>45287</v>
      </c>
      <c r="D48" s="3">
        <v>14300</v>
      </c>
      <c r="E48" s="344" t="s">
        <v>1704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>
        <v>14300</v>
      </c>
      <c r="AG48" s="3"/>
      <c r="AH48" s="3"/>
      <c r="AI48" s="3"/>
      <c r="AJ48" s="3"/>
      <c r="AK48" s="3">
        <f>SUM($F48:AJ48)</f>
        <v>14300</v>
      </c>
      <c r="AL48" s="6" t="s">
        <v>83</v>
      </c>
      <c r="AN48" s="26"/>
      <c r="AO48" s="3"/>
    </row>
    <row r="49" spans="1:44" x14ac:dyDescent="0.35">
      <c r="A49" s="343" t="s">
        <v>1161</v>
      </c>
      <c r="B49" s="24" t="s">
        <v>2331</v>
      </c>
      <c r="C49" s="5">
        <v>45287</v>
      </c>
      <c r="D49" s="3">
        <v>9300</v>
      </c>
      <c r="E49" s="344" t="s">
        <v>1704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>
        <v>9300</v>
      </c>
      <c r="AG49" s="3"/>
      <c r="AH49" s="3"/>
      <c r="AI49" s="3"/>
      <c r="AJ49" s="3"/>
      <c r="AK49" s="3">
        <f>SUM($F49:AJ49)</f>
        <v>9300</v>
      </c>
      <c r="AL49" s="6" t="s">
        <v>83</v>
      </c>
      <c r="AN49" s="26"/>
      <c r="AO49" s="3"/>
    </row>
    <row r="50" spans="1:44" x14ac:dyDescent="0.35">
      <c r="A50" s="343" t="s">
        <v>2329</v>
      </c>
      <c r="B50" s="24" t="s">
        <v>2333</v>
      </c>
      <c r="C50" s="5">
        <v>45288</v>
      </c>
      <c r="D50" s="3">
        <v>8990</v>
      </c>
      <c r="E50" s="344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0</v>
      </c>
      <c r="AL50" s="6" t="s">
        <v>83</v>
      </c>
      <c r="AN50" s="26"/>
      <c r="AO50" s="3"/>
    </row>
    <row r="51" spans="1:44" x14ac:dyDescent="0.35">
      <c r="A51" s="343"/>
      <c r="B51" s="24"/>
      <c r="C51" s="5"/>
      <c r="D51" s="3"/>
      <c r="E51" s="34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0</v>
      </c>
      <c r="AN51" s="26"/>
      <c r="AO51" s="3"/>
    </row>
    <row r="52" spans="1:44" x14ac:dyDescent="0.35">
      <c r="A52" s="343"/>
      <c r="B52" s="24"/>
      <c r="C52" s="5"/>
      <c r="D52" s="3"/>
      <c r="E52" s="34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f>SUM($F52:AJ52)</f>
        <v>0</v>
      </c>
      <c r="AN52" s="26"/>
      <c r="AO52" s="3"/>
    </row>
    <row r="53" spans="1:44" x14ac:dyDescent="0.35">
      <c r="A53" s="343"/>
      <c r="B53" s="24"/>
      <c r="C53" s="5"/>
      <c r="D53" s="3"/>
      <c r="E53" s="34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>
        <f>SUM($F53:AJ53)</f>
        <v>0</v>
      </c>
      <c r="AN53" s="26"/>
      <c r="AO53" s="3"/>
    </row>
    <row r="54" spans="1:44" ht="15" thickBot="1" x14ac:dyDescent="0.4">
      <c r="A54" s="43" t="s">
        <v>2301</v>
      </c>
      <c r="B54" s="76" t="s">
        <v>337</v>
      </c>
      <c r="C54" s="45">
        <v>45290</v>
      </c>
      <c r="D54" s="46">
        <f>+AK32*0.17</f>
        <v>174661.91</v>
      </c>
      <c r="E54" s="47"/>
      <c r="F54" s="3"/>
      <c r="G54" s="3" t="s">
        <v>13</v>
      </c>
      <c r="H54" s="3" t="s">
        <v>13</v>
      </c>
      <c r="I54" s="3"/>
      <c r="J54" s="3"/>
      <c r="K54" s="3"/>
      <c r="L54" s="3"/>
      <c r="M54" s="3"/>
      <c r="N54" s="3"/>
      <c r="O54" s="3"/>
      <c r="P54" s="3"/>
      <c r="Q54" s="3"/>
      <c r="R54" s="3">
        <v>122400</v>
      </c>
      <c r="S54" s="3"/>
      <c r="T54" s="3"/>
      <c r="U54" s="3"/>
      <c r="V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122400</v>
      </c>
      <c r="AL54" s="6" t="s">
        <v>1846</v>
      </c>
      <c r="AM54" s="6" t="s">
        <v>13</v>
      </c>
      <c r="AN54" s="26" t="s">
        <v>13</v>
      </c>
      <c r="AO54" s="3"/>
    </row>
    <row r="55" spans="1:44" x14ac:dyDescent="0.35">
      <c r="A55" s="4" t="s">
        <v>2321</v>
      </c>
      <c r="B55" s="372">
        <v>0</v>
      </c>
      <c r="C55" s="67" t="s">
        <v>13</v>
      </c>
      <c r="D55" s="3">
        <f>+B57*C56</f>
        <v>767389.61970000004</v>
      </c>
      <c r="E55" s="153"/>
      <c r="F55" s="3"/>
      <c r="G55" s="3"/>
      <c r="H55" s="3" t="s">
        <v>13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Z55" s="3"/>
      <c r="AB55" s="3"/>
      <c r="AC55" s="3"/>
      <c r="AD55" s="3"/>
      <c r="AE55" s="3"/>
      <c r="AF55" s="3" t="s">
        <v>13</v>
      </c>
      <c r="AG55" s="3" t="s">
        <v>13</v>
      </c>
      <c r="AH55" s="3" t="s">
        <v>13</v>
      </c>
      <c r="AI55" s="3"/>
      <c r="AJ55" s="3" t="s">
        <v>13</v>
      </c>
      <c r="AK55" s="3">
        <f>SUM($F55:AJ55)</f>
        <v>0</v>
      </c>
      <c r="AL55" s="22" t="s">
        <v>13</v>
      </c>
      <c r="AM55" s="6" t="s">
        <v>13</v>
      </c>
      <c r="AO55" s="26" t="s">
        <v>13</v>
      </c>
      <c r="AQ55" s="6" t="s">
        <v>1675</v>
      </c>
    </row>
    <row r="56" spans="1:44" ht="15" thickBot="1" x14ac:dyDescent="0.4">
      <c r="A56" s="4" t="s">
        <v>13</v>
      </c>
      <c r="B56" s="67" t="s">
        <v>933</v>
      </c>
      <c r="C56" s="236">
        <v>36524.97</v>
      </c>
      <c r="D56" s="3"/>
      <c r="E56" s="15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 t="s">
        <v>13</v>
      </c>
      <c r="AL56" s="22"/>
      <c r="AO56" s="26" t="s">
        <v>13</v>
      </c>
      <c r="AP56" s="64" t="e">
        <f>+[2]Hoja1!$L$305+[3]Hoja1!#REF!</f>
        <v>#REF!</v>
      </c>
      <c r="AQ56" s="64" t="e">
        <f>+[3]Hoja1!#REF!</f>
        <v>#REF!</v>
      </c>
      <c r="AR56" s="64" t="e">
        <f>+AQ56+'Mar-23'!AR96</f>
        <v>#REF!</v>
      </c>
    </row>
    <row r="57" spans="1:44" x14ac:dyDescent="0.35">
      <c r="A57" s="371" t="s">
        <v>255</v>
      </c>
      <c r="B57" s="372">
        <v>21.01</v>
      </c>
      <c r="C57" s="67"/>
      <c r="D57" s="3"/>
      <c r="E57" s="15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 t="s">
        <v>13</v>
      </c>
      <c r="AL57" s="22"/>
      <c r="AO57" s="11" t="s">
        <v>91</v>
      </c>
      <c r="AP57" s="53">
        <f>+D32/1.19</f>
        <v>1047473.949579832</v>
      </c>
      <c r="AQ57" s="53">
        <f>+(SUMIF(E15:E30,"MD",D15:D30)+SUMIF(E15:E30,"MK",D15:D30)/1.19)</f>
        <v>0</v>
      </c>
    </row>
    <row r="58" spans="1:44" x14ac:dyDescent="0.35">
      <c r="A58" s="3" t="s">
        <v>13</v>
      </c>
      <c r="B58" s="24"/>
      <c r="D58" s="3"/>
      <c r="E58" s="15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 t="s">
        <v>13</v>
      </c>
      <c r="AL58" s="22"/>
      <c r="AO58" s="14" t="s">
        <v>1558</v>
      </c>
      <c r="AP58" s="15">
        <f>+SUMIF(AL39:AL54,"CD",D39:D54)/1.19</f>
        <v>78882.352941176476</v>
      </c>
      <c r="AQ58" s="15" t="e">
        <f>+AP58*AQ$56/AP$56</f>
        <v>#REF!</v>
      </c>
    </row>
    <row r="59" spans="1:44" x14ac:dyDescent="0.35">
      <c r="A59" s="4"/>
      <c r="B59" s="24"/>
      <c r="C59" s="67"/>
      <c r="D59" s="3"/>
      <c r="E59" s="153"/>
      <c r="F59" s="3" t="s">
        <v>13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13</v>
      </c>
      <c r="AL59" s="22"/>
      <c r="AO59" s="14" t="s">
        <v>1559</v>
      </c>
      <c r="AP59" s="15">
        <f>+AP57-AP58</f>
        <v>968591.59663865552</v>
      </c>
      <c r="AQ59" s="15" t="e">
        <f>+AQ57-AQ58</f>
        <v>#REF!</v>
      </c>
    </row>
    <row r="60" spans="1:44" x14ac:dyDescent="0.35">
      <c r="A60" s="4"/>
      <c r="B60" s="24"/>
      <c r="C60" s="67"/>
      <c r="D60" s="3"/>
      <c r="E60" s="15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13</v>
      </c>
      <c r="AL60" s="22"/>
      <c r="AO60" s="14" t="s">
        <v>1560</v>
      </c>
      <c r="AP60" s="327">
        <f>+AP59/AP57</f>
        <v>0.92469277830458874</v>
      </c>
      <c r="AQ60" s="327" t="e">
        <f>+AQ59/AQ57</f>
        <v>#REF!</v>
      </c>
    </row>
    <row r="61" spans="1:44" x14ac:dyDescent="0.35">
      <c r="A61" s="4"/>
      <c r="B61" s="67"/>
      <c r="C61" s="236"/>
      <c r="E61" s="15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AJ61" s="3"/>
      <c r="AK61" s="3"/>
      <c r="AL61" s="22" t="s">
        <v>1388</v>
      </c>
      <c r="AM61" s="6" t="s">
        <v>1430</v>
      </c>
      <c r="AO61" s="14" t="s">
        <v>81</v>
      </c>
      <c r="AP61" s="15">
        <f>+SUMIF(AL39:AL54,"GAV",D39:D54)/1.19+SUMIF(AL39:AL40,"REM",D39:D40)</f>
        <v>20168.067226890758</v>
      </c>
      <c r="AQ61" s="15" t="e">
        <f>+AP61*AQ$56/AP$56</f>
        <v>#REF!</v>
      </c>
    </row>
    <row r="62" spans="1:44" x14ac:dyDescent="0.35">
      <c r="A62" s="2" t="s">
        <v>9</v>
      </c>
      <c r="D62" s="72">
        <f>SUM(D37:D60)-D37</f>
        <v>1285490.8463666672</v>
      </c>
      <c r="F62" s="3">
        <f t="shared" ref="F62:AJ62" si="2">SUM(F37:F61)</f>
        <v>0</v>
      </c>
      <c r="G62" s="3">
        <f t="shared" si="2"/>
        <v>0</v>
      </c>
      <c r="H62" s="3">
        <f t="shared" si="2"/>
        <v>0</v>
      </c>
      <c r="I62" s="3">
        <f t="shared" si="2"/>
        <v>9300</v>
      </c>
      <c r="J62" s="3">
        <f t="shared" si="2"/>
        <v>13905</v>
      </c>
      <c r="K62" s="3">
        <f t="shared" si="2"/>
        <v>0</v>
      </c>
      <c r="L62" s="3">
        <f t="shared" si="2"/>
        <v>0</v>
      </c>
      <c r="M62" s="3">
        <f t="shared" si="2"/>
        <v>0</v>
      </c>
      <c r="N62" s="3">
        <f t="shared" si="2"/>
        <v>0</v>
      </c>
      <c r="O62" s="3">
        <f t="shared" si="2"/>
        <v>0</v>
      </c>
      <c r="P62" s="3">
        <f t="shared" si="2"/>
        <v>0</v>
      </c>
      <c r="Q62" s="3">
        <f t="shared" si="2"/>
        <v>126372</v>
      </c>
      <c r="R62" s="3">
        <f t="shared" si="2"/>
        <v>122400</v>
      </c>
      <c r="S62" s="3">
        <f t="shared" si="2"/>
        <v>0</v>
      </c>
      <c r="T62" s="3">
        <f t="shared" si="2"/>
        <v>0</v>
      </c>
      <c r="U62" s="3">
        <f t="shared" si="2"/>
        <v>24000</v>
      </c>
      <c r="V62" s="3">
        <f t="shared" si="2"/>
        <v>0</v>
      </c>
      <c r="W62" s="3">
        <f t="shared" si="2"/>
        <v>0</v>
      </c>
      <c r="X62" s="3">
        <f t="shared" si="2"/>
        <v>10663</v>
      </c>
      <c r="Y62" s="3">
        <f t="shared" si="2"/>
        <v>0</v>
      </c>
      <c r="Z62" s="3">
        <f t="shared" si="2"/>
        <v>0</v>
      </c>
      <c r="AA62" s="3">
        <f t="shared" si="2"/>
        <v>0</v>
      </c>
      <c r="AB62" s="3">
        <f t="shared" si="2"/>
        <v>0</v>
      </c>
      <c r="AC62" s="3">
        <f t="shared" si="2"/>
        <v>0</v>
      </c>
      <c r="AD62" s="3">
        <f t="shared" si="2"/>
        <v>0</v>
      </c>
      <c r="AE62" s="3">
        <f t="shared" si="2"/>
        <v>0</v>
      </c>
      <c r="AF62" s="3">
        <f t="shared" si="2"/>
        <v>23600</v>
      </c>
      <c r="AG62" s="3">
        <f t="shared" si="2"/>
        <v>0</v>
      </c>
      <c r="AH62" s="3">
        <f t="shared" si="2"/>
        <v>0</v>
      </c>
      <c r="AI62" s="3">
        <f t="shared" si="2"/>
        <v>0</v>
      </c>
      <c r="AJ62" s="3">
        <f t="shared" si="2"/>
        <v>0</v>
      </c>
      <c r="AK62" s="72">
        <f>SUM(AK37:AK60)-AK37</f>
        <v>330240</v>
      </c>
      <c r="AL62" s="324">
        <f>+D62-AK62</f>
        <v>955250.84636666719</v>
      </c>
      <c r="AM62" s="324">
        <f>+AJ63+AL32-AL62-1200000</f>
        <v>408935.48942908412</v>
      </c>
      <c r="AO62" s="14" t="s">
        <v>1561</v>
      </c>
      <c r="AP62" s="15">
        <f>+AP59-AP61</f>
        <v>948423.52941176482</v>
      </c>
      <c r="AQ62" s="15" t="e">
        <f>+AQ59-AQ61</f>
        <v>#REF!</v>
      </c>
    </row>
    <row r="63" spans="1:44" x14ac:dyDescent="0.35">
      <c r="A63" t="s">
        <v>8</v>
      </c>
      <c r="F63" s="3">
        <f t="shared" ref="F63:AJ63" si="3">+F32+F3-F62</f>
        <v>1069900.3357957513</v>
      </c>
      <c r="G63" s="3">
        <f t="shared" si="3"/>
        <v>1069900.3357957513</v>
      </c>
      <c r="H63" s="3">
        <f t="shared" si="3"/>
        <v>1069900.3357957513</v>
      </c>
      <c r="I63" s="3">
        <f t="shared" si="3"/>
        <v>1418399.3357957513</v>
      </c>
      <c r="J63" s="3">
        <f t="shared" si="3"/>
        <v>1404494.3357957513</v>
      </c>
      <c r="K63" s="3">
        <f t="shared" si="3"/>
        <v>1404494.3357957513</v>
      </c>
      <c r="L63" s="3">
        <f t="shared" si="3"/>
        <v>1404494.3357957513</v>
      </c>
      <c r="M63" s="3">
        <f t="shared" si="3"/>
        <v>1766696.3357957513</v>
      </c>
      <c r="N63" s="3">
        <f t="shared" si="3"/>
        <v>1766696.3357957513</v>
      </c>
      <c r="O63" s="3">
        <f t="shared" si="3"/>
        <v>1766696.3357957513</v>
      </c>
      <c r="P63" s="3">
        <f t="shared" si="3"/>
        <v>1766696.3357957513</v>
      </c>
      <c r="Q63" s="3">
        <f t="shared" si="3"/>
        <v>1640324.3357957513</v>
      </c>
      <c r="R63" s="3">
        <f t="shared" si="3"/>
        <v>1517924.3357957513</v>
      </c>
      <c r="S63" s="3">
        <f t="shared" si="3"/>
        <v>1517924.3357957513</v>
      </c>
      <c r="T63" s="3">
        <f t="shared" si="3"/>
        <v>1517924.3357957513</v>
      </c>
      <c r="U63" s="3">
        <f t="shared" si="3"/>
        <v>1493924.3357957513</v>
      </c>
      <c r="V63" s="3">
        <f t="shared" si="3"/>
        <v>1493924.3357957513</v>
      </c>
      <c r="W63" s="3">
        <f t="shared" si="3"/>
        <v>1801346.3357957513</v>
      </c>
      <c r="X63" s="3">
        <f t="shared" si="3"/>
        <v>1790683.3357957513</v>
      </c>
      <c r="Y63" s="3">
        <f t="shared" si="3"/>
        <v>1790683.3357957513</v>
      </c>
      <c r="Z63" s="3">
        <f t="shared" si="3"/>
        <v>1790683.3357957513</v>
      </c>
      <c r="AA63" s="3">
        <f t="shared" si="3"/>
        <v>1790683.3357957513</v>
      </c>
      <c r="AB63" s="3">
        <f t="shared" si="3"/>
        <v>1790683.3357957513</v>
      </c>
      <c r="AC63" s="3">
        <f t="shared" si="3"/>
        <v>1790683.3357957513</v>
      </c>
      <c r="AD63" s="3">
        <f t="shared" si="3"/>
        <v>1790683.3357957513</v>
      </c>
      <c r="AE63" s="3">
        <f t="shared" si="3"/>
        <v>1790683.3357957513</v>
      </c>
      <c r="AF63" s="3">
        <f t="shared" si="3"/>
        <v>1767083.3357957513</v>
      </c>
      <c r="AG63" s="3">
        <f t="shared" si="3"/>
        <v>1767083.3357957513</v>
      </c>
      <c r="AH63" s="3">
        <f t="shared" si="3"/>
        <v>1767083.3357957513</v>
      </c>
      <c r="AI63" s="3">
        <f t="shared" si="3"/>
        <v>1767083.3357957513</v>
      </c>
      <c r="AJ63" s="3">
        <f t="shared" si="3"/>
        <v>1767083.3357957513</v>
      </c>
      <c r="AK63" s="3" t="s">
        <v>13</v>
      </c>
      <c r="AM63" s="22" t="s">
        <v>13</v>
      </c>
      <c r="AO63" s="14" t="s">
        <v>1563</v>
      </c>
      <c r="AP63" s="15">
        <f>+SUMIF(AL39:AL55,"GF",D39:D55)</f>
        <v>13905</v>
      </c>
      <c r="AQ63" s="15">
        <v>0</v>
      </c>
    </row>
    <row r="64" spans="1:44" x14ac:dyDescent="0.35">
      <c r="F64" s="3"/>
      <c r="G64" s="3"/>
      <c r="H64" s="3"/>
      <c r="I64" s="3" t="s">
        <v>13</v>
      </c>
      <c r="J64" s="3"/>
      <c r="K64" s="3" t="s">
        <v>13</v>
      </c>
      <c r="L64" s="3"/>
      <c r="M64" s="3"/>
      <c r="N64" s="3"/>
      <c r="O64" s="3"/>
      <c r="P64" s="3" t="s">
        <v>13</v>
      </c>
      <c r="Q64" s="3"/>
      <c r="R64" s="3"/>
      <c r="S64" s="3"/>
      <c r="T64" s="3" t="s">
        <v>13</v>
      </c>
      <c r="U64" s="3"/>
      <c r="V64" s="3"/>
      <c r="W64" s="3"/>
      <c r="Y64" s="3" t="s">
        <v>13</v>
      </c>
      <c r="Z64" s="3" t="s">
        <v>13</v>
      </c>
      <c r="AA64" s="3" t="s">
        <v>13</v>
      </c>
      <c r="AB64" s="3" t="s">
        <v>13</v>
      </c>
      <c r="AO64" s="14" t="s">
        <v>82</v>
      </c>
      <c r="AP64" s="15">
        <v>0</v>
      </c>
      <c r="AQ64" s="15">
        <f>+SUMIF(AL39:AL55,"AF",D39:D55)/1.19</f>
        <v>0</v>
      </c>
    </row>
    <row r="65" spans="1:43" ht="15" thickBot="1" x14ac:dyDescent="0.4">
      <c r="F65" s="3" t="s">
        <v>13</v>
      </c>
      <c r="G65" s="3" t="s">
        <v>13</v>
      </c>
      <c r="H65" s="3" t="s">
        <v>13</v>
      </c>
      <c r="I65" s="3"/>
      <c r="J65" s="3"/>
      <c r="K65" s="3"/>
      <c r="L65" s="3"/>
      <c r="M65" s="3"/>
      <c r="N65" s="3"/>
      <c r="O65" s="3"/>
      <c r="P65" s="3" t="s">
        <v>13</v>
      </c>
      <c r="Q65" s="3" t="s">
        <v>13</v>
      </c>
      <c r="R65" s="3" t="s">
        <v>13</v>
      </c>
      <c r="S65" s="3"/>
      <c r="T65" s="3"/>
      <c r="U65" s="3" t="s">
        <v>13</v>
      </c>
      <c r="V65" s="3"/>
      <c r="W65" s="3"/>
      <c r="AB65" s="3" t="s">
        <v>13</v>
      </c>
      <c r="AG65" s="3" t="s">
        <v>13</v>
      </c>
      <c r="AJ65" s="3" t="s">
        <v>13</v>
      </c>
      <c r="AO65" s="16"/>
      <c r="AP65" s="19">
        <f>+AP62-AP63-AP64</f>
        <v>934518.52941176482</v>
      </c>
      <c r="AQ65" s="19" t="e">
        <f>+AQ62-AQ63-AQ64</f>
        <v>#REF!</v>
      </c>
    </row>
    <row r="66" spans="1:43" x14ac:dyDescent="0.35">
      <c r="A66" t="s">
        <v>2163</v>
      </c>
      <c r="B66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66" s="3" t="e">
        <f>+B66*0.16</f>
        <v>#REF!</v>
      </c>
      <c r="E66" s="6" t="s">
        <v>13</v>
      </c>
      <c r="F66" s="3"/>
      <c r="G66" s="3" t="s">
        <v>13</v>
      </c>
      <c r="H66" s="3" t="s">
        <v>13</v>
      </c>
      <c r="I66" s="3"/>
      <c r="J66" s="3"/>
      <c r="K66" s="3"/>
      <c r="L66" s="3"/>
      <c r="M66" s="3"/>
      <c r="N66" s="3"/>
      <c r="O66" s="3"/>
      <c r="W66" s="3"/>
      <c r="AB66" s="3" t="s">
        <v>13</v>
      </c>
      <c r="AG66" s="3" t="s">
        <v>13</v>
      </c>
      <c r="AJ66" s="3" t="s">
        <v>13</v>
      </c>
      <c r="AO66" t="s">
        <v>1961</v>
      </c>
      <c r="AP66" s="26">
        <f ca="1">+AP$65+'May-23'!AP82</f>
        <v>6560910.1891112886</v>
      </c>
      <c r="AQ66" s="3" t="e">
        <f ca="1">+AQ$65+'May-23'!AQ82</f>
        <v>#REF!</v>
      </c>
    </row>
    <row r="67" spans="1:43" x14ac:dyDescent="0.35">
      <c r="F67" s="3"/>
      <c r="G67" s="3" t="s">
        <v>13</v>
      </c>
      <c r="H67" s="3"/>
      <c r="I67" s="3"/>
      <c r="J67" s="3"/>
      <c r="K67" s="3"/>
      <c r="L67" s="3"/>
      <c r="M67" s="3"/>
      <c r="N67" s="3"/>
      <c r="O67" s="3"/>
      <c r="W67" s="3" t="s">
        <v>13</v>
      </c>
      <c r="AB67" s="3" t="s">
        <v>13</v>
      </c>
      <c r="AD67" t="s">
        <v>2296</v>
      </c>
      <c r="AE67">
        <v>2</v>
      </c>
      <c r="AG67" s="3" t="s">
        <v>13</v>
      </c>
      <c r="AJ67" s="3" t="s">
        <v>13</v>
      </c>
      <c r="AO67" t="s">
        <v>1960</v>
      </c>
      <c r="AP67" s="26">
        <f ca="1">+AP$65+'May-23'!AP83</f>
        <v>8157048.0914889965</v>
      </c>
      <c r="AQ67" s="3" t="e">
        <f ca="1">+AQ$65+'May-23'!AQ83</f>
        <v>#REF!</v>
      </c>
    </row>
    <row r="68" spans="1:43" x14ac:dyDescent="0.35">
      <c r="A68" t="s">
        <v>13</v>
      </c>
      <c r="F68" s="3" t="s">
        <v>13</v>
      </c>
      <c r="G68" s="3" t="s">
        <v>13</v>
      </c>
      <c r="H68" s="3"/>
      <c r="I68" s="3"/>
      <c r="J68" s="3"/>
      <c r="K68" s="3"/>
      <c r="L68" s="3"/>
      <c r="M68" s="3">
        <v>538500</v>
      </c>
      <c r="N68" s="3"/>
      <c r="O68" s="3"/>
      <c r="W68" s="3"/>
      <c r="AB68" s="3" t="s">
        <v>13</v>
      </c>
      <c r="AD68" t="s">
        <v>2297</v>
      </c>
      <c r="AG68" s="3" t="s">
        <v>13</v>
      </c>
      <c r="AJ68" s="3" t="s">
        <v>13</v>
      </c>
    </row>
    <row r="69" spans="1:43" x14ac:dyDescent="0.35">
      <c r="B69" t="s">
        <v>13</v>
      </c>
      <c r="F69" s="3" t="s">
        <v>13</v>
      </c>
      <c r="G69" s="3" t="s">
        <v>13</v>
      </c>
      <c r="H69" s="3"/>
      <c r="I69" s="3"/>
      <c r="J69" s="3"/>
      <c r="K69" s="3"/>
      <c r="L69" s="3" t="s">
        <v>13</v>
      </c>
      <c r="M69" s="3">
        <v>682100</v>
      </c>
      <c r="N69" s="3"/>
      <c r="O69" s="3"/>
      <c r="W69" s="3"/>
      <c r="AB69" s="3" t="s">
        <v>13</v>
      </c>
      <c r="AG69" s="3" t="s">
        <v>13</v>
      </c>
      <c r="AJ69" s="3" t="s">
        <v>13</v>
      </c>
      <c r="AL69"/>
      <c r="AM69"/>
    </row>
    <row r="70" spans="1:43" x14ac:dyDescent="0.35">
      <c r="F70" s="3"/>
      <c r="G70" s="3" t="s">
        <v>13</v>
      </c>
      <c r="H70" s="3"/>
      <c r="I70" s="3"/>
      <c r="J70" s="3"/>
      <c r="K70" s="3"/>
      <c r="L70" s="3"/>
      <c r="M70" s="3">
        <f>SUM(M68:M69)</f>
        <v>1220600</v>
      </c>
      <c r="AG70" s="3" t="s">
        <v>13</v>
      </c>
      <c r="AJ70" s="3" t="s">
        <v>13</v>
      </c>
      <c r="AL70"/>
      <c r="AM70"/>
    </row>
    <row r="71" spans="1:43" x14ac:dyDescent="0.35">
      <c r="F71" s="3"/>
      <c r="G71" s="3" t="s">
        <v>13</v>
      </c>
      <c r="H71" s="3"/>
      <c r="I71" s="3"/>
      <c r="J71" s="3"/>
      <c r="K71" s="3"/>
      <c r="L71" s="3"/>
      <c r="AB71" t="s">
        <v>13</v>
      </c>
      <c r="AG71" s="3" t="s">
        <v>13</v>
      </c>
      <c r="AJ71" s="3" t="s">
        <v>13</v>
      </c>
      <c r="AL71"/>
      <c r="AM71"/>
      <c r="AQ71" t="s">
        <v>13</v>
      </c>
    </row>
    <row r="72" spans="1:43" x14ac:dyDescent="0.35">
      <c r="F72" s="3"/>
      <c r="G72" s="3" t="s">
        <v>13</v>
      </c>
      <c r="H72" s="3"/>
      <c r="I72" s="3"/>
      <c r="J72" s="3"/>
      <c r="K72" s="3"/>
      <c r="L72" s="3"/>
      <c r="AG72" s="3" t="s">
        <v>13</v>
      </c>
      <c r="AJ72" s="3" t="s">
        <v>13</v>
      </c>
      <c r="AL72"/>
      <c r="AM72"/>
    </row>
    <row r="73" spans="1:43" x14ac:dyDescent="0.35">
      <c r="F73" s="3"/>
      <c r="G73" s="3" t="s">
        <v>13</v>
      </c>
      <c r="H73" s="3"/>
      <c r="I73" s="3"/>
      <c r="J73" s="3"/>
      <c r="K73" s="3"/>
      <c r="L73" s="3"/>
      <c r="AG73" s="3" t="s">
        <v>13</v>
      </c>
      <c r="AJ73" s="3" t="s">
        <v>13</v>
      </c>
      <c r="AL73"/>
      <c r="AM73"/>
    </row>
    <row r="74" spans="1:43" x14ac:dyDescent="0.35">
      <c r="F74" s="3"/>
      <c r="G74" s="3" t="s">
        <v>13</v>
      </c>
      <c r="H74" s="3"/>
      <c r="I74" s="3"/>
      <c r="J74" s="3"/>
      <c r="K74" s="3"/>
      <c r="L74" s="3"/>
      <c r="AG74" s="3" t="s">
        <v>13</v>
      </c>
      <c r="AJ74" s="3" t="s">
        <v>13</v>
      </c>
      <c r="AL74"/>
      <c r="AM74"/>
    </row>
    <row r="75" spans="1:43" x14ac:dyDescent="0.35">
      <c r="B75" t="s">
        <v>13</v>
      </c>
      <c r="F75" s="3"/>
      <c r="G75" s="3" t="s">
        <v>13</v>
      </c>
      <c r="H75" s="3"/>
      <c r="I75" s="3"/>
      <c r="J75" s="3"/>
      <c r="K75" s="3"/>
      <c r="L75" s="3"/>
      <c r="AG75" s="3" t="s">
        <v>13</v>
      </c>
      <c r="AJ75" s="3" t="s">
        <v>13</v>
      </c>
      <c r="AL75"/>
      <c r="AM75"/>
    </row>
    <row r="76" spans="1:43" x14ac:dyDescent="0.35">
      <c r="B76" t="s">
        <v>13</v>
      </c>
      <c r="F76" s="3"/>
      <c r="G76" s="3" t="s">
        <v>13</v>
      </c>
      <c r="H76" s="3"/>
      <c r="I76" s="3"/>
      <c r="J76" s="3"/>
      <c r="K76" s="3"/>
      <c r="L76" s="3"/>
      <c r="AG76" s="3" t="s">
        <v>13</v>
      </c>
      <c r="AJ76" s="3" t="s">
        <v>13</v>
      </c>
      <c r="AL76"/>
      <c r="AM76"/>
    </row>
    <row r="77" spans="1:43" x14ac:dyDescent="0.35">
      <c r="B77" t="s">
        <v>13</v>
      </c>
      <c r="F77" s="3"/>
      <c r="G77" s="3" t="s">
        <v>13</v>
      </c>
      <c r="H77" s="3"/>
      <c r="I77" s="3"/>
      <c r="J77" s="3"/>
      <c r="K77" s="3"/>
      <c r="L77" s="3"/>
      <c r="AG77" s="3" t="s">
        <v>13</v>
      </c>
      <c r="AJ77" s="3" t="s">
        <v>13</v>
      </c>
      <c r="AL77"/>
      <c r="AM77"/>
    </row>
    <row r="78" spans="1:43" x14ac:dyDescent="0.35">
      <c r="B78" t="s">
        <v>13</v>
      </c>
      <c r="F78" s="3"/>
      <c r="G78" s="3" t="s">
        <v>13</v>
      </c>
      <c r="H78" s="3"/>
      <c r="I78" s="3"/>
      <c r="J78" s="3"/>
      <c r="K78" s="3"/>
      <c r="L78" s="3"/>
      <c r="AG78" s="3" t="s">
        <v>13</v>
      </c>
      <c r="AJ78" s="3" t="s">
        <v>13</v>
      </c>
      <c r="AL78"/>
      <c r="AM78"/>
    </row>
    <row r="79" spans="1:43" x14ac:dyDescent="0.35">
      <c r="B79" t="s">
        <v>13</v>
      </c>
      <c r="F79" s="3"/>
      <c r="G79" s="3" t="s">
        <v>13</v>
      </c>
      <c r="H79" s="3"/>
      <c r="I79" s="3"/>
      <c r="J79" s="3"/>
      <c r="K79" s="3"/>
      <c r="L79" s="3"/>
      <c r="AG79" s="3" t="s">
        <v>13</v>
      </c>
      <c r="AJ79" s="3" t="s">
        <v>13</v>
      </c>
      <c r="AL79"/>
      <c r="AM79"/>
    </row>
    <row r="80" spans="1:43" x14ac:dyDescent="0.35">
      <c r="B80" t="s">
        <v>13</v>
      </c>
      <c r="F80" s="3"/>
      <c r="G80" s="3" t="s">
        <v>13</v>
      </c>
      <c r="H80" s="3"/>
      <c r="I80" s="3"/>
      <c r="J80" s="3"/>
      <c r="K80" s="3"/>
      <c r="L80" s="3"/>
      <c r="AG80" s="3" t="s">
        <v>13</v>
      </c>
      <c r="AJ80" s="3" t="s">
        <v>13</v>
      </c>
      <c r="AL80"/>
      <c r="AM80"/>
    </row>
    <row r="81" spans="2:39" x14ac:dyDescent="0.35">
      <c r="B81" t="s">
        <v>13</v>
      </c>
      <c r="F81" s="3"/>
      <c r="G81" s="3" t="s">
        <v>13</v>
      </c>
      <c r="H81" s="3"/>
      <c r="I81" s="3"/>
      <c r="J81" s="3"/>
      <c r="K81" s="3"/>
      <c r="L81" s="3"/>
      <c r="AG81" s="3" t="s">
        <v>13</v>
      </c>
      <c r="AJ81" s="3" t="s">
        <v>13</v>
      </c>
      <c r="AL81"/>
      <c r="AM81"/>
    </row>
    <row r="82" spans="2:39" x14ac:dyDescent="0.35">
      <c r="B82" t="s">
        <v>13</v>
      </c>
      <c r="F82" s="3"/>
      <c r="G82" s="3" t="s">
        <v>13</v>
      </c>
      <c r="H82" s="3"/>
      <c r="I82" s="3"/>
      <c r="J82" s="3"/>
      <c r="K82" s="3"/>
      <c r="L82" s="3"/>
      <c r="AG82" s="3" t="s">
        <v>13</v>
      </c>
      <c r="AJ82" s="3" t="s">
        <v>13</v>
      </c>
      <c r="AL82"/>
      <c r="AM82"/>
    </row>
    <row r="83" spans="2:39" x14ac:dyDescent="0.35">
      <c r="B83" t="s">
        <v>13</v>
      </c>
      <c r="F83" s="3"/>
      <c r="G83" s="3" t="s">
        <v>13</v>
      </c>
      <c r="H83" s="3"/>
      <c r="I83" s="3"/>
      <c r="J83" s="3"/>
      <c r="K83" s="3"/>
      <c r="L83" s="3"/>
      <c r="AL83"/>
      <c r="AM83"/>
    </row>
    <row r="84" spans="2:39" x14ac:dyDescent="0.35">
      <c r="B84" t="s">
        <v>13</v>
      </c>
      <c r="F84" s="3"/>
      <c r="G84" s="3" t="s">
        <v>13</v>
      </c>
      <c r="H84" s="3"/>
      <c r="I84" s="3"/>
      <c r="J84" s="3"/>
      <c r="K84" s="3"/>
      <c r="L84" s="3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</sheetData>
  <phoneticPr fontId="20" type="noConversion"/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A042-3C4C-4816-BEC6-16F1BB673C29}">
  <dimension ref="A1:AR112"/>
  <sheetViews>
    <sheetView zoomScale="74" zoomScaleNormal="74" workbookViewId="0">
      <pane xSplit="5" ySplit="3" topLeftCell="AI16" activePane="bottomRight" state="frozen"/>
      <selection pane="topRight" activeCell="F1" sqref="F1"/>
      <selection pane="bottomLeft" activeCell="A4" sqref="A4"/>
      <selection pane="bottomRight" activeCell="D28" sqref="D28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45292</v>
      </c>
      <c r="G2" s="1">
        <v>45293</v>
      </c>
      <c r="H2" s="1">
        <v>45294</v>
      </c>
      <c r="I2" s="1">
        <v>45295</v>
      </c>
      <c r="J2" s="1">
        <v>45296</v>
      </c>
      <c r="K2" s="1">
        <v>45297</v>
      </c>
      <c r="L2" s="1">
        <v>45298</v>
      </c>
      <c r="M2" s="1">
        <v>45299</v>
      </c>
      <c r="N2" s="1">
        <v>45300</v>
      </c>
      <c r="O2" s="1">
        <v>45301</v>
      </c>
      <c r="P2" s="1">
        <v>45302</v>
      </c>
      <c r="Q2" s="1">
        <v>45303</v>
      </c>
      <c r="R2" s="1">
        <v>45304</v>
      </c>
      <c r="S2" s="1">
        <v>45305</v>
      </c>
      <c r="T2" s="1">
        <v>45306</v>
      </c>
      <c r="U2" s="1">
        <v>45307</v>
      </c>
      <c r="V2" s="1">
        <v>45308</v>
      </c>
      <c r="W2" s="1">
        <v>45309</v>
      </c>
      <c r="X2" s="1">
        <v>45310</v>
      </c>
      <c r="Y2" s="1">
        <v>45311</v>
      </c>
      <c r="Z2" s="1">
        <v>45312</v>
      </c>
      <c r="AA2" s="1">
        <v>45313</v>
      </c>
      <c r="AB2" s="1">
        <v>45314</v>
      </c>
      <c r="AC2" s="1">
        <v>45315</v>
      </c>
      <c r="AD2" s="1">
        <v>45316</v>
      </c>
      <c r="AE2" s="1">
        <v>45317</v>
      </c>
      <c r="AF2" s="1">
        <v>45318</v>
      </c>
      <c r="AG2" s="1">
        <v>45319</v>
      </c>
      <c r="AH2" s="1">
        <v>45320</v>
      </c>
      <c r="AI2" s="1">
        <v>45321</v>
      </c>
      <c r="AJ2" s="1">
        <v>45322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+'Dic-23'!AJ63</f>
        <v>1767083.3357957513</v>
      </c>
      <c r="G3" s="3">
        <f t="shared" ref="G3:AJ3" si="0">+F58</f>
        <v>1767083.3357957513</v>
      </c>
      <c r="H3" s="3">
        <f t="shared" si="0"/>
        <v>1767083.3357957513</v>
      </c>
      <c r="I3" s="3">
        <f t="shared" si="0"/>
        <v>1767083.3357957513</v>
      </c>
      <c r="J3" s="3">
        <f t="shared" si="0"/>
        <v>1767083.3357957513</v>
      </c>
      <c r="K3" s="3">
        <f t="shared" si="0"/>
        <v>1744178.3357957513</v>
      </c>
      <c r="L3" s="3">
        <f t="shared" si="0"/>
        <v>1744178.3357957513</v>
      </c>
      <c r="M3" s="3">
        <f t="shared" si="0"/>
        <v>1744178.3357957513</v>
      </c>
      <c r="N3" s="3">
        <f t="shared" si="0"/>
        <v>1918556.3357957513</v>
      </c>
      <c r="O3" s="3">
        <f t="shared" si="0"/>
        <v>1918556.3357957513</v>
      </c>
      <c r="P3" s="3">
        <f t="shared" si="0"/>
        <v>2456936.3357957513</v>
      </c>
      <c r="Q3" s="3">
        <f t="shared" si="0"/>
        <v>2252351.1091290847</v>
      </c>
      <c r="R3" s="3">
        <f t="shared" si="0"/>
        <v>2242001.1091290847</v>
      </c>
      <c r="S3" s="3">
        <f t="shared" si="0"/>
        <v>2242001.1091290847</v>
      </c>
      <c r="T3" s="3">
        <f t="shared" si="0"/>
        <v>2242001.1091290847</v>
      </c>
      <c r="U3" s="3">
        <f t="shared" si="0"/>
        <v>2242001.1091290847</v>
      </c>
      <c r="V3" s="3">
        <f t="shared" si="0"/>
        <v>2208291.1091290847</v>
      </c>
      <c r="W3" s="3">
        <f t="shared" si="0"/>
        <v>1341426.6448390847</v>
      </c>
      <c r="X3" s="3">
        <f t="shared" si="0"/>
        <v>1341426.6448390847</v>
      </c>
      <c r="Y3" s="3">
        <f t="shared" si="0"/>
        <v>1341426.6448390847</v>
      </c>
      <c r="Z3" s="3">
        <f t="shared" si="0"/>
        <v>1341426.6448390847</v>
      </c>
      <c r="AA3" s="3">
        <f t="shared" si="0"/>
        <v>1341426.6448390847</v>
      </c>
      <c r="AB3" s="3">
        <f t="shared" si="0"/>
        <v>1341426.6448390847</v>
      </c>
      <c r="AC3" s="3">
        <f t="shared" si="0"/>
        <v>1341426.6448390847</v>
      </c>
      <c r="AD3" s="3">
        <f t="shared" si="0"/>
        <v>1341426.6448390847</v>
      </c>
      <c r="AE3" s="3">
        <f t="shared" si="0"/>
        <v>1341426.6448390847</v>
      </c>
      <c r="AF3" s="3">
        <f t="shared" si="0"/>
        <v>1341426.6448390847</v>
      </c>
      <c r="AG3" s="3">
        <f t="shared" si="0"/>
        <v>1341426.6448390847</v>
      </c>
      <c r="AH3" s="3">
        <f t="shared" si="0"/>
        <v>1341426.6448390847</v>
      </c>
      <c r="AI3" s="3">
        <f t="shared" si="0"/>
        <v>1341426.6448390847</v>
      </c>
      <c r="AJ3" s="3">
        <f t="shared" si="0"/>
        <v>1271280.6448390847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36" t="s">
        <v>895</v>
      </c>
      <c r="B5" s="66" t="s">
        <v>886</v>
      </c>
      <c r="C5" s="38">
        <v>44618</v>
      </c>
      <c r="D5" s="39">
        <v>56708</v>
      </c>
      <c r="E5" s="40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2290</v>
      </c>
      <c r="B6" s="66" t="s">
        <v>2291</v>
      </c>
      <c r="C6" s="38">
        <v>45213</v>
      </c>
      <c r="D6" s="39">
        <v>87189</v>
      </c>
      <c r="E6" s="40" t="s">
        <v>782</v>
      </c>
      <c r="F6" s="3"/>
      <c r="G6" s="3"/>
      <c r="H6" s="3"/>
      <c r="I6" s="3"/>
      <c r="J6" s="3"/>
      <c r="K6" s="3"/>
      <c r="L6" s="3"/>
      <c r="M6" s="3">
        <v>87189</v>
      </c>
      <c r="N6" s="3"/>
      <c r="O6" s="3"/>
      <c r="P6" s="3"/>
      <c r="Q6" s="3"/>
      <c r="R6" s="3"/>
      <c r="S6" s="3"/>
      <c r="T6" s="3"/>
      <c r="U6" s="3"/>
      <c r="V6" s="3"/>
      <c r="W6" s="3" t="s">
        <v>13</v>
      </c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87189</v>
      </c>
      <c r="AL6" s="22"/>
    </row>
    <row r="7" spans="1:39" x14ac:dyDescent="0.35">
      <c r="A7" s="41" t="s">
        <v>2292</v>
      </c>
      <c r="B7" t="s">
        <v>2054</v>
      </c>
      <c r="C7" s="5">
        <v>45213</v>
      </c>
      <c r="D7" s="3">
        <v>87189</v>
      </c>
      <c r="E7" s="42" t="s">
        <v>782</v>
      </c>
      <c r="F7" s="3"/>
      <c r="G7" s="3"/>
      <c r="H7" s="3"/>
      <c r="I7" s="3"/>
      <c r="J7" s="3"/>
      <c r="K7" s="3"/>
      <c r="L7" s="3"/>
      <c r="M7" s="3">
        <v>87189</v>
      </c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87189</v>
      </c>
      <c r="AL7" s="22"/>
    </row>
    <row r="8" spans="1:39" x14ac:dyDescent="0.35">
      <c r="A8" s="41" t="s">
        <v>2293</v>
      </c>
      <c r="B8" t="s">
        <v>2294</v>
      </c>
      <c r="C8" s="5">
        <v>45214</v>
      </c>
      <c r="D8" s="3">
        <v>87189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0</v>
      </c>
      <c r="AL8" s="22"/>
    </row>
    <row r="9" spans="1:39" x14ac:dyDescent="0.35">
      <c r="A9" s="41" t="s">
        <v>2305</v>
      </c>
      <c r="B9" t="s">
        <v>2306</v>
      </c>
      <c r="C9" s="5">
        <v>45225</v>
      </c>
      <c r="D9" s="3">
        <v>96114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0</v>
      </c>
      <c r="AL9" s="22"/>
    </row>
    <row r="10" spans="1:39" x14ac:dyDescent="0.35">
      <c r="A10" s="41" t="s">
        <v>2311</v>
      </c>
      <c r="B10" t="s">
        <v>2312</v>
      </c>
      <c r="C10" s="5">
        <v>45239</v>
      </c>
      <c r="D10" s="3">
        <v>87189</v>
      </c>
      <c r="E10" s="42" t="s">
        <v>782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0</v>
      </c>
      <c r="AL10" s="22"/>
    </row>
    <row r="11" spans="1:39" x14ac:dyDescent="0.35">
      <c r="A11" s="41" t="s">
        <v>2314</v>
      </c>
      <c r="B11" t="s">
        <v>975</v>
      </c>
      <c r="C11" s="5">
        <v>45256</v>
      </c>
      <c r="D11" s="3">
        <v>87189</v>
      </c>
      <c r="E11" s="42" t="s">
        <v>782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2326</v>
      </c>
      <c r="B12" t="s">
        <v>2323</v>
      </c>
      <c r="C12" s="5">
        <v>45273</v>
      </c>
      <c r="D12" s="3">
        <v>169856</v>
      </c>
      <c r="E12" s="42" t="s">
        <v>2325</v>
      </c>
      <c r="F12" s="3"/>
      <c r="G12" s="3"/>
      <c r="H12" s="3"/>
      <c r="I12" s="3"/>
      <c r="J12" s="3"/>
      <c r="K12" s="3"/>
      <c r="L12" s="3"/>
      <c r="M12" s="3"/>
      <c r="N12" s="3"/>
      <c r="O12" s="3">
        <v>169856</v>
      </c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169856</v>
      </c>
      <c r="AL12" s="22"/>
    </row>
    <row r="13" spans="1:39" x14ac:dyDescent="0.35">
      <c r="A13" s="41" t="s">
        <v>2327</v>
      </c>
      <c r="B13" t="s">
        <v>2324</v>
      </c>
      <c r="C13" s="5">
        <v>45274</v>
      </c>
      <c r="D13" s="3">
        <v>95188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>
        <v>95188</v>
      </c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95188</v>
      </c>
      <c r="AL13" s="22"/>
    </row>
    <row r="14" spans="1:39" x14ac:dyDescent="0.35">
      <c r="A14" s="41" t="s">
        <v>2344</v>
      </c>
      <c r="B14" t="s">
        <v>2345</v>
      </c>
      <c r="C14" s="5">
        <v>45279</v>
      </c>
      <c r="D14" s="3">
        <v>211189</v>
      </c>
      <c r="E14" s="42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>
        <v>211189</v>
      </c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211189</v>
      </c>
      <c r="AL14" s="22"/>
    </row>
    <row r="15" spans="1:39" ht="15" thickBot="1" x14ac:dyDescent="0.4">
      <c r="A15" s="41" t="s">
        <v>2346</v>
      </c>
      <c r="B15" t="s">
        <v>2347</v>
      </c>
      <c r="C15" s="5">
        <v>45287</v>
      </c>
      <c r="D15" s="3">
        <v>252523</v>
      </c>
      <c r="E15" s="42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>
        <v>62147</v>
      </c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62147</v>
      </c>
      <c r="AL15" s="22"/>
    </row>
    <row r="16" spans="1:39" x14ac:dyDescent="0.35">
      <c r="A16" s="36" t="s">
        <v>2356</v>
      </c>
      <c r="B16" s="66" t="s">
        <v>2354</v>
      </c>
      <c r="C16" s="38">
        <v>45313</v>
      </c>
      <c r="D16" s="39">
        <v>169856</v>
      </c>
      <c r="E16" s="40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 t="s">
        <v>13</v>
      </c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x14ac:dyDescent="0.35">
      <c r="A17" s="41" t="s">
        <v>2357</v>
      </c>
      <c r="B17" t="s">
        <v>2355</v>
      </c>
      <c r="C17" s="5">
        <v>45313</v>
      </c>
      <c r="D17" s="3">
        <v>87189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A18" s="41" t="s">
        <v>2358</v>
      </c>
      <c r="B18" t="s">
        <v>2359</v>
      </c>
      <c r="C18" s="5">
        <v>45316</v>
      </c>
      <c r="D18" s="3">
        <v>169856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41" x14ac:dyDescent="0.35">
      <c r="A19" s="41"/>
      <c r="C19" s="5"/>
      <c r="D19" s="3"/>
      <c r="E19" s="4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1" x14ac:dyDescent="0.35">
      <c r="A20" s="41"/>
      <c r="C20" s="5"/>
      <c r="D20" s="3"/>
      <c r="E20" s="4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1" ht="15" thickBot="1" x14ac:dyDescent="0.4">
      <c r="A21" s="43"/>
      <c r="B21" s="76"/>
      <c r="C21" s="45"/>
      <c r="D21" s="46"/>
      <c r="E21" s="4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41" x14ac:dyDescent="0.35">
      <c r="D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24" t="s">
        <v>1962</v>
      </c>
      <c r="AL22" s="22" t="s">
        <v>1352</v>
      </c>
    </row>
    <row r="23" spans="1:41" x14ac:dyDescent="0.35">
      <c r="A23" s="2" t="s">
        <v>1676</v>
      </c>
      <c r="D23" s="3">
        <f>SUM(D16:D18)</f>
        <v>426901</v>
      </c>
      <c r="F23" s="3">
        <f t="shared" ref="F23:AJ23" si="1">SUM(F5:F21)</f>
        <v>0</v>
      </c>
      <c r="G23" s="3">
        <f t="shared" si="1"/>
        <v>0</v>
      </c>
      <c r="H23" s="3">
        <f t="shared" si="1"/>
        <v>0</v>
      </c>
      <c r="I23" s="3">
        <f t="shared" si="1"/>
        <v>0</v>
      </c>
      <c r="J23" s="3">
        <f t="shared" si="1"/>
        <v>0</v>
      </c>
      <c r="K23" s="3">
        <f t="shared" si="1"/>
        <v>0</v>
      </c>
      <c r="L23" s="3">
        <f t="shared" si="1"/>
        <v>0</v>
      </c>
      <c r="M23" s="3">
        <f t="shared" si="1"/>
        <v>174378</v>
      </c>
      <c r="N23" s="3">
        <f t="shared" si="1"/>
        <v>0</v>
      </c>
      <c r="O23" s="3">
        <f t="shared" si="1"/>
        <v>538380</v>
      </c>
      <c r="P23" s="3">
        <f t="shared" si="1"/>
        <v>0</v>
      </c>
      <c r="Q23" s="3">
        <f t="shared" si="1"/>
        <v>0</v>
      </c>
      <c r="R23" s="3">
        <f t="shared" si="1"/>
        <v>0</v>
      </c>
      <c r="S23" s="3">
        <f t="shared" si="1"/>
        <v>0</v>
      </c>
      <c r="T23" s="3">
        <f t="shared" si="1"/>
        <v>0</v>
      </c>
      <c r="U23" s="3">
        <f t="shared" si="1"/>
        <v>0</v>
      </c>
      <c r="V23" s="3">
        <f t="shared" si="1"/>
        <v>0</v>
      </c>
      <c r="W23" s="3">
        <f t="shared" si="1"/>
        <v>0</v>
      </c>
      <c r="X23" s="3">
        <f t="shared" si="1"/>
        <v>0</v>
      </c>
      <c r="Y23" s="3">
        <f t="shared" si="1"/>
        <v>0</v>
      </c>
      <c r="Z23" s="3">
        <f t="shared" si="1"/>
        <v>0</v>
      </c>
      <c r="AA23" s="3">
        <f t="shared" si="1"/>
        <v>0</v>
      </c>
      <c r="AB23" s="3">
        <f t="shared" si="1"/>
        <v>0</v>
      </c>
      <c r="AC23" s="3">
        <f t="shared" si="1"/>
        <v>0</v>
      </c>
      <c r="AD23" s="3">
        <f t="shared" si="1"/>
        <v>0</v>
      </c>
      <c r="AE23" s="3">
        <f t="shared" si="1"/>
        <v>0</v>
      </c>
      <c r="AF23" s="3">
        <f t="shared" si="1"/>
        <v>0</v>
      </c>
      <c r="AG23" s="3">
        <f t="shared" si="1"/>
        <v>0</v>
      </c>
      <c r="AH23" s="3">
        <f t="shared" si="1"/>
        <v>0</v>
      </c>
      <c r="AI23" s="3">
        <f t="shared" si="1"/>
        <v>0</v>
      </c>
      <c r="AJ23" s="3">
        <f t="shared" si="1"/>
        <v>0</v>
      </c>
      <c r="AK23" s="72">
        <f>SUM(AK6:AK21)</f>
        <v>712758</v>
      </c>
      <c r="AL23" s="22">
        <f>+D24-AK23</f>
        <v>974958</v>
      </c>
      <c r="AM23" s="6" t="s">
        <v>13</v>
      </c>
    </row>
    <row r="24" spans="1:41" x14ac:dyDescent="0.35">
      <c r="A24" s="2" t="s">
        <v>1780</v>
      </c>
      <c r="B24" t="s">
        <v>13</v>
      </c>
      <c r="C24" s="3" t="s">
        <v>13</v>
      </c>
      <c r="D24" s="3">
        <f>SUM(D6:D21)</f>
        <v>1687716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41" x14ac:dyDescent="0.35">
      <c r="A25" s="2"/>
      <c r="C25" s="3"/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41" x14ac:dyDescent="0.35">
      <c r="A26" s="2" t="s">
        <v>2</v>
      </c>
      <c r="C26" t="s">
        <v>13</v>
      </c>
      <c r="F26" s="3"/>
      <c r="G26" s="3"/>
      <c r="H26" s="3"/>
      <c r="I26" s="3"/>
      <c r="J26" s="3"/>
      <c r="K26" s="3"/>
      <c r="L26" s="3" t="s">
        <v>13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41" ht="15" thickBot="1" x14ac:dyDescent="0.4">
      <c r="A27" s="404">
        <v>45178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41" x14ac:dyDescent="0.35">
      <c r="A28" s="358" t="s">
        <v>1008</v>
      </c>
      <c r="B28" s="37" t="s">
        <v>337</v>
      </c>
      <c r="C28" s="38"/>
      <c r="D28" s="39">
        <v>2400000</v>
      </c>
      <c r="E28" s="40"/>
      <c r="F28" s="3"/>
      <c r="G28" s="3"/>
      <c r="H28" s="3" t="s">
        <v>13</v>
      </c>
      <c r="I28" s="3" t="s">
        <v>13</v>
      </c>
      <c r="J28" s="3"/>
      <c r="K28" s="3"/>
      <c r="L28" s="3"/>
      <c r="M28" s="3"/>
      <c r="N28" s="3"/>
      <c r="O28" s="3"/>
      <c r="P28" s="3" t="s">
        <v>13</v>
      </c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0</v>
      </c>
    </row>
    <row r="29" spans="1:41" x14ac:dyDescent="0.35">
      <c r="A29" s="41" t="s">
        <v>2334</v>
      </c>
      <c r="B29" t="s">
        <v>337</v>
      </c>
      <c r="C29" s="5" t="s">
        <v>13</v>
      </c>
      <c r="D29" s="3">
        <f>+'Dic-23'!D54-122400</f>
        <v>52261.91</v>
      </c>
      <c r="E29" s="42" t="s">
        <v>503</v>
      </c>
      <c r="F29" s="3" t="s">
        <v>13</v>
      </c>
      <c r="G29" s="3"/>
      <c r="H29" s="3"/>
      <c r="I29" s="3"/>
      <c r="K29" s="3"/>
      <c r="L29" s="3" t="s">
        <v>13</v>
      </c>
      <c r="M29" s="3" t="s">
        <v>13</v>
      </c>
      <c r="N29" s="3"/>
      <c r="O29" s="3"/>
      <c r="P29" s="3">
        <v>52261.91</v>
      </c>
      <c r="Q29" s="3" t="s">
        <v>13</v>
      </c>
      <c r="R29" s="3" t="s">
        <v>13</v>
      </c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G29" s="3" t="s">
        <v>13</v>
      </c>
      <c r="AH29" s="3"/>
      <c r="AI29" s="3" t="s">
        <v>13</v>
      </c>
      <c r="AK29" s="3">
        <f>SUM($F29:AJ29)</f>
        <v>52261.91</v>
      </c>
    </row>
    <row r="30" spans="1:41" x14ac:dyDescent="0.35">
      <c r="A30" s="343" t="s">
        <v>2126</v>
      </c>
      <c r="C30" s="5">
        <v>45238</v>
      </c>
      <c r="D30" s="3">
        <v>56290</v>
      </c>
      <c r="E30" s="344" t="s">
        <v>4</v>
      </c>
      <c r="F30" s="3"/>
      <c r="H30" s="3"/>
      <c r="I30" s="3"/>
      <c r="J30" s="3"/>
      <c r="K30" s="3"/>
      <c r="L30" s="3"/>
      <c r="M30" s="3"/>
      <c r="N30" s="3"/>
      <c r="O30" s="3"/>
      <c r="P30" s="3">
        <v>56290</v>
      </c>
      <c r="Q30" s="3"/>
      <c r="R30" s="3"/>
      <c r="S30" s="3"/>
      <c r="T30" s="3"/>
      <c r="U30" s="3"/>
      <c r="V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56290</v>
      </c>
      <c r="AL30" s="6" t="s">
        <v>13</v>
      </c>
      <c r="AN30" s="26"/>
      <c r="AO30" s="3"/>
    </row>
    <row r="31" spans="1:41" x14ac:dyDescent="0.35">
      <c r="A31" s="343" t="s">
        <v>2317</v>
      </c>
      <c r="B31" s="24"/>
      <c r="C31" s="5">
        <v>45260</v>
      </c>
      <c r="D31" s="3">
        <f>3603.5+2990.99+(1611.57+337.51)*2+1290*49*2/9</f>
        <v>24539.316666666666</v>
      </c>
      <c r="E31" s="344" t="s"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>3603.5+2990.99+(1611.57+337.51)*2+1290*49*2/9</f>
        <v>24539.316666666666</v>
      </c>
      <c r="Q31" s="3"/>
      <c r="R31" s="3"/>
      <c r="S31" s="3"/>
      <c r="T31" s="3"/>
      <c r="U31" s="3"/>
      <c r="V31" s="3"/>
      <c r="W31" s="3" t="s">
        <v>13</v>
      </c>
      <c r="X31" s="3" t="s">
        <v>13</v>
      </c>
      <c r="Y31" s="3" t="s">
        <v>13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24539.316666666666</v>
      </c>
      <c r="AL31" s="6" t="s">
        <v>13</v>
      </c>
      <c r="AN31" s="26" t="s">
        <v>13</v>
      </c>
      <c r="AO31" s="3"/>
    </row>
    <row r="32" spans="1:41" x14ac:dyDescent="0.35">
      <c r="A32" s="343" t="s">
        <v>2319</v>
      </c>
      <c r="B32" s="24" t="s">
        <v>2320</v>
      </c>
      <c r="C32" s="5">
        <v>45261</v>
      </c>
      <c r="D32" s="3">
        <v>36790</v>
      </c>
      <c r="E32" s="344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v>36790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36790</v>
      </c>
      <c r="AL32" s="6" t="s">
        <v>13</v>
      </c>
      <c r="AN32" s="26"/>
      <c r="AO32" s="3"/>
    </row>
    <row r="33" spans="1:41" x14ac:dyDescent="0.35">
      <c r="A33" s="343" t="s">
        <v>2329</v>
      </c>
      <c r="B33" s="24" t="s">
        <v>2330</v>
      </c>
      <c r="C33" s="5">
        <v>45286</v>
      </c>
      <c r="D33" s="3">
        <v>8990</v>
      </c>
      <c r="E33" s="344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v>8990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">
        <v>13</v>
      </c>
      <c r="AF33" s="3"/>
      <c r="AG33" s="3"/>
      <c r="AH33" s="3"/>
      <c r="AI33" s="3"/>
      <c r="AJ33" s="3"/>
      <c r="AK33" s="3">
        <f>SUM($F33:AJ33)</f>
        <v>8990</v>
      </c>
      <c r="AL33" s="6" t="s">
        <v>13</v>
      </c>
      <c r="AN33" s="26"/>
      <c r="AO33" s="3"/>
    </row>
    <row r="34" spans="1:41" ht="15" thickBot="1" x14ac:dyDescent="0.4">
      <c r="A34" s="345" t="s">
        <v>2329</v>
      </c>
      <c r="B34" s="44" t="s">
        <v>2333</v>
      </c>
      <c r="C34" s="45">
        <v>45288</v>
      </c>
      <c r="D34" s="46">
        <v>8990</v>
      </c>
      <c r="E34" s="347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8990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8990</v>
      </c>
      <c r="AN34" s="26"/>
      <c r="AO34" s="3"/>
    </row>
    <row r="35" spans="1:41" x14ac:dyDescent="0.35">
      <c r="A35" s="343" t="s">
        <v>2338</v>
      </c>
      <c r="B35" s="24" t="s">
        <v>2336</v>
      </c>
      <c r="C35" s="5">
        <v>45294</v>
      </c>
      <c r="D35" s="3">
        <v>14280</v>
      </c>
      <c r="E35" s="344" t="s">
        <v>503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>
        <v>14280</v>
      </c>
      <c r="AJ35" s="3"/>
      <c r="AK35" s="3">
        <f>SUM($F35:AJ35)</f>
        <v>14280</v>
      </c>
      <c r="AL35" s="6" t="s">
        <v>83</v>
      </c>
      <c r="AN35" s="26"/>
      <c r="AO35" s="3"/>
    </row>
    <row r="36" spans="1:41" x14ac:dyDescent="0.35">
      <c r="A36" s="343" t="s">
        <v>2339</v>
      </c>
      <c r="B36" s="24" t="s">
        <v>2337</v>
      </c>
      <c r="C36" s="5">
        <v>45294</v>
      </c>
      <c r="D36" s="3">
        <v>23157</v>
      </c>
      <c r="E36" s="344" t="s">
        <v>503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>
        <v>23157</v>
      </c>
      <c r="AJ36" s="3"/>
      <c r="AK36" s="3">
        <f>SUM($F36:AJ36)</f>
        <v>23157</v>
      </c>
      <c r="AL36" s="6" t="s">
        <v>83</v>
      </c>
      <c r="AN36" s="26"/>
      <c r="AO36" s="3"/>
    </row>
    <row r="37" spans="1:41" x14ac:dyDescent="0.35">
      <c r="A37" s="343" t="s">
        <v>2340</v>
      </c>
      <c r="B37" s="24" t="s">
        <v>2341</v>
      </c>
      <c r="C37" s="5">
        <v>45296</v>
      </c>
      <c r="D37" s="3">
        <v>11225</v>
      </c>
      <c r="E37" s="406" t="s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v>11225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>
        <v>11225</v>
      </c>
      <c r="AJ37" s="3"/>
      <c r="AK37" s="3">
        <f>SUM($F37:AJ37)</f>
        <v>22450</v>
      </c>
      <c r="AL37" s="6" t="s">
        <v>81</v>
      </c>
      <c r="AN37" s="26"/>
      <c r="AO37" s="3"/>
    </row>
    <row r="38" spans="1:41" x14ac:dyDescent="0.35">
      <c r="A38" s="343" t="s">
        <v>2342</v>
      </c>
      <c r="B38" s="24"/>
      <c r="C38" s="5">
        <v>45296</v>
      </c>
      <c r="D38" s="3">
        <v>13905</v>
      </c>
      <c r="E38" s="344" t="s">
        <v>503</v>
      </c>
      <c r="F38" s="3"/>
      <c r="G38" s="3"/>
      <c r="H38" s="3"/>
      <c r="I38" s="3"/>
      <c r="J38" s="3">
        <v>13905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13905</v>
      </c>
      <c r="AL38" s="6" t="s">
        <v>1557</v>
      </c>
      <c r="AN38" s="26"/>
      <c r="AO38" s="3"/>
    </row>
    <row r="39" spans="1:41" x14ac:dyDescent="0.35">
      <c r="A39" s="343" t="s">
        <v>2343</v>
      </c>
      <c r="B39" s="24"/>
      <c r="C39" s="5">
        <v>45296</v>
      </c>
      <c r="D39" s="3">
        <v>9000</v>
      </c>
      <c r="E39" s="344" t="s">
        <v>503</v>
      </c>
      <c r="F39" s="3"/>
      <c r="G39" s="3"/>
      <c r="H39" s="3"/>
      <c r="I39" s="3"/>
      <c r="J39" s="3">
        <v>9000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9000</v>
      </c>
      <c r="AL39" s="6" t="s">
        <v>81</v>
      </c>
      <c r="AN39" s="26"/>
      <c r="AO39" s="3"/>
    </row>
    <row r="40" spans="1:41" x14ac:dyDescent="0.35">
      <c r="A40" s="343" t="s">
        <v>2350</v>
      </c>
      <c r="B40" s="24"/>
      <c r="C40" s="5">
        <v>45297</v>
      </c>
      <c r="D40" s="3">
        <v>10000</v>
      </c>
      <c r="E40" s="344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>
        <v>10000</v>
      </c>
      <c r="AJ40" s="3"/>
      <c r="AK40" s="3">
        <f>SUM($F40:AJ40)</f>
        <v>10000</v>
      </c>
      <c r="AL40" s="6" t="s">
        <v>81</v>
      </c>
      <c r="AN40" s="26"/>
      <c r="AO40" s="3"/>
    </row>
    <row r="41" spans="1:41" x14ac:dyDescent="0.35">
      <c r="A41" s="343" t="s">
        <v>2349</v>
      </c>
      <c r="B41" s="24"/>
      <c r="C41" s="5">
        <v>45297</v>
      </c>
      <c r="D41" s="3">
        <v>2200</v>
      </c>
      <c r="E41" s="344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>
        <v>2200</v>
      </c>
      <c r="AJ41" s="3"/>
      <c r="AK41" s="3">
        <f>SUM($F41:AJ41)</f>
        <v>2200</v>
      </c>
      <c r="AL41" s="6" t="s">
        <v>81</v>
      </c>
      <c r="AN41" s="26"/>
      <c r="AO41" s="3"/>
    </row>
    <row r="42" spans="1:41" x14ac:dyDescent="0.35">
      <c r="A42" s="343" t="s">
        <v>2126</v>
      </c>
      <c r="B42" s="24"/>
      <c r="C42" s="5">
        <v>45298</v>
      </c>
      <c r="D42" s="3">
        <v>5499</v>
      </c>
      <c r="E42" s="344" t="s">
        <v>4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v>5499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5499</v>
      </c>
      <c r="AL42" s="6" t="s">
        <v>81</v>
      </c>
      <c r="AN42" s="26"/>
      <c r="AO42" s="3"/>
    </row>
    <row r="43" spans="1:41" x14ac:dyDescent="0.35">
      <c r="A43" s="343" t="s">
        <v>1161</v>
      </c>
      <c r="B43" s="24" t="s">
        <v>2348</v>
      </c>
      <c r="C43" s="5">
        <v>45303</v>
      </c>
      <c r="D43" s="3">
        <v>10350</v>
      </c>
      <c r="E43" s="344" t="s">
        <v>1704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>
        <v>10350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10350</v>
      </c>
      <c r="AL43" s="6" t="s">
        <v>83</v>
      </c>
      <c r="AN43" s="26"/>
      <c r="AO43" s="3"/>
    </row>
    <row r="44" spans="1:41" x14ac:dyDescent="0.35">
      <c r="A44" s="343" t="s">
        <v>2351</v>
      </c>
      <c r="B44" s="24"/>
      <c r="C44" s="5">
        <v>45307</v>
      </c>
      <c r="D44" s="3">
        <v>33710</v>
      </c>
      <c r="E44" s="344" t="s">
        <v>503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33710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33710</v>
      </c>
      <c r="AL44" s="6" t="s">
        <v>81</v>
      </c>
      <c r="AN44" s="26"/>
      <c r="AO44" s="3"/>
    </row>
    <row r="45" spans="1:41" x14ac:dyDescent="0.35">
      <c r="A45" s="343" t="s">
        <v>2352</v>
      </c>
      <c r="B45" s="24"/>
      <c r="C45" s="5"/>
      <c r="D45" s="3">
        <v>93369</v>
      </c>
      <c r="E45" s="344" t="s">
        <v>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>
        <v>93369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93369</v>
      </c>
      <c r="AN45" s="26"/>
      <c r="AO45" s="3"/>
    </row>
    <row r="46" spans="1:41" x14ac:dyDescent="0.35">
      <c r="A46" s="343" t="s">
        <v>1161</v>
      </c>
      <c r="B46" s="24" t="s">
        <v>2353</v>
      </c>
      <c r="C46" s="5">
        <v>45308</v>
      </c>
      <c r="D46" s="3">
        <v>9284</v>
      </c>
      <c r="E46" s="344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>
        <v>9284</v>
      </c>
      <c r="AJ46" s="3"/>
      <c r="AK46" s="3">
        <f>SUM($F46:AJ46)</f>
        <v>9284</v>
      </c>
      <c r="AL46" s="6" t="s">
        <v>83</v>
      </c>
      <c r="AN46" s="26"/>
      <c r="AO46" s="3"/>
    </row>
    <row r="47" spans="1:41" x14ac:dyDescent="0.35">
      <c r="A47" s="343" t="s">
        <v>1161</v>
      </c>
      <c r="B47" s="24" t="s">
        <v>2362</v>
      </c>
      <c r="C47" s="5">
        <v>45322</v>
      </c>
      <c r="D47" s="3">
        <v>11640</v>
      </c>
      <c r="E47" s="344" t="s">
        <v>1704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>
        <v>11640</v>
      </c>
      <c r="AK47" s="3">
        <f>SUM($F47:AJ47)</f>
        <v>11640</v>
      </c>
      <c r="AL47" s="6" t="s">
        <v>83</v>
      </c>
      <c r="AN47" s="26"/>
      <c r="AO47" s="3"/>
    </row>
    <row r="48" spans="1:41" x14ac:dyDescent="0.35">
      <c r="A48" s="343"/>
      <c r="B48" s="24"/>
      <c r="C48" s="5"/>
      <c r="D48" s="3"/>
      <c r="E48" s="34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0</v>
      </c>
      <c r="AN48" s="26"/>
      <c r="AO48" s="3"/>
    </row>
    <row r="49" spans="1:44" ht="15" thickBot="1" x14ac:dyDescent="0.4">
      <c r="A49" s="43" t="s">
        <v>2335</v>
      </c>
      <c r="B49" s="76" t="s">
        <v>337</v>
      </c>
      <c r="C49" s="45">
        <v>45322</v>
      </c>
      <c r="D49" s="46">
        <f>+AK23*0.17</f>
        <v>121168.86000000002</v>
      </c>
      <c r="E49" s="47"/>
      <c r="F49" s="3"/>
      <c r="G49" s="3" t="s">
        <v>13</v>
      </c>
      <c r="H49" s="3" t="s">
        <v>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0</v>
      </c>
      <c r="AL49" s="6" t="s">
        <v>1846</v>
      </c>
      <c r="AM49" s="6" t="s">
        <v>13</v>
      </c>
      <c r="AN49" s="26" t="s">
        <v>13</v>
      </c>
      <c r="AO49" s="3"/>
    </row>
    <row r="50" spans="1:44" x14ac:dyDescent="0.35">
      <c r="A50" s="4" t="s">
        <v>2321</v>
      </c>
      <c r="B50" s="372">
        <f>84.052*2/8</f>
        <v>21.013000000000002</v>
      </c>
      <c r="C50" s="67" t="s">
        <v>13</v>
      </c>
      <c r="D50" s="3">
        <f>+B50*C51</f>
        <v>773495.46429000015</v>
      </c>
      <c r="E50" s="153"/>
      <c r="F50" s="3"/>
      <c r="G50" s="3"/>
      <c r="H50" s="3" t="s">
        <v>13</v>
      </c>
      <c r="I50" s="3"/>
      <c r="K50" s="3"/>
      <c r="L50" s="3"/>
      <c r="M50" s="3"/>
      <c r="N50" s="3"/>
      <c r="P50" s="3"/>
      <c r="Q50" s="3"/>
      <c r="T50" s="3"/>
      <c r="V50" s="3">
        <f>+D50</f>
        <v>773495.46429000015</v>
      </c>
      <c r="Y50" s="3"/>
      <c r="Z50" s="3"/>
      <c r="AB50" s="3"/>
      <c r="AC50" s="3"/>
      <c r="AD50" s="3"/>
      <c r="AE50" s="3"/>
      <c r="AF50" s="3" t="s">
        <v>13</v>
      </c>
      <c r="AG50" s="3" t="s">
        <v>13</v>
      </c>
      <c r="AH50" s="3" t="s">
        <v>13</v>
      </c>
      <c r="AI50" s="3"/>
      <c r="AJ50" s="3" t="s">
        <v>13</v>
      </c>
      <c r="AK50" s="3">
        <f>SUM($F50:AJ50)</f>
        <v>773495.46429000015</v>
      </c>
      <c r="AL50" s="22" t="s">
        <v>13</v>
      </c>
      <c r="AM50" s="6" t="s">
        <v>13</v>
      </c>
      <c r="AO50" s="26" t="s">
        <v>13</v>
      </c>
      <c r="AQ50" s="6" t="s">
        <v>1675</v>
      </c>
    </row>
    <row r="51" spans="1:44" ht="15" thickBot="1" x14ac:dyDescent="0.4">
      <c r="A51" s="4" t="s">
        <v>13</v>
      </c>
      <c r="B51" s="67" t="s">
        <v>933</v>
      </c>
      <c r="C51" s="236">
        <v>36810.33</v>
      </c>
      <c r="D51" s="3"/>
      <c r="E51" s="15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 t="s">
        <v>13</v>
      </c>
      <c r="AL51" s="22"/>
      <c r="AO51" s="26" t="s">
        <v>13</v>
      </c>
      <c r="AP51" s="64" t="e">
        <f>+[2]Hoja1!$L$305+[3]Hoja1!#REF!</f>
        <v>#REF!</v>
      </c>
      <c r="AQ51" s="64" t="e">
        <f>+[3]Hoja1!#REF!</f>
        <v>#REF!</v>
      </c>
      <c r="AR51" s="64" t="e">
        <f>+AQ51+'Mar-23'!AR96</f>
        <v>#REF!</v>
      </c>
    </row>
    <row r="52" spans="1:44" x14ac:dyDescent="0.35">
      <c r="A52" s="371" t="s">
        <v>255</v>
      </c>
      <c r="B52" s="372">
        <f>84.052-84.052</f>
        <v>0</v>
      </c>
      <c r="C52" s="236" t="s">
        <v>13</v>
      </c>
      <c r="D52" s="3"/>
      <c r="E52" s="15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 t="s">
        <v>13</v>
      </c>
      <c r="AL52" s="22"/>
      <c r="AO52" s="11" t="s">
        <v>91</v>
      </c>
      <c r="AP52" s="53">
        <f>+D23/1.19</f>
        <v>358740.33613445377</v>
      </c>
      <c r="AQ52" s="53">
        <f>+(SUMIF(E6:E21,"MD",D6:D21)+SUMIF(E6:E21,"MK",D6:D21)/1.19)</f>
        <v>0</v>
      </c>
    </row>
    <row r="53" spans="1:44" x14ac:dyDescent="0.35">
      <c r="A53" s="3" t="s">
        <v>13</v>
      </c>
      <c r="B53" s="24"/>
      <c r="C53" s="236" t="s">
        <v>13</v>
      </c>
      <c r="D53" s="3"/>
      <c r="E53" s="15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 t="s">
        <v>13</v>
      </c>
      <c r="AL53" s="22"/>
      <c r="AO53" s="14" t="s">
        <v>1558</v>
      </c>
      <c r="AP53" s="15">
        <f>+SUMIF(AL30:AL49,"CD",D30:D49)/1.19</f>
        <v>57740.336134453784</v>
      </c>
      <c r="AQ53" s="15" t="e">
        <f>+AP53*AQ$51/AP$51</f>
        <v>#REF!</v>
      </c>
    </row>
    <row r="54" spans="1:44" x14ac:dyDescent="0.35">
      <c r="A54" s="4"/>
      <c r="B54" s="24"/>
      <c r="C54" s="67"/>
      <c r="D54" s="3"/>
      <c r="E54" s="153"/>
      <c r="F54" s="3" t="s">
        <v>13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 t="s">
        <v>13</v>
      </c>
      <c r="AL54" s="22"/>
      <c r="AO54" s="14" t="s">
        <v>1559</v>
      </c>
      <c r="AP54" s="15">
        <f>+AP52-AP53</f>
        <v>301000</v>
      </c>
      <c r="AQ54" s="15" t="e">
        <f>+AQ52-AQ53</f>
        <v>#REF!</v>
      </c>
    </row>
    <row r="55" spans="1:44" x14ac:dyDescent="0.35">
      <c r="A55" s="4"/>
      <c r="B55" s="24"/>
      <c r="C55" s="67"/>
      <c r="D55" s="3"/>
      <c r="E55" s="15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 t="s">
        <v>13</v>
      </c>
      <c r="AL55" s="22"/>
      <c r="AO55" s="14" t="s">
        <v>1560</v>
      </c>
      <c r="AP55" s="327">
        <f>+AP54/AP52</f>
        <v>0.83904699215977474</v>
      </c>
      <c r="AQ55" s="327" t="e">
        <f>+AQ54/AQ52</f>
        <v>#REF!</v>
      </c>
    </row>
    <row r="56" spans="1:44" x14ac:dyDescent="0.35">
      <c r="A56" s="4"/>
      <c r="B56" s="67"/>
      <c r="C56" s="236"/>
      <c r="E56" s="15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Y56" s="3"/>
      <c r="AJ56" s="3"/>
      <c r="AK56" s="3"/>
      <c r="AL56" s="22" t="s">
        <v>1388</v>
      </c>
      <c r="AM56" s="6" t="s">
        <v>1430</v>
      </c>
      <c r="AO56" s="14" t="s">
        <v>81</v>
      </c>
      <c r="AP56" s="15">
        <f>+SUMIF(AL30:AL49,"GAV",D30:D49)/1.19+SUMIF(AL30:AL31,"REM",D30:D31)</f>
        <v>60196.638655462186</v>
      </c>
      <c r="AQ56" s="15" t="e">
        <f>+AP56*AQ$51/AP$51</f>
        <v>#REF!</v>
      </c>
    </row>
    <row r="57" spans="1:44" x14ac:dyDescent="0.35">
      <c r="A57" s="2" t="s">
        <v>9</v>
      </c>
      <c r="D57" s="72">
        <f>SUM(D28:D55)-D28</f>
        <v>1330144.5509566669</v>
      </c>
      <c r="F57" s="3">
        <f t="shared" ref="F57:AJ57" si="2">SUM(F28:F56)</f>
        <v>0</v>
      </c>
      <c r="G57" s="3">
        <f t="shared" si="2"/>
        <v>0</v>
      </c>
      <c r="H57" s="3">
        <f t="shared" si="2"/>
        <v>0</v>
      </c>
      <c r="I57" s="3">
        <f t="shared" si="2"/>
        <v>0</v>
      </c>
      <c r="J57" s="3">
        <f t="shared" si="2"/>
        <v>22905</v>
      </c>
      <c r="K57" s="3">
        <f t="shared" si="2"/>
        <v>0</v>
      </c>
      <c r="L57" s="3">
        <f t="shared" si="2"/>
        <v>0</v>
      </c>
      <c r="M57" s="3">
        <f t="shared" si="2"/>
        <v>0</v>
      </c>
      <c r="N57" s="3">
        <f t="shared" si="2"/>
        <v>0</v>
      </c>
      <c r="O57" s="3">
        <f t="shared" si="2"/>
        <v>0</v>
      </c>
      <c r="P57" s="3">
        <f t="shared" si="2"/>
        <v>204585.22666666668</v>
      </c>
      <c r="Q57" s="3">
        <f t="shared" si="2"/>
        <v>10350</v>
      </c>
      <c r="R57" s="3">
        <f t="shared" si="2"/>
        <v>0</v>
      </c>
      <c r="S57" s="3">
        <f t="shared" si="2"/>
        <v>0</v>
      </c>
      <c r="T57" s="3">
        <f t="shared" si="2"/>
        <v>0</v>
      </c>
      <c r="U57" s="3">
        <f t="shared" si="2"/>
        <v>33710</v>
      </c>
      <c r="V57" s="3">
        <f t="shared" si="2"/>
        <v>866864.46429000015</v>
      </c>
      <c r="W57" s="3">
        <f t="shared" si="2"/>
        <v>0</v>
      </c>
      <c r="X57" s="3">
        <f t="shared" si="2"/>
        <v>0</v>
      </c>
      <c r="Y57" s="3">
        <f t="shared" si="2"/>
        <v>0</v>
      </c>
      <c r="Z57" s="3">
        <f t="shared" si="2"/>
        <v>0</v>
      </c>
      <c r="AA57" s="3">
        <f t="shared" si="2"/>
        <v>0</v>
      </c>
      <c r="AB57" s="3">
        <f t="shared" si="2"/>
        <v>0</v>
      </c>
      <c r="AC57" s="3">
        <f t="shared" si="2"/>
        <v>0</v>
      </c>
      <c r="AD57" s="3">
        <f t="shared" si="2"/>
        <v>0</v>
      </c>
      <c r="AE57" s="3">
        <f t="shared" si="2"/>
        <v>0</v>
      </c>
      <c r="AF57" s="3">
        <f t="shared" si="2"/>
        <v>0</v>
      </c>
      <c r="AG57" s="3">
        <f t="shared" si="2"/>
        <v>0</v>
      </c>
      <c r="AH57" s="3">
        <f t="shared" si="2"/>
        <v>0</v>
      </c>
      <c r="AI57" s="3">
        <f t="shared" si="2"/>
        <v>70146</v>
      </c>
      <c r="AJ57" s="3">
        <f t="shared" si="2"/>
        <v>11640</v>
      </c>
      <c r="AK57" s="72">
        <f>SUM(AK28:AK55)-AK28</f>
        <v>1220200.6909566668</v>
      </c>
      <c r="AL57" s="324">
        <f>+D57-AK57</f>
        <v>109943.8600000001</v>
      </c>
      <c r="AM57" s="324">
        <f>+AJ58+AL23-AL57-1200000</f>
        <v>924654.78483908437</v>
      </c>
      <c r="AO57" s="14" t="s">
        <v>1561</v>
      </c>
      <c r="AP57" s="15">
        <f>+AP54-AP56</f>
        <v>240803.36134453781</v>
      </c>
      <c r="AQ57" s="15" t="e">
        <f>+AQ54-AQ56</f>
        <v>#REF!</v>
      </c>
    </row>
    <row r="58" spans="1:44" x14ac:dyDescent="0.35">
      <c r="A58" t="s">
        <v>8</v>
      </c>
      <c r="F58" s="3">
        <f t="shared" ref="F58:AJ58" si="3">+F23+F3-F57</f>
        <v>1767083.3357957513</v>
      </c>
      <c r="G58" s="3">
        <f t="shared" si="3"/>
        <v>1767083.3357957513</v>
      </c>
      <c r="H58" s="3">
        <f t="shared" si="3"/>
        <v>1767083.3357957513</v>
      </c>
      <c r="I58" s="3">
        <f t="shared" si="3"/>
        <v>1767083.3357957513</v>
      </c>
      <c r="J58" s="3">
        <f t="shared" si="3"/>
        <v>1744178.3357957513</v>
      </c>
      <c r="K58" s="3">
        <f t="shared" si="3"/>
        <v>1744178.3357957513</v>
      </c>
      <c r="L58" s="3">
        <f t="shared" si="3"/>
        <v>1744178.3357957513</v>
      </c>
      <c r="M58" s="3">
        <f t="shared" si="3"/>
        <v>1918556.3357957513</v>
      </c>
      <c r="N58" s="3">
        <f t="shared" si="3"/>
        <v>1918556.3357957513</v>
      </c>
      <c r="O58" s="3">
        <f t="shared" si="3"/>
        <v>2456936.3357957513</v>
      </c>
      <c r="P58" s="3">
        <f t="shared" si="3"/>
        <v>2252351.1091290847</v>
      </c>
      <c r="Q58" s="3">
        <f t="shared" si="3"/>
        <v>2242001.1091290847</v>
      </c>
      <c r="R58" s="3">
        <f t="shared" si="3"/>
        <v>2242001.1091290847</v>
      </c>
      <c r="S58" s="3">
        <f t="shared" si="3"/>
        <v>2242001.1091290847</v>
      </c>
      <c r="T58" s="3">
        <f t="shared" si="3"/>
        <v>2242001.1091290847</v>
      </c>
      <c r="U58" s="3">
        <f t="shared" si="3"/>
        <v>2208291.1091290847</v>
      </c>
      <c r="V58" s="3">
        <f t="shared" si="3"/>
        <v>1341426.6448390847</v>
      </c>
      <c r="W58" s="3">
        <f t="shared" si="3"/>
        <v>1341426.6448390847</v>
      </c>
      <c r="X58" s="3">
        <f t="shared" si="3"/>
        <v>1341426.6448390847</v>
      </c>
      <c r="Y58" s="3">
        <f t="shared" si="3"/>
        <v>1341426.6448390847</v>
      </c>
      <c r="Z58" s="3">
        <f t="shared" si="3"/>
        <v>1341426.6448390847</v>
      </c>
      <c r="AA58" s="3">
        <f t="shared" si="3"/>
        <v>1341426.6448390847</v>
      </c>
      <c r="AB58" s="3">
        <f t="shared" si="3"/>
        <v>1341426.6448390847</v>
      </c>
      <c r="AC58" s="3">
        <f t="shared" si="3"/>
        <v>1341426.6448390847</v>
      </c>
      <c r="AD58" s="3">
        <f t="shared" si="3"/>
        <v>1341426.6448390847</v>
      </c>
      <c r="AE58" s="3">
        <f t="shared" si="3"/>
        <v>1341426.6448390847</v>
      </c>
      <c r="AF58" s="3">
        <f t="shared" si="3"/>
        <v>1341426.6448390847</v>
      </c>
      <c r="AG58" s="3">
        <f t="shared" si="3"/>
        <v>1341426.6448390847</v>
      </c>
      <c r="AH58" s="3">
        <f t="shared" si="3"/>
        <v>1341426.6448390847</v>
      </c>
      <c r="AI58" s="3">
        <f t="shared" si="3"/>
        <v>1271280.6448390847</v>
      </c>
      <c r="AJ58" s="3">
        <f t="shared" si="3"/>
        <v>1259640.6448390847</v>
      </c>
      <c r="AK58" s="3" t="s">
        <v>13</v>
      </c>
      <c r="AM58" s="22" t="s">
        <v>13</v>
      </c>
      <c r="AO58" s="14" t="s">
        <v>1563</v>
      </c>
      <c r="AP58" s="15">
        <f>+SUMIF(AL30:AL50,"GF",D30:D50)</f>
        <v>13905</v>
      </c>
      <c r="AQ58" s="15">
        <v>0</v>
      </c>
    </row>
    <row r="59" spans="1:44" x14ac:dyDescent="0.35">
      <c r="F59" s="3"/>
      <c r="G59" s="3"/>
      <c r="H59" s="3"/>
      <c r="I59" s="3" t="s">
        <v>13</v>
      </c>
      <c r="J59" s="3"/>
      <c r="K59" s="3" t="s">
        <v>13</v>
      </c>
      <c r="L59" s="3"/>
      <c r="M59" s="3"/>
      <c r="N59" s="3"/>
      <c r="O59" s="3"/>
      <c r="P59" s="3" t="s">
        <v>13</v>
      </c>
      <c r="Q59" s="3"/>
      <c r="R59" s="3"/>
      <c r="S59" s="3"/>
      <c r="T59" s="3" t="s">
        <v>13</v>
      </c>
      <c r="U59" s="3"/>
      <c r="V59" s="3"/>
      <c r="W59" s="3"/>
      <c r="Y59" s="3" t="s">
        <v>13</v>
      </c>
      <c r="Z59" s="3" t="s">
        <v>13</v>
      </c>
      <c r="AA59" s="3" t="s">
        <v>13</v>
      </c>
      <c r="AB59" s="3" t="s">
        <v>13</v>
      </c>
      <c r="AO59" s="14" t="s">
        <v>82</v>
      </c>
      <c r="AP59" s="15">
        <v>0</v>
      </c>
      <c r="AQ59" s="15">
        <f>+SUMIF(AL30:AL50,"AF",D30:D50)/1.19</f>
        <v>0</v>
      </c>
    </row>
    <row r="60" spans="1:44" ht="15" thickBot="1" x14ac:dyDescent="0.4">
      <c r="F60" s="3" t="s">
        <v>13</v>
      </c>
      <c r="G60" s="3" t="s">
        <v>13</v>
      </c>
      <c r="H60" s="3" t="s">
        <v>13</v>
      </c>
      <c r="I60" s="3"/>
      <c r="J60" s="3"/>
      <c r="K60" s="3"/>
      <c r="L60" s="3"/>
      <c r="M60" s="3"/>
      <c r="N60" s="3"/>
      <c r="O60" s="3"/>
      <c r="P60" s="3" t="s">
        <v>13</v>
      </c>
      <c r="Q60" s="3" t="s">
        <v>13</v>
      </c>
      <c r="R60" s="3" t="s">
        <v>13</v>
      </c>
      <c r="S60" s="3"/>
      <c r="T60" s="3"/>
      <c r="U60" s="3" t="s">
        <v>13</v>
      </c>
      <c r="V60" s="3"/>
      <c r="W60" s="3"/>
      <c r="AB60" s="3" t="s">
        <v>13</v>
      </c>
      <c r="AG60" s="3" t="s">
        <v>13</v>
      </c>
      <c r="AJ60" s="3" t="s">
        <v>13</v>
      </c>
      <c r="AO60" s="16"/>
      <c r="AP60" s="19">
        <f>+AP57-AP58-AP59</f>
        <v>226898.36134453781</v>
      </c>
      <c r="AQ60" s="19" t="e">
        <f>+AQ57-AQ58-AQ59</f>
        <v>#REF!</v>
      </c>
    </row>
    <row r="61" spans="1:44" x14ac:dyDescent="0.35">
      <c r="A61" t="s">
        <v>2163</v>
      </c>
      <c r="B61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61" s="3" t="e">
        <f>+B61*0.16</f>
        <v>#REF!</v>
      </c>
      <c r="E61" s="6" t="s">
        <v>13</v>
      </c>
      <c r="F61" s="3"/>
      <c r="G61" s="3" t="s">
        <v>13</v>
      </c>
      <c r="H61" s="3" t="s">
        <v>13</v>
      </c>
      <c r="I61" s="3"/>
      <c r="J61" s="3"/>
      <c r="K61" s="3"/>
      <c r="L61" s="3"/>
      <c r="M61" s="3"/>
      <c r="N61" s="3"/>
      <c r="O61" s="3"/>
      <c r="W61" s="3"/>
      <c r="AB61" s="3" t="s">
        <v>13</v>
      </c>
      <c r="AG61" s="3" t="s">
        <v>13</v>
      </c>
      <c r="AJ61" s="3" t="s">
        <v>13</v>
      </c>
      <c r="AO61" t="s">
        <v>1961</v>
      </c>
      <c r="AP61" s="26">
        <f ca="1">+AP$60+'May-23'!AP82</f>
        <v>5853290.0210440615</v>
      </c>
      <c r="AQ61" s="3" t="e">
        <f ca="1">+AQ$60+'May-23'!AQ82</f>
        <v>#REF!</v>
      </c>
    </row>
    <row r="62" spans="1:44" x14ac:dyDescent="0.35">
      <c r="F62" s="3"/>
      <c r="G62" s="3" t="s">
        <v>13</v>
      </c>
      <c r="H62" s="3"/>
      <c r="I62" s="3"/>
      <c r="J62" s="3"/>
      <c r="K62" s="3"/>
      <c r="L62" s="3"/>
      <c r="M62" s="3"/>
      <c r="N62" s="3"/>
      <c r="O62" s="3"/>
      <c r="W62" s="3" t="s">
        <v>13</v>
      </c>
      <c r="AB62" s="3" t="s">
        <v>13</v>
      </c>
      <c r="AD62" t="s">
        <v>2296</v>
      </c>
      <c r="AE62">
        <v>2</v>
      </c>
      <c r="AG62" s="3" t="s">
        <v>13</v>
      </c>
      <c r="AJ62" s="3" t="s">
        <v>13</v>
      </c>
      <c r="AO62" t="s">
        <v>1960</v>
      </c>
      <c r="AP62" s="26">
        <f ca="1">+AP$60+'May-23'!AP83</f>
        <v>7449427.9234217694</v>
      </c>
      <c r="AQ62" s="3" t="e">
        <f ca="1">+AQ$60+'May-23'!AQ83</f>
        <v>#REF!</v>
      </c>
    </row>
    <row r="63" spans="1:44" x14ac:dyDescent="0.35">
      <c r="A63" t="s">
        <v>13</v>
      </c>
      <c r="F63" s="3" t="s">
        <v>13</v>
      </c>
      <c r="G63" s="3" t="s">
        <v>13</v>
      </c>
      <c r="H63" s="3"/>
      <c r="I63" s="3"/>
      <c r="J63" s="3"/>
      <c r="K63" s="3"/>
      <c r="L63" s="3"/>
      <c r="M63" s="3">
        <v>538500</v>
      </c>
      <c r="N63" s="3"/>
      <c r="O63" s="3"/>
      <c r="W63" s="3"/>
      <c r="AB63" s="3" t="s">
        <v>13</v>
      </c>
      <c r="AD63" t="s">
        <v>2297</v>
      </c>
      <c r="AG63" s="3" t="s">
        <v>13</v>
      </c>
      <c r="AJ63" s="3" t="s">
        <v>13</v>
      </c>
    </row>
    <row r="64" spans="1:44" x14ac:dyDescent="0.35">
      <c r="B64" t="s">
        <v>13</v>
      </c>
      <c r="F64" s="3" t="s">
        <v>13</v>
      </c>
      <c r="G64" s="3" t="s">
        <v>13</v>
      </c>
      <c r="H64" s="3"/>
      <c r="I64" s="3"/>
      <c r="J64" s="3"/>
      <c r="K64" s="3"/>
      <c r="L64" s="3" t="s">
        <v>13</v>
      </c>
      <c r="M64" s="3">
        <v>682100</v>
      </c>
      <c r="N64" s="3"/>
      <c r="O64" s="3"/>
      <c r="W64" s="3"/>
      <c r="AB64" s="3" t="s">
        <v>13</v>
      </c>
      <c r="AG64" s="3" t="s">
        <v>13</v>
      </c>
      <c r="AJ64" s="3" t="s">
        <v>13</v>
      </c>
      <c r="AL64"/>
      <c r="AM64"/>
    </row>
    <row r="65" spans="2:43" x14ac:dyDescent="0.35">
      <c r="F65" s="3"/>
      <c r="G65" s="3" t="s">
        <v>13</v>
      </c>
      <c r="H65" s="3"/>
      <c r="I65" s="3"/>
      <c r="J65" s="3"/>
      <c r="K65" s="3"/>
      <c r="L65" s="3"/>
      <c r="M65" s="3">
        <f>SUM(M63:M64)</f>
        <v>1220600</v>
      </c>
      <c r="AG65" s="3" t="s">
        <v>13</v>
      </c>
      <c r="AJ65" s="3" t="s">
        <v>13</v>
      </c>
      <c r="AL65"/>
      <c r="AM65"/>
    </row>
    <row r="66" spans="2:43" x14ac:dyDescent="0.35">
      <c r="F66" s="3"/>
      <c r="G66" s="3" t="s">
        <v>13</v>
      </c>
      <c r="H66" s="3"/>
      <c r="I66" s="3"/>
      <c r="J66" s="3"/>
      <c r="K66" s="3"/>
      <c r="L66" s="3"/>
      <c r="AB66" t="s">
        <v>13</v>
      </c>
      <c r="AG66" s="3" t="s">
        <v>13</v>
      </c>
      <c r="AJ66" s="3" t="s">
        <v>13</v>
      </c>
      <c r="AL66"/>
      <c r="AM66"/>
      <c r="AQ66" t="s">
        <v>13</v>
      </c>
    </row>
    <row r="67" spans="2:43" x14ac:dyDescent="0.35">
      <c r="F67" s="3"/>
      <c r="G67" s="3" t="s">
        <v>13</v>
      </c>
      <c r="H67" s="3"/>
      <c r="I67" s="3"/>
      <c r="J67" s="3"/>
      <c r="K67" s="3"/>
      <c r="L67" s="3"/>
      <c r="AG67" s="3" t="s">
        <v>13</v>
      </c>
      <c r="AJ67" s="3" t="s">
        <v>13</v>
      </c>
      <c r="AL67"/>
      <c r="AM67"/>
    </row>
    <row r="68" spans="2:43" x14ac:dyDescent="0.35">
      <c r="F68" s="3"/>
      <c r="G68" s="3" t="s">
        <v>13</v>
      </c>
      <c r="H68" s="3"/>
      <c r="I68" s="3"/>
      <c r="J68" s="3"/>
      <c r="K68" s="3"/>
      <c r="L68" s="3"/>
      <c r="AG68" s="3" t="s">
        <v>13</v>
      </c>
      <c r="AJ68" s="3" t="s">
        <v>13</v>
      </c>
      <c r="AL68"/>
      <c r="AM68"/>
    </row>
    <row r="69" spans="2:43" x14ac:dyDescent="0.35">
      <c r="F69" s="3"/>
      <c r="G69" s="3" t="s">
        <v>13</v>
      </c>
      <c r="H69" s="3"/>
      <c r="I69" s="3"/>
      <c r="J69" s="3"/>
      <c r="K69" s="3"/>
      <c r="L69" s="3"/>
      <c r="AG69" s="3" t="s">
        <v>13</v>
      </c>
      <c r="AJ69" s="3" t="s">
        <v>13</v>
      </c>
      <c r="AL69"/>
      <c r="AM69"/>
    </row>
    <row r="70" spans="2:43" x14ac:dyDescent="0.35">
      <c r="B70" t="s">
        <v>13</v>
      </c>
      <c r="F70" s="3"/>
      <c r="G70" s="3" t="s">
        <v>13</v>
      </c>
      <c r="H70" s="3"/>
      <c r="I70" s="3"/>
      <c r="J70" s="3"/>
      <c r="K70" s="3"/>
      <c r="L70" s="3"/>
      <c r="AG70" s="3" t="s">
        <v>13</v>
      </c>
      <c r="AJ70" s="3" t="s">
        <v>13</v>
      </c>
      <c r="AL70"/>
      <c r="AM70"/>
    </row>
    <row r="71" spans="2:43" x14ac:dyDescent="0.35">
      <c r="B71" t="s">
        <v>13</v>
      </c>
      <c r="F71" s="3"/>
      <c r="G71" s="3" t="s">
        <v>13</v>
      </c>
      <c r="H71" s="3"/>
      <c r="I71" s="3"/>
      <c r="J71" s="3"/>
      <c r="K71" s="3"/>
      <c r="L71" s="3"/>
      <c r="AG71" s="3" t="s">
        <v>13</v>
      </c>
      <c r="AJ71" s="3" t="s">
        <v>13</v>
      </c>
      <c r="AL71"/>
      <c r="AM71"/>
    </row>
    <row r="72" spans="2:43" x14ac:dyDescent="0.35">
      <c r="B72" t="s">
        <v>13</v>
      </c>
      <c r="F72" s="3"/>
      <c r="G72" s="3" t="s">
        <v>13</v>
      </c>
      <c r="H72" s="3"/>
      <c r="I72" s="3"/>
      <c r="J72" s="3"/>
      <c r="K72" s="3"/>
      <c r="L72" s="3"/>
      <c r="AG72" s="3" t="s">
        <v>13</v>
      </c>
      <c r="AJ72" s="3" t="s">
        <v>13</v>
      </c>
      <c r="AL72"/>
      <c r="AM72"/>
    </row>
    <row r="73" spans="2:43" x14ac:dyDescent="0.35">
      <c r="B73" t="s">
        <v>13</v>
      </c>
      <c r="F73" s="3"/>
      <c r="G73" s="3" t="s">
        <v>13</v>
      </c>
      <c r="H73" s="3"/>
      <c r="I73" s="3"/>
      <c r="J73" s="3"/>
      <c r="K73" s="3"/>
      <c r="L73" s="3"/>
      <c r="AG73" s="3" t="s">
        <v>13</v>
      </c>
      <c r="AJ73" s="3" t="s">
        <v>13</v>
      </c>
      <c r="AL73"/>
      <c r="AM73"/>
    </row>
    <row r="74" spans="2:43" x14ac:dyDescent="0.35">
      <c r="B74" t="s">
        <v>13</v>
      </c>
      <c r="F74" s="3"/>
      <c r="G74" s="3" t="s">
        <v>13</v>
      </c>
      <c r="H74" s="3"/>
      <c r="I74" s="3"/>
      <c r="J74" s="3"/>
      <c r="K74" s="3"/>
      <c r="L74" s="3"/>
      <c r="AG74" s="3" t="s">
        <v>13</v>
      </c>
      <c r="AJ74" s="3" t="s">
        <v>13</v>
      </c>
      <c r="AL74"/>
      <c r="AM74"/>
    </row>
    <row r="75" spans="2:43" x14ac:dyDescent="0.35">
      <c r="B75" t="s">
        <v>13</v>
      </c>
      <c r="F75" s="3"/>
      <c r="G75" s="3" t="s">
        <v>13</v>
      </c>
      <c r="H75" s="3"/>
      <c r="I75" s="3"/>
      <c r="J75" s="3"/>
      <c r="K75" s="3"/>
      <c r="L75" s="3"/>
      <c r="AG75" s="3" t="s">
        <v>13</v>
      </c>
      <c r="AJ75" s="3" t="s">
        <v>13</v>
      </c>
      <c r="AL75"/>
      <c r="AM75"/>
    </row>
    <row r="76" spans="2:43" x14ac:dyDescent="0.35">
      <c r="B76" t="s">
        <v>13</v>
      </c>
      <c r="F76" s="3"/>
      <c r="G76" s="3" t="s">
        <v>13</v>
      </c>
      <c r="H76" s="3"/>
      <c r="I76" s="3"/>
      <c r="J76" s="3"/>
      <c r="K76" s="3"/>
      <c r="L76" s="3"/>
      <c r="AG76" s="3" t="s">
        <v>13</v>
      </c>
      <c r="AJ76" s="3" t="s">
        <v>13</v>
      </c>
      <c r="AL76"/>
      <c r="AM76"/>
    </row>
    <row r="77" spans="2:43" x14ac:dyDescent="0.35">
      <c r="B77" t="s">
        <v>13</v>
      </c>
      <c r="F77" s="3"/>
      <c r="G77" s="3" t="s">
        <v>13</v>
      </c>
      <c r="H77" s="3"/>
      <c r="I77" s="3"/>
      <c r="J77" s="3"/>
      <c r="K77" s="3"/>
      <c r="L77" s="3"/>
      <c r="AG77" s="3" t="s">
        <v>13</v>
      </c>
      <c r="AJ77" s="3" t="s">
        <v>13</v>
      </c>
      <c r="AL77"/>
      <c r="AM77"/>
    </row>
    <row r="78" spans="2:43" x14ac:dyDescent="0.35">
      <c r="B78" t="s">
        <v>13</v>
      </c>
      <c r="F78" s="3"/>
      <c r="G78" s="3" t="s">
        <v>13</v>
      </c>
      <c r="H78" s="3"/>
      <c r="I78" s="3"/>
      <c r="J78" s="3"/>
      <c r="K78" s="3"/>
      <c r="L78" s="3"/>
      <c r="AL78"/>
      <c r="AM78"/>
    </row>
    <row r="79" spans="2:43" x14ac:dyDescent="0.35">
      <c r="B79" t="s">
        <v>13</v>
      </c>
      <c r="F79" s="3"/>
      <c r="G79" s="3" t="s">
        <v>13</v>
      </c>
      <c r="H79" s="3"/>
      <c r="I79" s="3"/>
      <c r="J79" s="3"/>
      <c r="K79" s="3"/>
      <c r="L79" s="3"/>
      <c r="AL79"/>
      <c r="AM79"/>
    </row>
    <row r="80" spans="2:43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</sheetData>
  <sortState xmlns:xlrd2="http://schemas.microsoft.com/office/spreadsheetml/2017/richdata2" ref="A35:AL42">
    <sortCondition ref="C35:C42"/>
  </sortState>
  <phoneticPr fontId="20" type="noConversion"/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1C13-FAB4-4ECC-A4CD-49D2E55EEE90}">
  <dimension ref="A1:AQ100"/>
  <sheetViews>
    <sheetView zoomScale="72" zoomScaleNormal="76" workbookViewId="0">
      <pane xSplit="5" ySplit="3" topLeftCell="AE4" activePane="bottomRight" state="frozen"/>
      <selection pane="topRight" activeCell="F1" sqref="F1"/>
      <selection pane="bottomLeft" activeCell="A4" sqref="A4"/>
      <selection pane="bottomRight" activeCell="D33" sqref="D33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45323</v>
      </c>
      <c r="G2" s="1">
        <v>45324</v>
      </c>
      <c r="H2" s="1">
        <v>45325</v>
      </c>
      <c r="I2" s="1">
        <v>45326</v>
      </c>
      <c r="J2" s="1">
        <v>45327</v>
      </c>
      <c r="K2" s="1">
        <v>45328</v>
      </c>
      <c r="L2" s="1">
        <v>45329</v>
      </c>
      <c r="M2" s="1">
        <v>45330</v>
      </c>
      <c r="N2" s="1">
        <v>45331</v>
      </c>
      <c r="O2" s="1">
        <v>45332</v>
      </c>
      <c r="P2" s="1">
        <v>45333</v>
      </c>
      <c r="Q2" s="1">
        <v>45334</v>
      </c>
      <c r="R2" s="1">
        <v>45335</v>
      </c>
      <c r="S2" s="1">
        <v>45336</v>
      </c>
      <c r="T2" s="1">
        <v>45337</v>
      </c>
      <c r="U2" s="1">
        <v>45338</v>
      </c>
      <c r="V2" s="1">
        <v>45339</v>
      </c>
      <c r="W2" s="1">
        <v>45340</v>
      </c>
      <c r="X2" s="1">
        <v>45341</v>
      </c>
      <c r="Y2" s="1">
        <v>45342</v>
      </c>
      <c r="Z2" s="1">
        <v>45343</v>
      </c>
      <c r="AA2" s="1">
        <v>45344</v>
      </c>
      <c r="AB2" s="1">
        <v>45345</v>
      </c>
      <c r="AC2" s="1">
        <v>45346</v>
      </c>
      <c r="AD2" s="1">
        <v>45347</v>
      </c>
      <c r="AE2" s="1">
        <v>45348</v>
      </c>
      <c r="AF2" s="1">
        <v>45349</v>
      </c>
      <c r="AG2" s="1">
        <v>45350</v>
      </c>
      <c r="AH2" s="1">
        <v>45351</v>
      </c>
      <c r="AI2" s="1" t="s">
        <v>13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+'Ene-24'!AJ58</f>
        <v>1259640.6448390847</v>
      </c>
      <c r="G3" s="3">
        <f t="shared" ref="G3:AH3" si="0">+F46</f>
        <v>1259640.6448390847</v>
      </c>
      <c r="H3" s="3">
        <f t="shared" si="0"/>
        <v>1259640.6448390847</v>
      </c>
      <c r="I3" s="3">
        <f t="shared" si="0"/>
        <v>1259640.6448390847</v>
      </c>
      <c r="J3" s="3">
        <f t="shared" si="0"/>
        <v>1259640.6448390847</v>
      </c>
      <c r="K3" s="3">
        <f t="shared" si="0"/>
        <v>1245735.6448390847</v>
      </c>
      <c r="L3" s="3">
        <f t="shared" si="0"/>
        <v>1245735.6448390847</v>
      </c>
      <c r="M3" s="3">
        <f t="shared" si="0"/>
        <v>1245735.6448390847</v>
      </c>
      <c r="N3" s="3">
        <f t="shared" si="0"/>
        <v>1245735.6448390847</v>
      </c>
      <c r="O3" s="3">
        <f t="shared" si="0"/>
        <v>1245735.6448390847</v>
      </c>
      <c r="P3" s="3">
        <f t="shared" si="0"/>
        <v>1245735.6448390847</v>
      </c>
      <c r="Q3" s="3">
        <f t="shared" si="0"/>
        <v>1238735.6448390847</v>
      </c>
      <c r="R3" s="3">
        <f t="shared" si="0"/>
        <v>1117566.7848390846</v>
      </c>
      <c r="S3" s="3">
        <f t="shared" si="0"/>
        <v>1062181.7848390846</v>
      </c>
      <c r="T3" s="3">
        <f t="shared" si="0"/>
        <v>1062181.7848390846</v>
      </c>
      <c r="U3" s="3">
        <f t="shared" si="0"/>
        <v>1062181.7848390846</v>
      </c>
      <c r="V3" s="3">
        <f t="shared" si="0"/>
        <v>877771.7848390846</v>
      </c>
      <c r="W3" s="3">
        <f t="shared" si="0"/>
        <v>877771.7848390846</v>
      </c>
      <c r="X3" s="3">
        <f t="shared" si="0"/>
        <v>877771.7848390846</v>
      </c>
      <c r="Y3" s="3">
        <f t="shared" si="0"/>
        <v>877771.7848390846</v>
      </c>
      <c r="Z3" s="3">
        <f t="shared" si="0"/>
        <v>877771.7848390846</v>
      </c>
      <c r="AA3" s="3">
        <f t="shared" si="0"/>
        <v>877771.7848390846</v>
      </c>
      <c r="AB3" s="3">
        <f t="shared" si="0"/>
        <v>877771.7848390846</v>
      </c>
      <c r="AC3" s="3">
        <f t="shared" si="0"/>
        <v>877771.7848390846</v>
      </c>
      <c r="AD3" s="3">
        <f t="shared" si="0"/>
        <v>877771.7848390846</v>
      </c>
      <c r="AE3" s="3">
        <f t="shared" si="0"/>
        <v>877771.7848390846</v>
      </c>
      <c r="AF3" s="3">
        <f t="shared" si="0"/>
        <v>1325192.7848390846</v>
      </c>
      <c r="AG3" s="3">
        <f t="shared" si="0"/>
        <v>1305289.7848390846</v>
      </c>
      <c r="AH3" s="3">
        <f t="shared" si="0"/>
        <v>1305289.7848390846</v>
      </c>
      <c r="AI3" s="3" t="s">
        <v>13</v>
      </c>
      <c r="AJ3" s="3" t="s">
        <v>13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41" t="s">
        <v>2293</v>
      </c>
      <c r="B6" t="s">
        <v>2294</v>
      </c>
      <c r="C6" s="5">
        <v>45214</v>
      </c>
      <c r="D6" s="3">
        <v>87189</v>
      </c>
      <c r="E6" s="42" t="s">
        <v>782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2305</v>
      </c>
      <c r="B7" t="s">
        <v>2306</v>
      </c>
      <c r="C7" s="5">
        <v>45225</v>
      </c>
      <c r="D7" s="3">
        <v>96114</v>
      </c>
      <c r="E7" s="42" t="s">
        <v>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0</v>
      </c>
      <c r="AL7" s="22"/>
    </row>
    <row r="8" spans="1:39" x14ac:dyDescent="0.35">
      <c r="A8" s="41" t="s">
        <v>2311</v>
      </c>
      <c r="B8" t="s">
        <v>2312</v>
      </c>
      <c r="C8" s="5">
        <v>45239</v>
      </c>
      <c r="D8" s="3">
        <v>87189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0</v>
      </c>
      <c r="AL8" s="22"/>
    </row>
    <row r="9" spans="1:39" x14ac:dyDescent="0.35">
      <c r="A9" s="41" t="s">
        <v>2314</v>
      </c>
      <c r="B9" t="s">
        <v>975</v>
      </c>
      <c r="C9" s="5">
        <v>45256</v>
      </c>
      <c r="D9" s="3">
        <v>87189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0</v>
      </c>
      <c r="AL9" s="22"/>
    </row>
    <row r="10" spans="1:39" ht="15" thickBot="1" x14ac:dyDescent="0.4">
      <c r="A10" s="41" t="s">
        <v>2346</v>
      </c>
      <c r="B10" t="s">
        <v>2347</v>
      </c>
      <c r="C10" s="5">
        <v>45287</v>
      </c>
      <c r="D10" s="3">
        <f>252523-62147</f>
        <v>190376</v>
      </c>
      <c r="E10" s="42" t="s">
        <v>2325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>
        <v>190376</v>
      </c>
      <c r="AF10" s="3"/>
      <c r="AG10" s="3"/>
      <c r="AH10" s="3"/>
      <c r="AI10" s="3"/>
      <c r="AK10" s="3">
        <f>SUM($F10:AJ10)</f>
        <v>190376</v>
      </c>
      <c r="AL10" s="22"/>
    </row>
    <row r="11" spans="1:39" x14ac:dyDescent="0.35">
      <c r="A11" s="36" t="s">
        <v>2356</v>
      </c>
      <c r="B11" s="66" t="s">
        <v>2354</v>
      </c>
      <c r="C11" s="38">
        <v>45313</v>
      </c>
      <c r="D11" s="39">
        <v>169856</v>
      </c>
      <c r="E11" s="40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 t="s">
        <v>13</v>
      </c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>
        <v>169856</v>
      </c>
      <c r="AF11" s="3"/>
      <c r="AG11" s="3"/>
      <c r="AH11" s="3"/>
      <c r="AI11" s="3"/>
      <c r="AK11" s="3">
        <f>SUM($F11:AJ11)</f>
        <v>169856</v>
      </c>
      <c r="AL11" s="22"/>
    </row>
    <row r="12" spans="1:39" x14ac:dyDescent="0.35">
      <c r="A12" s="41" t="s">
        <v>2357</v>
      </c>
      <c r="B12" t="s">
        <v>2355</v>
      </c>
      <c r="C12" s="5">
        <v>45313</v>
      </c>
      <c r="D12" s="3">
        <v>87189</v>
      </c>
      <c r="E12" s="42" t="s">
        <v>2325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>
        <v>87189</v>
      </c>
      <c r="AF12" s="3"/>
      <c r="AG12" s="3"/>
      <c r="AH12" s="3"/>
      <c r="AI12" s="3"/>
      <c r="AK12" s="3">
        <f>SUM($F12:AJ12)</f>
        <v>87189</v>
      </c>
      <c r="AL12" s="22"/>
    </row>
    <row r="13" spans="1:39" ht="15" thickBot="1" x14ac:dyDescent="0.4">
      <c r="A13" s="41" t="s">
        <v>2358</v>
      </c>
      <c r="B13" t="s">
        <v>2359</v>
      </c>
      <c r="C13" s="5">
        <v>45316</v>
      </c>
      <c r="D13" s="3">
        <v>169856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x14ac:dyDescent="0.35">
      <c r="A14" s="36" t="s">
        <v>2363</v>
      </c>
      <c r="B14" s="66" t="s">
        <v>2364</v>
      </c>
      <c r="C14" s="38">
        <v>45332</v>
      </c>
      <c r="D14" s="39">
        <v>87189</v>
      </c>
      <c r="E14" s="40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2460</v>
      </c>
      <c r="B15" t="s">
        <v>2458</v>
      </c>
      <c r="C15" s="5">
        <v>45336</v>
      </c>
      <c r="D15" s="3">
        <v>87189</v>
      </c>
      <c r="E15" s="42" t="s">
        <v>2459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2376</v>
      </c>
      <c r="B16" t="s">
        <v>2377</v>
      </c>
      <c r="C16" s="5">
        <v>45343</v>
      </c>
      <c r="D16" s="3">
        <v>87189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ht="15" thickBot="1" x14ac:dyDescent="0.4">
      <c r="A17" s="43" t="s">
        <v>2400</v>
      </c>
      <c r="B17" s="76" t="s">
        <v>2401</v>
      </c>
      <c r="C17" s="45">
        <v>45343</v>
      </c>
      <c r="D17" s="46">
        <v>140521</v>
      </c>
      <c r="E17" s="47" t="s">
        <v>2402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B18" t="s">
        <v>1406</v>
      </c>
      <c r="D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24" t="s">
        <v>1962</v>
      </c>
      <c r="AL18" s="22" t="s">
        <v>1352</v>
      </c>
    </row>
    <row r="19" spans="1:41" x14ac:dyDescent="0.35">
      <c r="A19" s="2" t="s">
        <v>1676</v>
      </c>
      <c r="D19" s="3">
        <f>SUM(D14:D17)</f>
        <v>402088</v>
      </c>
      <c r="F19" s="3">
        <f t="shared" ref="F19:AJ19" si="1">SUM(F5:F17)</f>
        <v>0</v>
      </c>
      <c r="G19" s="3">
        <f t="shared" si="1"/>
        <v>0</v>
      </c>
      <c r="H19" s="3">
        <f t="shared" si="1"/>
        <v>0</v>
      </c>
      <c r="I19" s="3">
        <f t="shared" si="1"/>
        <v>0</v>
      </c>
      <c r="J19" s="3">
        <f t="shared" si="1"/>
        <v>0</v>
      </c>
      <c r="K19" s="3">
        <f t="shared" si="1"/>
        <v>0</v>
      </c>
      <c r="L19" s="3">
        <f t="shared" si="1"/>
        <v>0</v>
      </c>
      <c r="M19" s="3">
        <f t="shared" si="1"/>
        <v>0</v>
      </c>
      <c r="N19" s="3">
        <f t="shared" si="1"/>
        <v>0</v>
      </c>
      <c r="O19" s="3">
        <f t="shared" si="1"/>
        <v>0</v>
      </c>
      <c r="P19" s="3">
        <f t="shared" si="1"/>
        <v>0</v>
      </c>
      <c r="Q19" s="3">
        <f t="shared" si="1"/>
        <v>0</v>
      </c>
      <c r="R19" s="3">
        <f t="shared" si="1"/>
        <v>0</v>
      </c>
      <c r="S19" s="3">
        <f t="shared" si="1"/>
        <v>0</v>
      </c>
      <c r="T19" s="3">
        <f t="shared" si="1"/>
        <v>0</v>
      </c>
      <c r="U19" s="3">
        <f t="shared" si="1"/>
        <v>0</v>
      </c>
      <c r="V19" s="3">
        <f t="shared" si="1"/>
        <v>0</v>
      </c>
      <c r="W19" s="3">
        <f t="shared" si="1"/>
        <v>0</v>
      </c>
      <c r="X19" s="3">
        <f t="shared" si="1"/>
        <v>0</v>
      </c>
      <c r="Y19" s="3">
        <f t="shared" si="1"/>
        <v>0</v>
      </c>
      <c r="Z19" s="3">
        <f t="shared" si="1"/>
        <v>0</v>
      </c>
      <c r="AA19" s="3">
        <f t="shared" si="1"/>
        <v>0</v>
      </c>
      <c r="AB19" s="3">
        <f t="shared" si="1"/>
        <v>0</v>
      </c>
      <c r="AC19" s="3">
        <f t="shared" si="1"/>
        <v>0</v>
      </c>
      <c r="AD19" s="3">
        <f t="shared" si="1"/>
        <v>0</v>
      </c>
      <c r="AE19" s="3">
        <f t="shared" si="1"/>
        <v>447421</v>
      </c>
      <c r="AF19" s="3">
        <f t="shared" si="1"/>
        <v>0</v>
      </c>
      <c r="AG19" s="3">
        <f t="shared" si="1"/>
        <v>0</v>
      </c>
      <c r="AH19" s="3">
        <f t="shared" si="1"/>
        <v>0</v>
      </c>
      <c r="AI19" s="3">
        <f t="shared" si="1"/>
        <v>0</v>
      </c>
      <c r="AJ19" s="3">
        <f t="shared" si="1"/>
        <v>0</v>
      </c>
      <c r="AK19" s="72">
        <f>SUM(AK6:AK17)</f>
        <v>447421</v>
      </c>
      <c r="AL19" s="22">
        <f>+D20-AK19</f>
        <v>929625</v>
      </c>
      <c r="AM19" s="6" t="s">
        <v>13</v>
      </c>
    </row>
    <row r="20" spans="1:41" x14ac:dyDescent="0.35">
      <c r="A20" s="2" t="s">
        <v>1780</v>
      </c>
      <c r="B20" t="s">
        <v>13</v>
      </c>
      <c r="C20" s="3" t="s">
        <v>13</v>
      </c>
      <c r="D20" s="3">
        <f>SUM(D6:D17)</f>
        <v>1377046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41" x14ac:dyDescent="0.35">
      <c r="A21" s="2"/>
      <c r="C21" s="3"/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41" x14ac:dyDescent="0.35">
      <c r="A22" s="2" t="s">
        <v>2</v>
      </c>
      <c r="C22" t="s">
        <v>13</v>
      </c>
      <c r="F22" s="3"/>
      <c r="G22" s="3"/>
      <c r="H22" s="3"/>
      <c r="I22" s="3"/>
      <c r="J22" s="3"/>
      <c r="K22" s="3"/>
      <c r="L22" s="3" t="s">
        <v>13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41" ht="15" thickBot="1" x14ac:dyDescent="0.4">
      <c r="A23" s="404">
        <v>45178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41" x14ac:dyDescent="0.35">
      <c r="A24" s="358" t="s">
        <v>1008</v>
      </c>
      <c r="B24" s="37" t="s">
        <v>337</v>
      </c>
      <c r="C24" s="38"/>
      <c r="D24" s="39">
        <v>2400000</v>
      </c>
      <c r="E24" s="40"/>
      <c r="F24" s="3"/>
      <c r="G24" s="3"/>
      <c r="H24" s="3" t="s">
        <v>13</v>
      </c>
      <c r="I24" s="3" t="s">
        <v>13</v>
      </c>
      <c r="J24" s="3"/>
      <c r="K24" s="3"/>
      <c r="L24" s="3"/>
      <c r="M24" s="3"/>
      <c r="N24" s="3"/>
      <c r="O24" s="3"/>
      <c r="P24" s="3" t="s">
        <v>13</v>
      </c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</row>
    <row r="25" spans="1:41" x14ac:dyDescent="0.35">
      <c r="A25" s="41" t="s">
        <v>2335</v>
      </c>
      <c r="B25" t="s">
        <v>337</v>
      </c>
      <c r="C25" s="5" t="s">
        <v>13</v>
      </c>
      <c r="D25" s="3">
        <v>121168.86000000002</v>
      </c>
      <c r="E25" s="42" t="s">
        <v>503</v>
      </c>
      <c r="F25" s="3" t="s">
        <v>13</v>
      </c>
      <c r="G25" s="3"/>
      <c r="H25" s="3"/>
      <c r="I25" s="3"/>
      <c r="K25" s="3"/>
      <c r="L25" s="3" t="s">
        <v>13</v>
      </c>
      <c r="M25" s="3" t="s">
        <v>13</v>
      </c>
      <c r="N25" s="3"/>
      <c r="O25" s="3"/>
      <c r="P25" s="3" t="s">
        <v>13</v>
      </c>
      <c r="Q25" s="3">
        <v>121168.86000000002</v>
      </c>
      <c r="R25" s="3" t="s">
        <v>13</v>
      </c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G25" s="3" t="s">
        <v>13</v>
      </c>
      <c r="AH25" s="3"/>
      <c r="AI25" s="3" t="s">
        <v>13</v>
      </c>
      <c r="AK25" s="3">
        <f>SUM($F25:AJ25)</f>
        <v>121168.86000000002</v>
      </c>
    </row>
    <row r="26" spans="1:41" x14ac:dyDescent="0.35">
      <c r="A26" s="343" t="s">
        <v>2360</v>
      </c>
      <c r="B26" s="24"/>
      <c r="C26" s="5" t="s">
        <v>13</v>
      </c>
      <c r="D26" s="3">
        <v>13905</v>
      </c>
      <c r="E26" s="344" t="s">
        <v>503</v>
      </c>
      <c r="F26" s="3"/>
      <c r="G26" s="3"/>
      <c r="H26" s="3"/>
      <c r="I26" s="3"/>
      <c r="J26" s="3">
        <v>13905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f>SUM($F26:AJ26)</f>
        <v>13905</v>
      </c>
      <c r="AL26" s="6" t="s">
        <v>1557</v>
      </c>
      <c r="AN26" s="26"/>
      <c r="AO26" s="3"/>
    </row>
    <row r="27" spans="1:41" x14ac:dyDescent="0.35">
      <c r="A27" s="343" t="s">
        <v>2126</v>
      </c>
      <c r="B27" s="24"/>
      <c r="C27" s="5" t="s">
        <v>13</v>
      </c>
      <c r="D27" s="3">
        <v>5499</v>
      </c>
      <c r="E27" s="344" t="s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f>SUM($F27:AJ27)</f>
        <v>0</v>
      </c>
      <c r="AL27" s="6" t="s">
        <v>81</v>
      </c>
      <c r="AN27" s="26"/>
      <c r="AO27" s="3"/>
    </row>
    <row r="28" spans="1:41" x14ac:dyDescent="0.35">
      <c r="A28" s="343" t="s">
        <v>2361</v>
      </c>
      <c r="B28" s="24"/>
      <c r="C28" s="5"/>
      <c r="D28" s="3" t="s">
        <v>13</v>
      </c>
      <c r="E28" s="344" t="s">
        <v>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 t="s">
        <v>13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f>SUM($F28:AJ28)</f>
        <v>0</v>
      </c>
      <c r="AN28" s="26"/>
      <c r="AO28" s="3"/>
    </row>
    <row r="29" spans="1:41" x14ac:dyDescent="0.35">
      <c r="A29" s="343" t="s">
        <v>2365</v>
      </c>
      <c r="B29" s="24"/>
      <c r="C29" s="5"/>
      <c r="D29" s="3">
        <v>7000</v>
      </c>
      <c r="E29" s="344" t="s">
        <v>503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v>7000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f>SUM($F29:AJ29)</f>
        <v>7000</v>
      </c>
      <c r="AN29" s="26"/>
      <c r="AO29" s="3"/>
    </row>
    <row r="30" spans="1:41" x14ac:dyDescent="0.35">
      <c r="A30" s="343" t="s">
        <v>2366</v>
      </c>
      <c r="B30" s="24"/>
      <c r="C30" s="5"/>
      <c r="D30" s="3">
        <v>30000</v>
      </c>
      <c r="E30" s="344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0</v>
      </c>
      <c r="AN30" s="26"/>
      <c r="AO30" s="3"/>
    </row>
    <row r="31" spans="1:41" x14ac:dyDescent="0.35">
      <c r="A31" s="41" t="s">
        <v>2388</v>
      </c>
      <c r="B31" t="s">
        <v>2389</v>
      </c>
      <c r="C31" s="5">
        <v>45326</v>
      </c>
      <c r="D31" s="3">
        <v>12990</v>
      </c>
      <c r="E31" s="344" t="s"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0</v>
      </c>
      <c r="AN31" s="26"/>
      <c r="AO31" s="3"/>
    </row>
    <row r="32" spans="1:41" x14ac:dyDescent="0.35">
      <c r="A32" s="343" t="s">
        <v>1161</v>
      </c>
      <c r="B32" s="24" t="s">
        <v>2367</v>
      </c>
      <c r="C32" s="5">
        <v>45335</v>
      </c>
      <c r="D32" s="3">
        <v>17400</v>
      </c>
      <c r="E32" s="344" t="s">
        <v>1704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v>17400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17400</v>
      </c>
      <c r="AN32" s="26"/>
      <c r="AO32" s="3"/>
    </row>
    <row r="33" spans="1:43" x14ac:dyDescent="0.35">
      <c r="A33" s="343" t="s">
        <v>2368</v>
      </c>
      <c r="B33" s="24" t="s">
        <v>2369</v>
      </c>
      <c r="C33" s="5">
        <v>45335</v>
      </c>
      <c r="D33" s="3">
        <v>37985</v>
      </c>
      <c r="E33" s="344" t="s">
        <v>503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v>37985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37985</v>
      </c>
      <c r="AN33" s="26"/>
      <c r="AO33" s="3"/>
    </row>
    <row r="34" spans="1:43" x14ac:dyDescent="0.35">
      <c r="A34" s="41" t="s">
        <v>2390</v>
      </c>
      <c r="B34" t="s">
        <v>2391</v>
      </c>
      <c r="C34" s="5">
        <v>45336</v>
      </c>
      <c r="D34" s="3">
        <v>6990</v>
      </c>
      <c r="E34" s="344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0</v>
      </c>
      <c r="AN34" s="26"/>
      <c r="AO34" s="3"/>
    </row>
    <row r="35" spans="1:43" x14ac:dyDescent="0.35">
      <c r="A35" s="343" t="s">
        <v>2370</v>
      </c>
      <c r="B35" s="24"/>
      <c r="C35" s="5">
        <v>45338</v>
      </c>
      <c r="D35" s="3">
        <v>70170</v>
      </c>
      <c r="E35" s="344" t="s">
        <v>503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70170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70170</v>
      </c>
      <c r="AN35" s="26"/>
      <c r="AO35" s="3"/>
    </row>
    <row r="36" spans="1:43" x14ac:dyDescent="0.35">
      <c r="A36" s="343" t="s">
        <v>1792</v>
      </c>
      <c r="B36" s="24"/>
      <c r="C36" s="5">
        <v>45337</v>
      </c>
      <c r="D36" s="3">
        <f>66*2*1290/9+6000</f>
        <v>24920</v>
      </c>
      <c r="E36" s="34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0</v>
      </c>
      <c r="AN36" s="26"/>
      <c r="AO36" s="3"/>
    </row>
    <row r="37" spans="1:43" x14ac:dyDescent="0.35">
      <c r="A37" s="343" t="s">
        <v>2371</v>
      </c>
      <c r="B37" s="24" t="s">
        <v>1758</v>
      </c>
      <c r="C37" s="5">
        <v>45337</v>
      </c>
      <c r="D37" s="3">
        <f>240*400*1.19</f>
        <v>114240</v>
      </c>
      <c r="E37" s="344" t="s">
        <v>503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>240*400*1.19</f>
        <v>114240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114240</v>
      </c>
      <c r="AN37" s="26"/>
      <c r="AO37" s="3"/>
    </row>
    <row r="38" spans="1:43" x14ac:dyDescent="0.35">
      <c r="A38" s="343" t="s">
        <v>2372</v>
      </c>
      <c r="B38" s="24"/>
      <c r="C38" s="5">
        <v>45349</v>
      </c>
      <c r="D38" s="3">
        <v>19903</v>
      </c>
      <c r="E38" s="344" t="s">
        <v>503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>
        <v>19903</v>
      </c>
      <c r="AG38" s="3"/>
      <c r="AH38" s="3"/>
      <c r="AI38" s="3"/>
      <c r="AJ38" s="3"/>
      <c r="AK38" s="3">
        <f>SUM($F38:AJ38)</f>
        <v>19903</v>
      </c>
      <c r="AN38" s="26"/>
      <c r="AO38" s="3"/>
    </row>
    <row r="39" spans="1:43" x14ac:dyDescent="0.35">
      <c r="A39" s="343"/>
      <c r="B39" s="24"/>
      <c r="C39" s="5"/>
      <c r="D39" s="3"/>
      <c r="E39" s="34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N39" s="26"/>
      <c r="AO39" s="3"/>
    </row>
    <row r="40" spans="1:43" ht="15" thickBot="1" x14ac:dyDescent="0.4">
      <c r="A40" s="43" t="s">
        <v>2378</v>
      </c>
      <c r="B40" s="76" t="s">
        <v>337</v>
      </c>
      <c r="C40" s="45">
        <v>45351</v>
      </c>
      <c r="D40" s="46">
        <f>+AK19*0.17</f>
        <v>76061.570000000007</v>
      </c>
      <c r="E40" s="47"/>
      <c r="F40" s="3"/>
      <c r="G40" s="3" t="s">
        <v>13</v>
      </c>
      <c r="H40" s="3" t="s">
        <v>13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L40" s="6" t="s">
        <v>1846</v>
      </c>
      <c r="AM40" s="6" t="s">
        <v>13</v>
      </c>
      <c r="AN40" s="26" t="s">
        <v>13</v>
      </c>
      <c r="AO40" s="3"/>
    </row>
    <row r="41" spans="1:43" x14ac:dyDescent="0.35">
      <c r="A41" s="3" t="s">
        <v>13</v>
      </c>
      <c r="B41" s="24"/>
      <c r="C41" s="236" t="s">
        <v>13</v>
      </c>
      <c r="D41" s="3"/>
      <c r="E41" s="15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13</v>
      </c>
      <c r="AL41" s="22"/>
      <c r="AO41" s="14" t="s">
        <v>1558</v>
      </c>
      <c r="AP41" s="15">
        <f>+SUMIF(AL26:AL40,"CD",D26:D40)/1.19</f>
        <v>0</v>
      </c>
      <c r="AQ41" s="15" t="e">
        <f>+AP41*#REF!/#REF!</f>
        <v>#REF!</v>
      </c>
    </row>
    <row r="42" spans="1:43" x14ac:dyDescent="0.35">
      <c r="A42" s="4"/>
      <c r="B42" s="24"/>
      <c r="C42" s="67"/>
      <c r="D42" s="3"/>
      <c r="E42" s="153"/>
      <c r="F42" s="3" t="s">
        <v>13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13</v>
      </c>
      <c r="AL42" s="22"/>
      <c r="AO42" s="14" t="s">
        <v>1559</v>
      </c>
      <c r="AP42" s="15" t="e">
        <f>+#REF!-AP41</f>
        <v>#REF!</v>
      </c>
      <c r="AQ42" s="15" t="e">
        <f>+#REF!-AQ41</f>
        <v>#REF!</v>
      </c>
    </row>
    <row r="43" spans="1:43" x14ac:dyDescent="0.35">
      <c r="A43" s="4"/>
      <c r="B43" s="24"/>
      <c r="C43" s="67"/>
      <c r="D43" s="3"/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13</v>
      </c>
      <c r="AL43" s="22"/>
      <c r="AO43" s="14" t="s">
        <v>1560</v>
      </c>
      <c r="AP43" s="327" t="e">
        <f>+AP42/#REF!</f>
        <v>#REF!</v>
      </c>
      <c r="AQ43" s="327" t="e">
        <f>+AQ42/#REF!</f>
        <v>#REF!</v>
      </c>
    </row>
    <row r="44" spans="1:43" x14ac:dyDescent="0.35">
      <c r="A44" s="4"/>
      <c r="B44" s="67"/>
      <c r="C44" s="236"/>
      <c r="E44" s="15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AJ44" s="3"/>
      <c r="AK44" s="3"/>
      <c r="AL44" s="22" t="s">
        <v>1388</v>
      </c>
      <c r="AM44" s="6" t="s">
        <v>1430</v>
      </c>
      <c r="AO44" s="14" t="s">
        <v>81</v>
      </c>
      <c r="AP44" s="15" t="e">
        <f>+SUMIF(AL26:AL40,"GAV",D26:D40)/1.19+SUMIF(#REF!,"REM",#REF!)</f>
        <v>#REF!</v>
      </c>
      <c r="AQ44" s="15" t="e">
        <f>+AP44*#REF!/#REF!</f>
        <v>#REF!</v>
      </c>
    </row>
    <row r="45" spans="1:43" x14ac:dyDescent="0.35">
      <c r="A45" s="2" t="s">
        <v>9</v>
      </c>
      <c r="D45" s="72">
        <f>SUM(D24:D43)-D24</f>
        <v>558232.4299999997</v>
      </c>
      <c r="F45" s="3">
        <f t="shared" ref="F45:AJ45" si="2">SUM(F24:F44)</f>
        <v>0</v>
      </c>
      <c r="G45" s="3">
        <f t="shared" si="2"/>
        <v>0</v>
      </c>
      <c r="H45" s="3">
        <f t="shared" si="2"/>
        <v>0</v>
      </c>
      <c r="I45" s="3">
        <f t="shared" si="2"/>
        <v>0</v>
      </c>
      <c r="J45" s="3">
        <f t="shared" si="2"/>
        <v>13905</v>
      </c>
      <c r="K45" s="3">
        <f t="shared" si="2"/>
        <v>0</v>
      </c>
      <c r="L45" s="3">
        <f t="shared" si="2"/>
        <v>0</v>
      </c>
      <c r="M45" s="3">
        <f t="shared" si="2"/>
        <v>0</v>
      </c>
      <c r="N45" s="3">
        <f t="shared" si="2"/>
        <v>0</v>
      </c>
      <c r="O45" s="3">
        <f t="shared" si="2"/>
        <v>0</v>
      </c>
      <c r="P45" s="3">
        <f t="shared" si="2"/>
        <v>7000</v>
      </c>
      <c r="Q45" s="3">
        <f t="shared" si="2"/>
        <v>121168.86000000002</v>
      </c>
      <c r="R45" s="3">
        <f t="shared" si="2"/>
        <v>55385</v>
      </c>
      <c r="S45" s="3">
        <f t="shared" si="2"/>
        <v>0</v>
      </c>
      <c r="T45" s="3">
        <f t="shared" si="2"/>
        <v>0</v>
      </c>
      <c r="U45" s="3">
        <f t="shared" si="2"/>
        <v>184410</v>
      </c>
      <c r="V45" s="3">
        <f t="shared" si="2"/>
        <v>0</v>
      </c>
      <c r="W45" s="3">
        <f t="shared" si="2"/>
        <v>0</v>
      </c>
      <c r="X45" s="3">
        <f t="shared" si="2"/>
        <v>0</v>
      </c>
      <c r="Y45" s="3">
        <f t="shared" si="2"/>
        <v>0</v>
      </c>
      <c r="Z45" s="3">
        <f t="shared" si="2"/>
        <v>0</v>
      </c>
      <c r="AA45" s="3">
        <f t="shared" si="2"/>
        <v>0</v>
      </c>
      <c r="AB45" s="3">
        <f t="shared" si="2"/>
        <v>0</v>
      </c>
      <c r="AC45" s="3">
        <f t="shared" si="2"/>
        <v>0</v>
      </c>
      <c r="AD45" s="3">
        <f t="shared" si="2"/>
        <v>0</v>
      </c>
      <c r="AE45" s="3">
        <f t="shared" si="2"/>
        <v>0</v>
      </c>
      <c r="AF45" s="3">
        <f t="shared" si="2"/>
        <v>19903</v>
      </c>
      <c r="AG45" s="3">
        <f t="shared" si="2"/>
        <v>0</v>
      </c>
      <c r="AH45" s="3">
        <f t="shared" si="2"/>
        <v>0</v>
      </c>
      <c r="AI45" s="3">
        <f t="shared" si="2"/>
        <v>0</v>
      </c>
      <c r="AJ45" s="3">
        <f t="shared" si="2"/>
        <v>0</v>
      </c>
      <c r="AK45" s="72">
        <f>SUM(AK24:AK43)-AK24</f>
        <v>401771.86</v>
      </c>
      <c r="AL45" s="324">
        <f>+D45-AK45</f>
        <v>156460.56999999972</v>
      </c>
      <c r="AM45" s="324" t="e">
        <f>+AJ46+AL19-AL45-1200000</f>
        <v>#VALUE!</v>
      </c>
      <c r="AO45" s="14" t="s">
        <v>1561</v>
      </c>
      <c r="AP45" s="15" t="e">
        <f>+AP42-AP44</f>
        <v>#REF!</v>
      </c>
      <c r="AQ45" s="15" t="e">
        <f>+AQ42-AQ44</f>
        <v>#REF!</v>
      </c>
    </row>
    <row r="46" spans="1:43" x14ac:dyDescent="0.35">
      <c r="A46" t="s">
        <v>8</v>
      </c>
      <c r="F46" s="3">
        <f t="shared" ref="F46:AH46" si="3">+F19+F3-F45</f>
        <v>1259640.6448390847</v>
      </c>
      <c r="G46" s="3">
        <f t="shared" si="3"/>
        <v>1259640.6448390847</v>
      </c>
      <c r="H46" s="3">
        <f t="shared" si="3"/>
        <v>1259640.6448390847</v>
      </c>
      <c r="I46" s="3">
        <f t="shared" si="3"/>
        <v>1259640.6448390847</v>
      </c>
      <c r="J46" s="3">
        <f t="shared" si="3"/>
        <v>1245735.6448390847</v>
      </c>
      <c r="K46" s="3">
        <f t="shared" si="3"/>
        <v>1245735.6448390847</v>
      </c>
      <c r="L46" s="3">
        <f t="shared" si="3"/>
        <v>1245735.6448390847</v>
      </c>
      <c r="M46" s="3">
        <f t="shared" si="3"/>
        <v>1245735.6448390847</v>
      </c>
      <c r="N46" s="3">
        <f t="shared" si="3"/>
        <v>1245735.6448390847</v>
      </c>
      <c r="O46" s="3">
        <f t="shared" si="3"/>
        <v>1245735.6448390847</v>
      </c>
      <c r="P46" s="3">
        <f t="shared" si="3"/>
        <v>1238735.6448390847</v>
      </c>
      <c r="Q46" s="3">
        <f t="shared" si="3"/>
        <v>1117566.7848390846</v>
      </c>
      <c r="R46" s="3">
        <f t="shared" si="3"/>
        <v>1062181.7848390846</v>
      </c>
      <c r="S46" s="3">
        <f t="shared" si="3"/>
        <v>1062181.7848390846</v>
      </c>
      <c r="T46" s="3">
        <f t="shared" si="3"/>
        <v>1062181.7848390846</v>
      </c>
      <c r="U46" s="3">
        <f t="shared" si="3"/>
        <v>877771.7848390846</v>
      </c>
      <c r="V46" s="3">
        <f t="shared" si="3"/>
        <v>877771.7848390846</v>
      </c>
      <c r="W46" s="3">
        <f t="shared" si="3"/>
        <v>877771.7848390846</v>
      </c>
      <c r="X46" s="3">
        <f t="shared" si="3"/>
        <v>877771.7848390846</v>
      </c>
      <c r="Y46" s="3">
        <f t="shared" si="3"/>
        <v>877771.7848390846</v>
      </c>
      <c r="Z46" s="3">
        <f t="shared" si="3"/>
        <v>877771.7848390846</v>
      </c>
      <c r="AA46" s="3">
        <f t="shared" si="3"/>
        <v>877771.7848390846</v>
      </c>
      <c r="AB46" s="3">
        <f t="shared" si="3"/>
        <v>877771.7848390846</v>
      </c>
      <c r="AC46" s="3">
        <f t="shared" si="3"/>
        <v>877771.7848390846</v>
      </c>
      <c r="AD46" s="3">
        <f t="shared" si="3"/>
        <v>877771.7848390846</v>
      </c>
      <c r="AE46" s="3">
        <f t="shared" si="3"/>
        <v>1325192.7848390846</v>
      </c>
      <c r="AF46" s="3">
        <f t="shared" si="3"/>
        <v>1305289.7848390846</v>
      </c>
      <c r="AG46" s="3">
        <f t="shared" si="3"/>
        <v>1305289.7848390846</v>
      </c>
      <c r="AH46" s="3">
        <f t="shared" si="3"/>
        <v>1305289.7848390846</v>
      </c>
      <c r="AI46" s="3" t="s">
        <v>13</v>
      </c>
      <c r="AJ46" s="3" t="s">
        <v>13</v>
      </c>
      <c r="AK46" s="3" t="s">
        <v>13</v>
      </c>
      <c r="AM46" s="22" t="s">
        <v>13</v>
      </c>
      <c r="AO46" s="14" t="s">
        <v>1563</v>
      </c>
      <c r="AP46" s="15">
        <f>+SUMIF(AL26:AL40,"GF",D26:D40)</f>
        <v>13905</v>
      </c>
      <c r="AQ46" s="15">
        <v>0</v>
      </c>
    </row>
    <row r="47" spans="1:43" x14ac:dyDescent="0.35">
      <c r="F47" s="3"/>
      <c r="G47" s="3"/>
      <c r="H47" s="3"/>
      <c r="I47" s="3" t="s">
        <v>13</v>
      </c>
      <c r="J47" s="3"/>
      <c r="K47" s="3" t="s">
        <v>13</v>
      </c>
      <c r="L47" s="3"/>
      <c r="M47" s="3"/>
      <c r="N47" s="3"/>
      <c r="O47" s="3"/>
      <c r="P47" s="3" t="s">
        <v>13</v>
      </c>
      <c r="Q47" s="3"/>
      <c r="R47" s="3"/>
      <c r="S47" s="3"/>
      <c r="T47" s="3" t="s">
        <v>13</v>
      </c>
      <c r="U47" s="3"/>
      <c r="V47" s="3"/>
      <c r="W47" s="3"/>
      <c r="Y47" s="3" t="s">
        <v>13</v>
      </c>
      <c r="Z47" s="3" t="s">
        <v>13</v>
      </c>
      <c r="AA47" s="3" t="s">
        <v>13</v>
      </c>
      <c r="AB47" s="3" t="s">
        <v>13</v>
      </c>
      <c r="AO47" s="14" t="s">
        <v>82</v>
      </c>
      <c r="AP47" s="15">
        <v>0</v>
      </c>
      <c r="AQ47" s="15">
        <f>+SUMIF(AL26:AL40,"AF",D26:D40)/1.19</f>
        <v>0</v>
      </c>
    </row>
    <row r="48" spans="1:43" ht="15" thickBot="1" x14ac:dyDescent="0.4">
      <c r="F48" s="3" t="s">
        <v>13</v>
      </c>
      <c r="G48" s="3" t="s">
        <v>13</v>
      </c>
      <c r="H48" s="3" t="s">
        <v>13</v>
      </c>
      <c r="I48" s="3"/>
      <c r="J48" s="3"/>
      <c r="K48" s="3"/>
      <c r="L48" s="3"/>
      <c r="M48" s="3"/>
      <c r="N48" s="3"/>
      <c r="O48" s="3"/>
      <c r="P48" s="3" t="s">
        <v>13</v>
      </c>
      <c r="Q48" s="3" t="s">
        <v>13</v>
      </c>
      <c r="R48" s="3" t="s">
        <v>13</v>
      </c>
      <c r="S48" s="3"/>
      <c r="T48" s="3"/>
      <c r="U48" s="3" t="s">
        <v>13</v>
      </c>
      <c r="V48" s="3"/>
      <c r="W48" s="3"/>
      <c r="AB48" s="3" t="s">
        <v>13</v>
      </c>
      <c r="AG48" s="3" t="s">
        <v>13</v>
      </c>
      <c r="AJ48" s="3" t="s">
        <v>13</v>
      </c>
      <c r="AO48" s="16"/>
      <c r="AP48" s="19" t="e">
        <f>+AP45-AP46-AP47</f>
        <v>#REF!</v>
      </c>
      <c r="AQ48" s="19" t="e">
        <f>+AQ45-AQ46-AQ47</f>
        <v>#REF!</v>
      </c>
    </row>
    <row r="49" spans="1:43" x14ac:dyDescent="0.35">
      <c r="A49" t="s">
        <v>2163</v>
      </c>
      <c r="B49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49" s="3" t="e">
        <f>+B49*0.16</f>
        <v>#REF!</v>
      </c>
      <c r="E49" s="6" t="s">
        <v>13</v>
      </c>
      <c r="F49" s="3"/>
      <c r="G49" s="3" t="s">
        <v>13</v>
      </c>
      <c r="H49" s="3" t="s">
        <v>13</v>
      </c>
      <c r="I49" s="3"/>
      <c r="J49" s="3"/>
      <c r="K49" s="3"/>
      <c r="L49" s="3"/>
      <c r="M49" s="3"/>
      <c r="N49" s="3"/>
      <c r="O49" s="3"/>
      <c r="W49" s="3"/>
      <c r="AB49" s="3" t="s">
        <v>13</v>
      </c>
      <c r="AG49" s="3" t="s">
        <v>13</v>
      </c>
      <c r="AJ49" s="3" t="s">
        <v>13</v>
      </c>
      <c r="AO49" t="s">
        <v>1961</v>
      </c>
      <c r="AP49" s="26" t="e">
        <f ca="1">+AP$48+'May-23'!AP82</f>
        <v>#REF!</v>
      </c>
      <c r="AQ49" s="3" t="e">
        <f ca="1">+AQ$48+'May-23'!AQ82</f>
        <v>#REF!</v>
      </c>
    </row>
    <row r="50" spans="1:43" x14ac:dyDescent="0.35">
      <c r="F50" s="3"/>
      <c r="G50" s="3" t="s">
        <v>13</v>
      </c>
      <c r="H50" s="3"/>
      <c r="I50" s="3"/>
      <c r="J50" s="3"/>
      <c r="K50" s="3"/>
      <c r="L50" s="3"/>
      <c r="M50" s="3"/>
      <c r="N50" s="3"/>
      <c r="O50" s="3"/>
      <c r="W50" s="3" t="s">
        <v>13</v>
      </c>
      <c r="AB50" s="3" t="s">
        <v>13</v>
      </c>
      <c r="AD50" t="s">
        <v>2296</v>
      </c>
      <c r="AE50">
        <v>2</v>
      </c>
      <c r="AG50" s="3" t="s">
        <v>13</v>
      </c>
      <c r="AJ50" s="3" t="s">
        <v>13</v>
      </c>
      <c r="AO50" t="s">
        <v>1960</v>
      </c>
      <c r="AP50" s="26" t="e">
        <f ca="1">+AP$48+'May-23'!AP83</f>
        <v>#REF!</v>
      </c>
      <c r="AQ50" s="3" t="e">
        <f ca="1">+AQ$48+'May-23'!AQ83</f>
        <v>#REF!</v>
      </c>
    </row>
    <row r="51" spans="1:43" x14ac:dyDescent="0.35">
      <c r="A51" t="s">
        <v>13</v>
      </c>
      <c r="F51" s="3" t="s">
        <v>13</v>
      </c>
      <c r="G51" s="3" t="s">
        <v>13</v>
      </c>
      <c r="H51" s="3"/>
      <c r="I51" s="3"/>
      <c r="J51" s="3"/>
      <c r="K51" s="3"/>
      <c r="L51" s="3"/>
      <c r="M51" s="3">
        <v>538500</v>
      </c>
      <c r="N51" s="3"/>
      <c r="O51" s="3"/>
      <c r="W51" s="3"/>
      <c r="AB51" s="3" t="s">
        <v>13</v>
      </c>
      <c r="AD51" t="s">
        <v>2297</v>
      </c>
      <c r="AG51" s="3" t="s">
        <v>13</v>
      </c>
      <c r="AJ51" s="3" t="s">
        <v>13</v>
      </c>
    </row>
    <row r="52" spans="1:43" x14ac:dyDescent="0.35">
      <c r="B52" t="s">
        <v>13</v>
      </c>
      <c r="F52" s="3" t="s">
        <v>13</v>
      </c>
      <c r="G52" s="3" t="s">
        <v>13</v>
      </c>
      <c r="H52" s="3"/>
      <c r="I52" s="3"/>
      <c r="J52" s="3"/>
      <c r="K52" s="3"/>
      <c r="L52" s="3" t="s">
        <v>13</v>
      </c>
      <c r="M52" s="3">
        <v>682100</v>
      </c>
      <c r="N52" s="3"/>
      <c r="O52" s="3"/>
      <c r="W52" s="3"/>
      <c r="AB52" s="3" t="s">
        <v>13</v>
      </c>
      <c r="AG52" s="3" t="s">
        <v>13</v>
      </c>
      <c r="AJ52" s="3" t="s">
        <v>13</v>
      </c>
      <c r="AL52"/>
      <c r="AM52"/>
    </row>
    <row r="53" spans="1:43" x14ac:dyDescent="0.35">
      <c r="F53" s="3"/>
      <c r="G53" s="3" t="s">
        <v>13</v>
      </c>
      <c r="H53" s="3"/>
      <c r="I53" s="3"/>
      <c r="J53" s="3"/>
      <c r="K53" s="3"/>
      <c r="L53" s="3"/>
      <c r="M53" s="3">
        <f>SUM(M51:M52)</f>
        <v>1220600</v>
      </c>
      <c r="AG53" s="3" t="s">
        <v>13</v>
      </c>
      <c r="AJ53" s="3" t="s">
        <v>13</v>
      </c>
      <c r="AL53"/>
      <c r="AM53"/>
    </row>
    <row r="54" spans="1:43" x14ac:dyDescent="0.35">
      <c r="F54" s="3"/>
      <c r="G54" s="3" t="s">
        <v>13</v>
      </c>
      <c r="H54" s="3"/>
      <c r="I54" s="3"/>
      <c r="J54" s="3"/>
      <c r="K54" s="3"/>
      <c r="L54" s="3"/>
      <c r="AB54" t="s">
        <v>13</v>
      </c>
      <c r="AG54" s="3" t="s">
        <v>13</v>
      </c>
      <c r="AJ54" s="3" t="s">
        <v>13</v>
      </c>
      <c r="AL54"/>
      <c r="AM54"/>
      <c r="AQ54" t="s">
        <v>13</v>
      </c>
    </row>
    <row r="55" spans="1:43" x14ac:dyDescent="0.35">
      <c r="F55" s="3"/>
      <c r="G55" s="3" t="s">
        <v>13</v>
      </c>
      <c r="H55" s="3"/>
      <c r="I55" s="3"/>
      <c r="J55" s="3"/>
      <c r="K55" s="3"/>
      <c r="L55" s="3"/>
      <c r="AG55" s="3" t="s">
        <v>13</v>
      </c>
      <c r="AJ55" s="3" t="s">
        <v>13</v>
      </c>
      <c r="AL55"/>
      <c r="AM55"/>
    </row>
    <row r="56" spans="1:43" x14ac:dyDescent="0.35">
      <c r="F56" s="3"/>
      <c r="G56" s="3" t="s">
        <v>13</v>
      </c>
      <c r="H56" s="3"/>
      <c r="I56" s="3"/>
      <c r="J56" s="3"/>
      <c r="K56" s="3"/>
      <c r="L56" s="3"/>
      <c r="AG56" s="3" t="s">
        <v>13</v>
      </c>
      <c r="AJ56" s="3" t="s">
        <v>13</v>
      </c>
      <c r="AL56"/>
      <c r="AM56"/>
    </row>
    <row r="57" spans="1:43" x14ac:dyDescent="0.35">
      <c r="F57" s="3"/>
      <c r="G57" s="3" t="s">
        <v>13</v>
      </c>
      <c r="H57" s="3"/>
      <c r="I57" s="3"/>
      <c r="J57" s="3"/>
      <c r="K57" s="3"/>
      <c r="L57" s="3"/>
      <c r="AG57" s="3" t="s">
        <v>13</v>
      </c>
      <c r="AJ57" s="3" t="s">
        <v>13</v>
      </c>
      <c r="AL57"/>
      <c r="AM57"/>
    </row>
    <row r="58" spans="1:43" x14ac:dyDescent="0.35">
      <c r="B58" t="s">
        <v>13</v>
      </c>
      <c r="F58" s="3"/>
      <c r="G58" s="3" t="s">
        <v>13</v>
      </c>
      <c r="H58" s="3"/>
      <c r="I58" s="3"/>
      <c r="J58" s="3"/>
      <c r="K58" s="3"/>
      <c r="L58" s="3"/>
      <c r="AG58" s="3" t="s">
        <v>13</v>
      </c>
      <c r="AJ58" s="3" t="s">
        <v>13</v>
      </c>
      <c r="AL58"/>
      <c r="AM58"/>
    </row>
    <row r="59" spans="1:43" x14ac:dyDescent="0.35">
      <c r="B59" t="s">
        <v>13</v>
      </c>
      <c r="F59" s="3"/>
      <c r="G59" s="3" t="s">
        <v>13</v>
      </c>
      <c r="H59" s="3"/>
      <c r="I59" s="3"/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F60" s="3"/>
      <c r="G60" s="3" t="s">
        <v>13</v>
      </c>
      <c r="H60" s="3"/>
      <c r="I60" s="3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F61" s="3"/>
      <c r="G61" s="3" t="s">
        <v>13</v>
      </c>
      <c r="H61" s="3"/>
      <c r="I61" s="3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3" t="s">
        <v>13</v>
      </c>
      <c r="H62" s="3"/>
      <c r="I62" s="3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3" t="s">
        <v>13</v>
      </c>
      <c r="H63" s="3"/>
      <c r="I63" s="3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L67"/>
      <c r="AM67"/>
    </row>
    <row r="68" spans="2:39" x14ac:dyDescent="0.35">
      <c r="B68" t="s">
        <v>13</v>
      </c>
      <c r="E68"/>
      <c r="AL68"/>
      <c r="AM68"/>
    </row>
    <row r="69" spans="2:39" x14ac:dyDescent="0.35">
      <c r="B69" t="s">
        <v>13</v>
      </c>
      <c r="E69"/>
      <c r="AL69"/>
      <c r="AM69"/>
    </row>
    <row r="70" spans="2:39" x14ac:dyDescent="0.35">
      <c r="B70" t="s">
        <v>13</v>
      </c>
      <c r="E70"/>
      <c r="AL70"/>
      <c r="AM70"/>
    </row>
    <row r="71" spans="2:39" x14ac:dyDescent="0.35">
      <c r="B71" t="s">
        <v>13</v>
      </c>
      <c r="E71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F8FDE-C7B7-4571-A079-4CA424C7E32F}">
  <dimension ref="A1:AQ102"/>
  <sheetViews>
    <sheetView zoomScale="83" zoomScaleNormal="83" workbookViewId="0">
      <pane xSplit="5" ySplit="3" topLeftCell="AI21" activePane="bottomRight" state="frozen"/>
      <selection pane="topRight" activeCell="F1" sqref="F1"/>
      <selection pane="bottomLeft" activeCell="A4" sqref="A4"/>
      <selection pane="bottomRight" activeCell="AK27" sqref="AK27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45352</v>
      </c>
      <c r="G2" s="1">
        <v>45353</v>
      </c>
      <c r="H2" s="1">
        <v>45354</v>
      </c>
      <c r="I2" s="1">
        <v>45355</v>
      </c>
      <c r="J2" s="1">
        <v>45356</v>
      </c>
      <c r="K2" s="1">
        <v>45357</v>
      </c>
      <c r="L2" s="1">
        <v>45358</v>
      </c>
      <c r="M2" s="1">
        <v>45359</v>
      </c>
      <c r="N2" s="1">
        <v>45360</v>
      </c>
      <c r="O2" s="1">
        <v>45361</v>
      </c>
      <c r="P2" s="1">
        <v>45362</v>
      </c>
      <c r="Q2" s="1">
        <v>45363</v>
      </c>
      <c r="R2" s="1">
        <v>45364</v>
      </c>
      <c r="S2" s="1">
        <v>45365</v>
      </c>
      <c r="T2" s="1">
        <v>45366</v>
      </c>
      <c r="U2" s="1">
        <v>45367</v>
      </c>
      <c r="V2" s="1">
        <v>45368</v>
      </c>
      <c r="W2" s="1">
        <v>45369</v>
      </c>
      <c r="X2" s="1">
        <v>45370</v>
      </c>
      <c r="Y2" s="1">
        <v>45371</v>
      </c>
      <c r="Z2" s="1">
        <v>45372</v>
      </c>
      <c r="AA2" s="1">
        <v>45373</v>
      </c>
      <c r="AB2" s="1">
        <v>45374</v>
      </c>
      <c r="AC2" s="1">
        <v>45375</v>
      </c>
      <c r="AD2" s="1">
        <v>45376</v>
      </c>
      <c r="AE2" s="1">
        <v>45377</v>
      </c>
      <c r="AF2" s="1">
        <v>45378</v>
      </c>
      <c r="AG2" s="1">
        <v>45379</v>
      </c>
      <c r="AH2" s="1">
        <v>45380</v>
      </c>
      <c r="AI2" s="1">
        <v>45381</v>
      </c>
      <c r="AJ2" s="1">
        <v>45382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+'Feb-24'!AH46</f>
        <v>1305289.7848390846</v>
      </c>
      <c r="G3" s="3">
        <f t="shared" ref="G3:AJ3" si="0">+F48</f>
        <v>1305289.7848390846</v>
      </c>
      <c r="H3" s="3">
        <f t="shared" si="0"/>
        <v>1229228.2148390845</v>
      </c>
      <c r="I3" s="3">
        <f t="shared" si="0"/>
        <v>1229228.2148390845</v>
      </c>
      <c r="J3" s="3">
        <f t="shared" si="0"/>
        <v>1229228.2148390845</v>
      </c>
      <c r="K3" s="3">
        <f t="shared" si="0"/>
        <v>1215323.2148390845</v>
      </c>
      <c r="L3" s="3">
        <f t="shared" si="0"/>
        <v>1215323.2148390845</v>
      </c>
      <c r="M3" s="3">
        <f t="shared" si="0"/>
        <v>1192323.2148390845</v>
      </c>
      <c r="N3" s="3">
        <f t="shared" si="0"/>
        <v>1449368.2148390845</v>
      </c>
      <c r="O3" s="3">
        <f t="shared" si="0"/>
        <v>1449368.2148390845</v>
      </c>
      <c r="P3" s="3">
        <f t="shared" si="0"/>
        <v>1449368.2148390845</v>
      </c>
      <c r="Q3" s="3">
        <f t="shared" si="0"/>
        <v>1449368.2148390845</v>
      </c>
      <c r="R3" s="3">
        <f t="shared" si="0"/>
        <v>1435328.2148390845</v>
      </c>
      <c r="S3" s="3">
        <f t="shared" si="0"/>
        <v>1435328.2148390845</v>
      </c>
      <c r="T3" s="3">
        <f t="shared" si="0"/>
        <v>1435328.2148390845</v>
      </c>
      <c r="U3" s="3">
        <f t="shared" si="0"/>
        <v>1414042.2148390845</v>
      </c>
      <c r="V3" s="3">
        <f t="shared" si="0"/>
        <v>1414042.2148390845</v>
      </c>
      <c r="W3" s="3">
        <f t="shared" si="0"/>
        <v>1414042.2148390845</v>
      </c>
      <c r="X3" s="3">
        <f t="shared" si="0"/>
        <v>1414042.2148390845</v>
      </c>
      <c r="Y3" s="3">
        <f t="shared" si="0"/>
        <v>1414042.2148390845</v>
      </c>
      <c r="Z3" s="3">
        <f t="shared" si="0"/>
        <v>1414042.2148390845</v>
      </c>
      <c r="AA3" s="3">
        <f t="shared" si="0"/>
        <v>1414042.2148390845</v>
      </c>
      <c r="AB3" s="3">
        <f t="shared" si="0"/>
        <v>1799618.2148390845</v>
      </c>
      <c r="AC3" s="3">
        <f t="shared" si="0"/>
        <v>1799618.2148390845</v>
      </c>
      <c r="AD3" s="3">
        <f t="shared" si="0"/>
        <v>1799618.2148390845</v>
      </c>
      <c r="AE3" s="3">
        <f t="shared" si="0"/>
        <v>1788118.2148390845</v>
      </c>
      <c r="AF3" s="3">
        <f t="shared" si="0"/>
        <v>1788118.2148390845</v>
      </c>
      <c r="AG3" s="3">
        <f t="shared" si="0"/>
        <v>1788118.2148390845</v>
      </c>
      <c r="AH3" s="3">
        <f>+AG48</f>
        <v>1788118.2148390845</v>
      </c>
      <c r="AI3" s="3">
        <f t="shared" si="0"/>
        <v>1788118.2148390845</v>
      </c>
      <c r="AJ3" s="3">
        <f t="shared" si="0"/>
        <v>1788118.2148390845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41" t="s">
        <v>2293</v>
      </c>
      <c r="B6" t="s">
        <v>2294</v>
      </c>
      <c r="C6" s="5">
        <v>45214</v>
      </c>
      <c r="D6" s="3">
        <v>87189</v>
      </c>
      <c r="E6" s="42" t="s">
        <v>782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2305</v>
      </c>
      <c r="B7" t="s">
        <v>2306</v>
      </c>
      <c r="C7" s="5">
        <v>45225</v>
      </c>
      <c r="D7" s="3">
        <v>96114</v>
      </c>
      <c r="E7" s="42" t="s">
        <v>782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0</v>
      </c>
      <c r="AL7" s="22"/>
    </row>
    <row r="8" spans="1:39" x14ac:dyDescent="0.35">
      <c r="A8" s="41" t="s">
        <v>2311</v>
      </c>
      <c r="B8" t="s">
        <v>2312</v>
      </c>
      <c r="C8" s="5">
        <v>45239</v>
      </c>
      <c r="D8" s="3">
        <v>87189</v>
      </c>
      <c r="E8" s="42" t="s">
        <v>782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0</v>
      </c>
      <c r="AL8" s="22"/>
    </row>
    <row r="9" spans="1:39" x14ac:dyDescent="0.35">
      <c r="A9" s="41" t="s">
        <v>2314</v>
      </c>
      <c r="B9" t="s">
        <v>975</v>
      </c>
      <c r="C9" s="5">
        <v>45256</v>
      </c>
      <c r="D9" s="3">
        <v>87189</v>
      </c>
      <c r="E9" s="42" t="s">
        <v>782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0</v>
      </c>
      <c r="AL9" s="22"/>
    </row>
    <row r="10" spans="1:39" ht="15" thickBot="1" x14ac:dyDescent="0.4">
      <c r="A10" s="41" t="s">
        <v>2358</v>
      </c>
      <c r="B10" t="s">
        <v>2359</v>
      </c>
      <c r="C10" s="5">
        <v>45316</v>
      </c>
      <c r="D10" s="3">
        <v>169856</v>
      </c>
      <c r="E10" s="42" t="s">
        <v>2325</v>
      </c>
      <c r="F10" s="3"/>
      <c r="G10" s="3"/>
      <c r="H10" s="3"/>
      <c r="I10" s="3"/>
      <c r="J10" s="3"/>
      <c r="K10" s="3"/>
      <c r="L10" s="3"/>
      <c r="M10" s="3">
        <v>169856</v>
      </c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169856</v>
      </c>
      <c r="AL10" s="22"/>
    </row>
    <row r="11" spans="1:39" x14ac:dyDescent="0.35">
      <c r="A11" s="36" t="s">
        <v>2363</v>
      </c>
      <c r="B11" s="66" t="s">
        <v>2364</v>
      </c>
      <c r="C11" s="38">
        <v>45332</v>
      </c>
      <c r="D11" s="39">
        <v>87189</v>
      </c>
      <c r="E11" s="40" t="s">
        <v>2325</v>
      </c>
      <c r="F11" s="3"/>
      <c r="G11" s="3"/>
      <c r="H11" s="3"/>
      <c r="I11" s="3"/>
      <c r="J11" s="3"/>
      <c r="K11" s="3"/>
      <c r="L11" s="3"/>
      <c r="M11" s="3">
        <v>87189</v>
      </c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87189</v>
      </c>
      <c r="AL11" s="22"/>
    </row>
    <row r="12" spans="1:39" x14ac:dyDescent="0.35">
      <c r="A12" s="41" t="s">
        <v>2460</v>
      </c>
      <c r="B12" t="s">
        <v>2458</v>
      </c>
      <c r="C12" s="5">
        <v>45336</v>
      </c>
      <c r="D12" s="3">
        <v>87189</v>
      </c>
      <c r="E12" s="42" t="s">
        <v>2459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2376</v>
      </c>
      <c r="B13" t="s">
        <v>2377</v>
      </c>
      <c r="C13" s="5">
        <v>45343</v>
      </c>
      <c r="D13" s="3">
        <v>87189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>
        <v>87189</v>
      </c>
      <c r="AB13" s="3"/>
      <c r="AC13" s="3"/>
      <c r="AD13" s="3"/>
      <c r="AE13" s="3"/>
      <c r="AF13" s="3"/>
      <c r="AG13" s="3"/>
      <c r="AH13" s="3"/>
      <c r="AI13" s="3"/>
      <c r="AK13" s="3">
        <f>SUM($F13:AJ13)</f>
        <v>87189</v>
      </c>
      <c r="AL13" s="22"/>
    </row>
    <row r="14" spans="1:39" ht="15" thickBot="1" x14ac:dyDescent="0.4">
      <c r="A14" s="43" t="s">
        <v>2400</v>
      </c>
      <c r="B14" s="76" t="s">
        <v>2401</v>
      </c>
      <c r="C14" s="45">
        <v>45343</v>
      </c>
      <c r="D14" s="46">
        <v>140521</v>
      </c>
      <c r="E14" s="47" t="s">
        <v>2402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36" t="s">
        <v>2373</v>
      </c>
      <c r="B15" s="66" t="s">
        <v>2374</v>
      </c>
      <c r="C15" s="38">
        <v>45352</v>
      </c>
      <c r="D15" s="39">
        <v>128522</v>
      </c>
      <c r="E15" s="40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>
        <v>128522</v>
      </c>
      <c r="AB15" s="3"/>
      <c r="AC15" s="3"/>
      <c r="AD15" s="3"/>
      <c r="AE15" s="3"/>
      <c r="AF15" s="3"/>
      <c r="AG15" s="3"/>
      <c r="AH15" s="3"/>
      <c r="AI15" s="3"/>
      <c r="AK15" s="3">
        <f>SUM($F15:AJ15)</f>
        <v>128522</v>
      </c>
      <c r="AL15" s="22"/>
    </row>
    <row r="16" spans="1:39" x14ac:dyDescent="0.35">
      <c r="A16" s="41" t="s">
        <v>2379</v>
      </c>
      <c r="B16" t="s">
        <v>2380</v>
      </c>
      <c r="C16" s="5">
        <v>45358</v>
      </c>
      <c r="D16" s="3">
        <v>169856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>
        <f>169856+9</f>
        <v>169865</v>
      </c>
      <c r="AB16" s="3"/>
      <c r="AC16" s="3"/>
      <c r="AD16" s="3"/>
      <c r="AE16" s="3"/>
      <c r="AF16" s="3"/>
      <c r="AG16" s="3"/>
      <c r="AH16" s="3"/>
      <c r="AI16" s="3"/>
      <c r="AK16" s="3">
        <f>SUM($F16:AJ16)</f>
        <v>169865</v>
      </c>
      <c r="AL16" s="22"/>
    </row>
    <row r="17" spans="1:41" x14ac:dyDescent="0.35">
      <c r="A17" s="41" t="s">
        <v>2381</v>
      </c>
      <c r="B17" t="s">
        <v>2382</v>
      </c>
      <c r="C17" s="5">
        <v>45360</v>
      </c>
      <c r="D17" s="3">
        <v>128522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A18" s="41" t="s">
        <v>2386</v>
      </c>
      <c r="B18" t="s">
        <v>2387</v>
      </c>
      <c r="C18" s="5">
        <v>45371</v>
      </c>
      <c r="D18" s="3">
        <v>96114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41" x14ac:dyDescent="0.35">
      <c r="A19" s="41" t="s">
        <v>2393</v>
      </c>
      <c r="B19" t="s">
        <v>2394</v>
      </c>
      <c r="C19" s="5">
        <v>45378</v>
      </c>
      <c r="D19" s="3">
        <v>169856</v>
      </c>
      <c r="E19" s="42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1" ht="15" thickBot="1" x14ac:dyDescent="0.4">
      <c r="A20" s="43"/>
      <c r="B20" s="76"/>
      <c r="C20" s="45"/>
      <c r="D20" s="46"/>
      <c r="E20" s="4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1" x14ac:dyDescent="0.35"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24" t="s">
        <v>1962</v>
      </c>
      <c r="AL21" s="22" t="s">
        <v>1352</v>
      </c>
    </row>
    <row r="22" spans="1:41" x14ac:dyDescent="0.35">
      <c r="A22" s="2" t="s">
        <v>1676</v>
      </c>
      <c r="D22" s="3">
        <f>SUM(D15:D20)</f>
        <v>692870</v>
      </c>
      <c r="F22" s="3">
        <f t="shared" ref="F22:AJ22" si="1">SUM(F5:F20)</f>
        <v>0</v>
      </c>
      <c r="G22" s="3">
        <f t="shared" si="1"/>
        <v>0</v>
      </c>
      <c r="H22" s="3">
        <f t="shared" si="1"/>
        <v>0</v>
      </c>
      <c r="I22" s="3">
        <f t="shared" si="1"/>
        <v>0</v>
      </c>
      <c r="J22" s="3">
        <f t="shared" si="1"/>
        <v>0</v>
      </c>
      <c r="K22" s="3">
        <f t="shared" si="1"/>
        <v>0</v>
      </c>
      <c r="L22" s="3">
        <f t="shared" si="1"/>
        <v>0</v>
      </c>
      <c r="M22" s="3">
        <f t="shared" si="1"/>
        <v>257045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0</v>
      </c>
      <c r="S22" s="3">
        <f t="shared" si="1"/>
        <v>0</v>
      </c>
      <c r="T22" s="3">
        <f t="shared" si="1"/>
        <v>0</v>
      </c>
      <c r="U22" s="3">
        <f t="shared" si="1"/>
        <v>0</v>
      </c>
      <c r="V22" s="3">
        <f t="shared" si="1"/>
        <v>0</v>
      </c>
      <c r="W22" s="3">
        <f t="shared" si="1"/>
        <v>0</v>
      </c>
      <c r="X22" s="3">
        <f t="shared" si="1"/>
        <v>0</v>
      </c>
      <c r="Y22" s="3">
        <f t="shared" si="1"/>
        <v>0</v>
      </c>
      <c r="Z22" s="3">
        <f t="shared" si="1"/>
        <v>0</v>
      </c>
      <c r="AA22" s="3">
        <f t="shared" si="1"/>
        <v>385576</v>
      </c>
      <c r="AB22" s="3">
        <f t="shared" si="1"/>
        <v>0</v>
      </c>
      <c r="AC22" s="3">
        <f t="shared" si="1"/>
        <v>0</v>
      </c>
      <c r="AD22" s="3">
        <f t="shared" si="1"/>
        <v>0</v>
      </c>
      <c r="AE22" s="3">
        <f t="shared" si="1"/>
        <v>0</v>
      </c>
      <c r="AF22" s="3">
        <f t="shared" si="1"/>
        <v>0</v>
      </c>
      <c r="AG22" s="3">
        <f t="shared" si="1"/>
        <v>0</v>
      </c>
      <c r="AH22" s="3">
        <f t="shared" si="1"/>
        <v>0</v>
      </c>
      <c r="AI22" s="3">
        <f t="shared" si="1"/>
        <v>0</v>
      </c>
      <c r="AJ22" s="3">
        <f t="shared" si="1"/>
        <v>0</v>
      </c>
      <c r="AK22" s="72">
        <f>SUM(AK6:AK20)</f>
        <v>642621</v>
      </c>
      <c r="AL22" s="22">
        <f>+D23-AK22</f>
        <v>979874</v>
      </c>
      <c r="AM22" s="6" t="s">
        <v>13</v>
      </c>
    </row>
    <row r="23" spans="1:41" x14ac:dyDescent="0.35">
      <c r="A23" s="2" t="s">
        <v>1780</v>
      </c>
      <c r="B23" t="s">
        <v>13</v>
      </c>
      <c r="C23" s="3" t="s">
        <v>13</v>
      </c>
      <c r="D23" s="3">
        <f>SUM(D6:D20)</f>
        <v>1622495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t="s">
        <v>13</v>
      </c>
    </row>
    <row r="24" spans="1:41" x14ac:dyDescent="0.35">
      <c r="A24" s="2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41" x14ac:dyDescent="0.35">
      <c r="A25" s="2" t="s">
        <v>2</v>
      </c>
      <c r="C25" t="s">
        <v>13</v>
      </c>
      <c r="F25" s="3"/>
      <c r="G25" s="3"/>
      <c r="H25" s="3"/>
      <c r="I25" s="3"/>
      <c r="J25" s="3"/>
      <c r="K25" s="3"/>
      <c r="L25" s="3" t="s">
        <v>13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41" ht="15" thickBot="1" x14ac:dyDescent="0.4">
      <c r="A26" s="404">
        <v>45178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41" x14ac:dyDescent="0.35">
      <c r="A27" s="358" t="s">
        <v>1008</v>
      </c>
      <c r="B27" s="37" t="s">
        <v>337</v>
      </c>
      <c r="C27" s="38"/>
      <c r="D27" s="39">
        <v>2400000</v>
      </c>
      <c r="E27" s="40"/>
      <c r="F27" s="3"/>
      <c r="G27" s="3"/>
      <c r="H27" s="3" t="s">
        <v>13</v>
      </c>
      <c r="I27" s="3" t="s">
        <v>13</v>
      </c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</row>
    <row r="28" spans="1:41" x14ac:dyDescent="0.35">
      <c r="A28" s="41" t="s">
        <v>2378</v>
      </c>
      <c r="B28" t="s">
        <v>337</v>
      </c>
      <c r="C28" s="5" t="s">
        <v>13</v>
      </c>
      <c r="D28" s="3">
        <f>+'Feb-24'!D40</f>
        <v>76061.570000000007</v>
      </c>
      <c r="E28" s="42" t="s">
        <v>503</v>
      </c>
      <c r="F28" s="3" t="s">
        <v>13</v>
      </c>
      <c r="G28" s="3">
        <v>76061.570000000007</v>
      </c>
      <c r="H28" s="3"/>
      <c r="I28" s="3"/>
      <c r="K28" s="3"/>
      <c r="L28" s="3" t="s">
        <v>13</v>
      </c>
      <c r="M28" s="3" t="s">
        <v>13</v>
      </c>
      <c r="N28" s="3"/>
      <c r="O28" s="3"/>
      <c r="P28" s="3" t="s">
        <v>13</v>
      </c>
      <c r="Q28" s="3" t="s">
        <v>13</v>
      </c>
      <c r="R28" s="3" t="s">
        <v>13</v>
      </c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G28" s="3" t="s">
        <v>13</v>
      </c>
      <c r="AH28" s="3"/>
      <c r="AI28" s="3" t="s">
        <v>13</v>
      </c>
      <c r="AK28" s="3">
        <f>SUM($F28:AJ28)</f>
        <v>76061.570000000007</v>
      </c>
      <c r="AL28" s="6" t="s">
        <v>1846</v>
      </c>
    </row>
    <row r="29" spans="1:41" x14ac:dyDescent="0.35">
      <c r="A29" s="41" t="s">
        <v>2388</v>
      </c>
      <c r="B29" t="s">
        <v>2389</v>
      </c>
      <c r="C29" s="5">
        <v>45326</v>
      </c>
      <c r="D29" s="3">
        <v>12990</v>
      </c>
      <c r="E29" s="344" t="s">
        <v>4</v>
      </c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G29" s="3"/>
      <c r="AH29" s="3"/>
      <c r="AI29" s="3"/>
      <c r="AK29" s="3">
        <f>SUM($F29:AJ29)</f>
        <v>0</v>
      </c>
      <c r="AL29" s="6" t="s">
        <v>82</v>
      </c>
    </row>
    <row r="30" spans="1:41" x14ac:dyDescent="0.35">
      <c r="A30" s="41" t="s">
        <v>2390</v>
      </c>
      <c r="B30" t="s">
        <v>2391</v>
      </c>
      <c r="C30" s="5">
        <v>45336</v>
      </c>
      <c r="D30" s="3">
        <v>6990</v>
      </c>
      <c r="E30" s="344" t="s">
        <v>4</v>
      </c>
      <c r="F30" s="3"/>
      <c r="G30" s="3"/>
      <c r="H30" s="3"/>
      <c r="I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G30" s="3"/>
      <c r="AH30" s="3"/>
      <c r="AI30" s="3"/>
      <c r="AK30" s="3">
        <f>SUM($F30:AJ30)</f>
        <v>0</v>
      </c>
      <c r="AL30" s="6" t="s">
        <v>82</v>
      </c>
    </row>
    <row r="31" spans="1:41" x14ac:dyDescent="0.35">
      <c r="A31" s="343" t="s">
        <v>2375</v>
      </c>
      <c r="B31" s="24"/>
      <c r="C31" s="5" t="s">
        <v>13</v>
      </c>
      <c r="D31" s="3">
        <v>13905</v>
      </c>
      <c r="E31" s="344" t="s">
        <v>503</v>
      </c>
      <c r="F31" s="3"/>
      <c r="G31" s="3"/>
      <c r="H31" s="3"/>
      <c r="I31" s="3"/>
      <c r="J31" s="3">
        <v>13905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13905</v>
      </c>
      <c r="AL31" s="6" t="s">
        <v>1557</v>
      </c>
      <c r="AN31" s="26"/>
      <c r="AO31" s="3"/>
    </row>
    <row r="32" spans="1:41" x14ac:dyDescent="0.35">
      <c r="A32" s="343" t="s">
        <v>2126</v>
      </c>
      <c r="B32" s="24"/>
      <c r="C32" s="5" t="s">
        <v>13</v>
      </c>
      <c r="D32" s="3">
        <v>6499</v>
      </c>
      <c r="E32" s="344" t="s">
        <v>4</v>
      </c>
      <c r="F32" s="3"/>
      <c r="G32" s="3"/>
      <c r="H32" s="3"/>
      <c r="I32" s="3"/>
      <c r="J32" s="3"/>
      <c r="K32" s="3"/>
      <c r="L32" s="3" t="s">
        <v>13</v>
      </c>
      <c r="M32" s="3"/>
      <c r="N32" s="3"/>
      <c r="O32" s="3"/>
      <c r="P32" s="3" t="s">
        <v>13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0</v>
      </c>
      <c r="AL32" s="6" t="s">
        <v>81</v>
      </c>
      <c r="AN32" s="26"/>
      <c r="AO32" s="3"/>
    </row>
    <row r="33" spans="1:43" x14ac:dyDescent="0.35">
      <c r="A33" s="343" t="s">
        <v>638</v>
      </c>
      <c r="B33" s="24"/>
      <c r="C33" s="5">
        <v>45366</v>
      </c>
      <c r="D33" s="3">
        <v>21286</v>
      </c>
      <c r="E33" s="344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>
        <v>21286</v>
      </c>
      <c r="U33" s="3"/>
      <c r="V33" s="3" t="s">
        <v>13</v>
      </c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21286</v>
      </c>
      <c r="AN33" s="26"/>
      <c r="AO33" s="3"/>
    </row>
    <row r="34" spans="1:43" x14ac:dyDescent="0.35">
      <c r="A34" s="343" t="s">
        <v>2383</v>
      </c>
      <c r="B34" s="24"/>
      <c r="C34" s="5"/>
      <c r="D34" s="3">
        <v>11000</v>
      </c>
      <c r="E34" s="344" t="s">
        <v>503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13</v>
      </c>
      <c r="Q34" s="3">
        <v>11000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11000</v>
      </c>
      <c r="AL34" s="6" t="s">
        <v>81</v>
      </c>
      <c r="AN34" s="26"/>
      <c r="AO34" s="3"/>
    </row>
    <row r="35" spans="1:43" x14ac:dyDescent="0.35">
      <c r="A35" s="343" t="s">
        <v>2366</v>
      </c>
      <c r="B35" s="24"/>
      <c r="C35" s="5"/>
      <c r="D35" s="3">
        <v>30000</v>
      </c>
      <c r="E35" s="344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0</v>
      </c>
      <c r="AL35" s="6" t="s">
        <v>81</v>
      </c>
      <c r="AN35" s="26"/>
      <c r="AO35" s="3"/>
    </row>
    <row r="36" spans="1:43" x14ac:dyDescent="0.35">
      <c r="A36" s="343" t="s">
        <v>1792</v>
      </c>
      <c r="B36" s="24"/>
      <c r="C36" s="5">
        <v>45337</v>
      </c>
      <c r="D36" s="3">
        <f>66*2*1290/9+6000</f>
        <v>24920</v>
      </c>
      <c r="E36" s="34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0</v>
      </c>
      <c r="AL36" s="6" t="s">
        <v>81</v>
      </c>
      <c r="AN36" s="26"/>
      <c r="AO36" s="3"/>
    </row>
    <row r="37" spans="1:43" x14ac:dyDescent="0.35">
      <c r="A37" s="343" t="s">
        <v>1161</v>
      </c>
      <c r="B37" s="24" t="s">
        <v>2384</v>
      </c>
      <c r="C37" s="5">
        <v>45358</v>
      </c>
      <c r="D37" s="3">
        <v>23000</v>
      </c>
      <c r="E37" s="344" t="s">
        <v>1704</v>
      </c>
      <c r="F37" s="3"/>
      <c r="G37" s="3"/>
      <c r="H37" s="3"/>
      <c r="I37" s="3"/>
      <c r="J37" s="3"/>
      <c r="K37" s="3"/>
      <c r="L37" s="3">
        <v>23000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23000</v>
      </c>
      <c r="AL37" s="6" t="s">
        <v>83</v>
      </c>
      <c r="AN37" s="26"/>
      <c r="AO37" s="3"/>
    </row>
    <row r="38" spans="1:43" x14ac:dyDescent="0.35">
      <c r="A38" s="343" t="s">
        <v>1161</v>
      </c>
      <c r="B38" s="24" t="s">
        <v>2385</v>
      </c>
      <c r="C38" s="5">
        <v>45363</v>
      </c>
      <c r="D38" s="3">
        <v>3040</v>
      </c>
      <c r="E38" s="344" t="s">
        <v>1704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3040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3040</v>
      </c>
      <c r="AL38" s="6" t="s">
        <v>83</v>
      </c>
      <c r="AN38" s="26"/>
      <c r="AO38" s="3"/>
    </row>
    <row r="39" spans="1:43" x14ac:dyDescent="0.35">
      <c r="A39" s="343" t="s">
        <v>1161</v>
      </c>
      <c r="B39" s="24" t="s">
        <v>2392</v>
      </c>
      <c r="C39" s="5">
        <v>45376</v>
      </c>
      <c r="D39" s="3">
        <v>11500</v>
      </c>
      <c r="E39" s="344" t="s">
        <v>1704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>
        <v>11500</v>
      </c>
      <c r="AE39" s="3"/>
      <c r="AF39" s="3"/>
      <c r="AG39" s="3"/>
      <c r="AH39" s="3"/>
      <c r="AI39" s="3"/>
      <c r="AJ39" s="3"/>
      <c r="AK39" s="3">
        <f>SUM($F39:AJ39)</f>
        <v>11500</v>
      </c>
      <c r="AL39" s="6" t="s">
        <v>83</v>
      </c>
      <c r="AN39" s="26"/>
      <c r="AO39" s="3"/>
    </row>
    <row r="40" spans="1:43" x14ac:dyDescent="0.35">
      <c r="A40" s="343"/>
      <c r="B40" s="24"/>
      <c r="C40" s="5"/>
      <c r="D40" s="3"/>
      <c r="E40" s="34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N40" s="26"/>
      <c r="AO40" s="3"/>
    </row>
    <row r="41" spans="1:43" x14ac:dyDescent="0.35">
      <c r="A41" s="343"/>
      <c r="B41" s="24"/>
      <c r="C41" s="5"/>
      <c r="D41" s="3"/>
      <c r="E41" s="34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N41" s="26"/>
      <c r="AO41" s="3"/>
    </row>
    <row r="42" spans="1:43" ht="15" thickBot="1" x14ac:dyDescent="0.4">
      <c r="A42" s="43" t="s">
        <v>2397</v>
      </c>
      <c r="B42" s="76" t="s">
        <v>337</v>
      </c>
      <c r="C42" s="45">
        <v>45322</v>
      </c>
      <c r="D42" s="46">
        <f>+AK22*0.17</f>
        <v>109245.57</v>
      </c>
      <c r="E42" s="47"/>
      <c r="F42" s="3"/>
      <c r="G42" s="3" t="s">
        <v>13</v>
      </c>
      <c r="H42" s="3" t="s">
        <v>13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0</v>
      </c>
      <c r="AL42" s="6" t="s">
        <v>1846</v>
      </c>
      <c r="AM42" s="6" t="s">
        <v>13</v>
      </c>
      <c r="AN42" s="26" t="s">
        <v>13</v>
      </c>
      <c r="AO42" s="3"/>
    </row>
    <row r="43" spans="1:43" x14ac:dyDescent="0.35">
      <c r="A43" s="3" t="s">
        <v>13</v>
      </c>
      <c r="B43" s="24"/>
      <c r="C43" s="236" t="s">
        <v>13</v>
      </c>
      <c r="D43" s="3"/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13</v>
      </c>
      <c r="AL43" s="22"/>
      <c r="AO43" s="14" t="s">
        <v>1558</v>
      </c>
      <c r="AP43" s="15">
        <f>+SUMIF(AL31:AL42,"CD",D31:D42)/1.19</f>
        <v>31546.218487394959</v>
      </c>
      <c r="AQ43" s="15" t="e">
        <f>+AP43*#REF!/#REF!</f>
        <v>#REF!</v>
      </c>
    </row>
    <row r="44" spans="1:43" x14ac:dyDescent="0.35">
      <c r="A44" s="4"/>
      <c r="B44" s="24"/>
      <c r="C44" s="67"/>
      <c r="D44" s="3"/>
      <c r="E44" s="153"/>
      <c r="F44" s="3" t="s">
        <v>13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13</v>
      </c>
      <c r="AL44" s="22"/>
      <c r="AO44" s="14" t="s">
        <v>1559</v>
      </c>
      <c r="AP44" s="15" t="e">
        <f>+#REF!-AP43</f>
        <v>#REF!</v>
      </c>
      <c r="AQ44" s="15" t="e">
        <f>+#REF!-AQ43</f>
        <v>#REF!</v>
      </c>
    </row>
    <row r="45" spans="1:43" x14ac:dyDescent="0.35">
      <c r="A45" s="4"/>
      <c r="B45" s="24"/>
      <c r="C45" s="67"/>
      <c r="D45" s="3"/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13</v>
      </c>
      <c r="AL45" s="22"/>
      <c r="AO45" s="14" t="s">
        <v>1560</v>
      </c>
      <c r="AP45" s="327" t="e">
        <f>+AP44/#REF!</f>
        <v>#REF!</v>
      </c>
      <c r="AQ45" s="327" t="e">
        <f>+AQ44/#REF!</f>
        <v>#REF!</v>
      </c>
    </row>
    <row r="46" spans="1:43" x14ac:dyDescent="0.35">
      <c r="A46" s="4"/>
      <c r="B46" s="67"/>
      <c r="C46" s="236"/>
      <c r="E46" s="15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J46" s="3"/>
      <c r="AK46" s="3"/>
      <c r="AL46" s="22" t="s">
        <v>1388</v>
      </c>
      <c r="AM46" s="6" t="s">
        <v>1430</v>
      </c>
      <c r="AO46" s="14" t="s">
        <v>81</v>
      </c>
      <c r="AP46" s="15" t="e">
        <f>+SUMIF(AL31:AL42,"GAV",D31:D42)/1.19+SUMIF(#REF!,"REM",#REF!)</f>
        <v>#REF!</v>
      </c>
      <c r="AQ46" s="15" t="e">
        <f>+AP46*#REF!/#REF!</f>
        <v>#REF!</v>
      </c>
    </row>
    <row r="47" spans="1:43" x14ac:dyDescent="0.35">
      <c r="A47" s="2" t="s">
        <v>9</v>
      </c>
      <c r="D47" s="72">
        <f>SUM(D27:D45)-D27</f>
        <v>350437.13999999966</v>
      </c>
      <c r="F47" s="3">
        <f t="shared" ref="F47:AJ47" si="2">SUM(F27:F46)</f>
        <v>0</v>
      </c>
      <c r="G47" s="3">
        <f t="shared" si="2"/>
        <v>76061.570000000007</v>
      </c>
      <c r="H47" s="3">
        <f t="shared" si="2"/>
        <v>0</v>
      </c>
      <c r="I47" s="3">
        <f t="shared" si="2"/>
        <v>0</v>
      </c>
      <c r="J47" s="3">
        <f t="shared" si="2"/>
        <v>13905</v>
      </c>
      <c r="K47" s="3">
        <f t="shared" si="2"/>
        <v>0</v>
      </c>
      <c r="L47" s="3">
        <f t="shared" si="2"/>
        <v>23000</v>
      </c>
      <c r="M47" s="3">
        <f t="shared" si="2"/>
        <v>0</v>
      </c>
      <c r="N47" s="3">
        <f t="shared" si="2"/>
        <v>0</v>
      </c>
      <c r="O47" s="3">
        <f t="shared" si="2"/>
        <v>0</v>
      </c>
      <c r="P47" s="3">
        <f t="shared" si="2"/>
        <v>0</v>
      </c>
      <c r="Q47" s="3">
        <f t="shared" si="2"/>
        <v>14040</v>
      </c>
      <c r="R47" s="3">
        <f t="shared" si="2"/>
        <v>0</v>
      </c>
      <c r="S47" s="3">
        <f t="shared" si="2"/>
        <v>0</v>
      </c>
      <c r="T47" s="3">
        <f t="shared" si="2"/>
        <v>21286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3">
        <f t="shared" si="2"/>
        <v>0</v>
      </c>
      <c r="Y47" s="3">
        <f t="shared" si="2"/>
        <v>0</v>
      </c>
      <c r="Z47" s="3">
        <f t="shared" si="2"/>
        <v>0</v>
      </c>
      <c r="AA47" s="3">
        <f t="shared" si="2"/>
        <v>0</v>
      </c>
      <c r="AB47" s="3">
        <f t="shared" si="2"/>
        <v>0</v>
      </c>
      <c r="AC47" s="3">
        <f t="shared" si="2"/>
        <v>0</v>
      </c>
      <c r="AD47" s="3">
        <f t="shared" si="2"/>
        <v>11500</v>
      </c>
      <c r="AE47" s="3">
        <f t="shared" si="2"/>
        <v>0</v>
      </c>
      <c r="AF47" s="3">
        <f t="shared" si="2"/>
        <v>0</v>
      </c>
      <c r="AG47" s="3">
        <f t="shared" si="2"/>
        <v>0</v>
      </c>
      <c r="AH47" s="3">
        <f t="shared" si="2"/>
        <v>0</v>
      </c>
      <c r="AI47" s="3">
        <f t="shared" si="2"/>
        <v>0</v>
      </c>
      <c r="AJ47" s="3">
        <f t="shared" si="2"/>
        <v>0</v>
      </c>
      <c r="AK47" s="72">
        <f>SUM(AK27:AK45)-AK27</f>
        <v>159792.57</v>
      </c>
      <c r="AL47" s="324">
        <f>+D47-AK47</f>
        <v>190644.56999999966</v>
      </c>
      <c r="AM47" s="324">
        <f>+AJ48+AL22-AL47-1200000</f>
        <v>1377347.6448390847</v>
      </c>
      <c r="AO47" s="14" t="s">
        <v>1561</v>
      </c>
      <c r="AP47" s="15" t="e">
        <f>+AP44-AP46</f>
        <v>#REF!</v>
      </c>
      <c r="AQ47" s="15" t="e">
        <f>+AQ44-AQ46</f>
        <v>#REF!</v>
      </c>
    </row>
    <row r="48" spans="1:43" x14ac:dyDescent="0.35">
      <c r="A48" t="s">
        <v>8</v>
      </c>
      <c r="F48" s="3">
        <f t="shared" ref="F48:AJ48" si="3">+F22+F3-F47</f>
        <v>1305289.7848390846</v>
      </c>
      <c r="G48" s="3">
        <f t="shared" si="3"/>
        <v>1229228.2148390845</v>
      </c>
      <c r="H48" s="3">
        <f t="shared" si="3"/>
        <v>1229228.2148390845</v>
      </c>
      <c r="I48" s="3">
        <f t="shared" si="3"/>
        <v>1229228.2148390845</v>
      </c>
      <c r="J48" s="3">
        <f t="shared" si="3"/>
        <v>1215323.2148390845</v>
      </c>
      <c r="K48" s="3">
        <f t="shared" si="3"/>
        <v>1215323.2148390845</v>
      </c>
      <c r="L48" s="3">
        <f t="shared" si="3"/>
        <v>1192323.2148390845</v>
      </c>
      <c r="M48" s="3">
        <f t="shared" si="3"/>
        <v>1449368.2148390845</v>
      </c>
      <c r="N48" s="3">
        <f t="shared" si="3"/>
        <v>1449368.2148390845</v>
      </c>
      <c r="O48" s="3">
        <f t="shared" si="3"/>
        <v>1449368.2148390845</v>
      </c>
      <c r="P48" s="3">
        <f t="shared" si="3"/>
        <v>1449368.2148390845</v>
      </c>
      <c r="Q48" s="3">
        <f t="shared" si="3"/>
        <v>1435328.2148390845</v>
      </c>
      <c r="R48" s="3">
        <f t="shared" si="3"/>
        <v>1435328.2148390845</v>
      </c>
      <c r="S48" s="3">
        <f t="shared" si="3"/>
        <v>1435328.2148390845</v>
      </c>
      <c r="T48" s="3">
        <f t="shared" si="3"/>
        <v>1414042.2148390845</v>
      </c>
      <c r="U48" s="3">
        <f t="shared" si="3"/>
        <v>1414042.2148390845</v>
      </c>
      <c r="V48" s="3">
        <f t="shared" si="3"/>
        <v>1414042.2148390845</v>
      </c>
      <c r="W48" s="3">
        <f t="shared" si="3"/>
        <v>1414042.2148390845</v>
      </c>
      <c r="X48" s="3">
        <f t="shared" si="3"/>
        <v>1414042.2148390845</v>
      </c>
      <c r="Y48" s="3">
        <f t="shared" si="3"/>
        <v>1414042.2148390845</v>
      </c>
      <c r="Z48" s="3">
        <f t="shared" si="3"/>
        <v>1414042.2148390845</v>
      </c>
      <c r="AA48" s="3">
        <f t="shared" si="3"/>
        <v>1799618.2148390845</v>
      </c>
      <c r="AB48" s="3">
        <f t="shared" si="3"/>
        <v>1799618.2148390845</v>
      </c>
      <c r="AC48" s="3">
        <f t="shared" si="3"/>
        <v>1799618.2148390845</v>
      </c>
      <c r="AD48" s="3">
        <f t="shared" si="3"/>
        <v>1788118.2148390845</v>
      </c>
      <c r="AE48" s="3">
        <f t="shared" si="3"/>
        <v>1788118.2148390845</v>
      </c>
      <c r="AF48" s="3">
        <f t="shared" si="3"/>
        <v>1788118.2148390845</v>
      </c>
      <c r="AG48" s="3">
        <f t="shared" si="3"/>
        <v>1788118.2148390845</v>
      </c>
      <c r="AH48" s="3">
        <f t="shared" si="3"/>
        <v>1788118.2148390845</v>
      </c>
      <c r="AI48" s="3">
        <f t="shared" si="3"/>
        <v>1788118.2148390845</v>
      </c>
      <c r="AJ48" s="3">
        <f t="shared" si="3"/>
        <v>1788118.2148390845</v>
      </c>
      <c r="AK48" s="3" t="s">
        <v>13</v>
      </c>
      <c r="AM48" s="22" t="s">
        <v>13</v>
      </c>
      <c r="AO48" s="14" t="s">
        <v>1563</v>
      </c>
      <c r="AP48" s="15">
        <f>+SUMIF(AL31:AL42,"GF",D31:D42)</f>
        <v>13905</v>
      </c>
      <c r="AQ48" s="15">
        <v>0</v>
      </c>
    </row>
    <row r="49" spans="1:43" x14ac:dyDescent="0.35">
      <c r="F49" s="3"/>
      <c r="G49" s="3"/>
      <c r="H49" s="3"/>
      <c r="I49" s="3" t="s">
        <v>13</v>
      </c>
      <c r="J49" s="3"/>
      <c r="K49" s="3" t="s">
        <v>13</v>
      </c>
      <c r="L49" s="3"/>
      <c r="M49" s="3"/>
      <c r="N49" s="3"/>
      <c r="O49" s="3"/>
      <c r="P49" s="3" t="s">
        <v>13</v>
      </c>
      <c r="Q49" s="3"/>
      <c r="R49" s="3"/>
      <c r="S49" s="3"/>
      <c r="T49" s="3" t="s">
        <v>13</v>
      </c>
      <c r="U49" s="3"/>
      <c r="V49" s="3"/>
      <c r="W49" s="3"/>
      <c r="Y49" s="3" t="s">
        <v>13</v>
      </c>
      <c r="Z49" s="3" t="s">
        <v>13</v>
      </c>
      <c r="AA49" s="3" t="s">
        <v>13</v>
      </c>
      <c r="AB49" s="3" t="s">
        <v>13</v>
      </c>
      <c r="AO49" s="14" t="s">
        <v>82</v>
      </c>
      <c r="AP49" s="15">
        <v>0</v>
      </c>
      <c r="AQ49" s="15">
        <f>+SUMIF(AL31:AL42,"AF",D31:D42)/1.19</f>
        <v>0</v>
      </c>
    </row>
    <row r="50" spans="1:43" ht="15" thickBot="1" x14ac:dyDescent="0.4">
      <c r="F50" s="3" t="s">
        <v>13</v>
      </c>
      <c r="G50" s="3" t="s">
        <v>13</v>
      </c>
      <c r="H50" s="3" t="s">
        <v>13</v>
      </c>
      <c r="I50" s="3"/>
      <c r="J50" s="3"/>
      <c r="K50" s="3"/>
      <c r="L50" s="3"/>
      <c r="M50" s="3"/>
      <c r="N50" s="3"/>
      <c r="O50" s="3"/>
      <c r="P50" s="3" t="s">
        <v>13</v>
      </c>
      <c r="Q50" s="3" t="s">
        <v>13</v>
      </c>
      <c r="R50" s="3" t="s">
        <v>13</v>
      </c>
      <c r="S50" s="3"/>
      <c r="T50" s="3"/>
      <c r="U50" s="3" t="s">
        <v>13</v>
      </c>
      <c r="V50" s="3"/>
      <c r="W50" s="3"/>
      <c r="AB50" s="3" t="s">
        <v>13</v>
      </c>
      <c r="AG50" s="3" t="s">
        <v>13</v>
      </c>
      <c r="AJ50" s="3" t="s">
        <v>13</v>
      </c>
      <c r="AO50" s="16"/>
      <c r="AP50" s="19" t="e">
        <f>+AP47-AP48-AP49</f>
        <v>#REF!</v>
      </c>
      <c r="AQ50" s="19" t="e">
        <f>+AQ47-AQ48-AQ49</f>
        <v>#REF!</v>
      </c>
    </row>
    <row r="51" spans="1:43" x14ac:dyDescent="0.35">
      <c r="A51" t="s">
        <v>2163</v>
      </c>
      <c r="B51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1" s="3" t="e">
        <f>+B51*0.16</f>
        <v>#REF!</v>
      </c>
      <c r="E51" s="6" t="s">
        <v>13</v>
      </c>
      <c r="F51" s="3"/>
      <c r="G51" s="3" t="s">
        <v>13</v>
      </c>
      <c r="H51" s="3" t="s">
        <v>13</v>
      </c>
      <c r="I51" s="3"/>
      <c r="J51" s="3"/>
      <c r="K51" s="3"/>
      <c r="L51" s="3"/>
      <c r="M51" s="3"/>
      <c r="N51" s="3"/>
      <c r="O51" s="3"/>
      <c r="W51" s="3"/>
      <c r="AB51" s="3" t="s">
        <v>13</v>
      </c>
      <c r="AG51" s="3" t="s">
        <v>13</v>
      </c>
      <c r="AJ51" s="3" t="s">
        <v>13</v>
      </c>
      <c r="AO51" t="s">
        <v>1961</v>
      </c>
      <c r="AP51" s="26" t="e">
        <f ca="1">+AP$50+'May-23'!AP82</f>
        <v>#REF!</v>
      </c>
      <c r="AQ51" s="3" t="e">
        <f ca="1">+AQ$50+'May-23'!AQ82</f>
        <v>#REF!</v>
      </c>
    </row>
    <row r="52" spans="1:43" x14ac:dyDescent="0.35">
      <c r="F52" s="3"/>
      <c r="G52" s="3" t="s">
        <v>13</v>
      </c>
      <c r="H52" s="3"/>
      <c r="I52" s="3"/>
      <c r="J52" s="3"/>
      <c r="K52" s="3"/>
      <c r="L52" s="3"/>
      <c r="M52" s="3"/>
      <c r="N52" s="3"/>
      <c r="O52" s="3"/>
      <c r="W52" s="3" t="s">
        <v>13</v>
      </c>
      <c r="AB52" s="3" t="s">
        <v>13</v>
      </c>
      <c r="AD52" t="s">
        <v>2296</v>
      </c>
      <c r="AE52">
        <v>2</v>
      </c>
      <c r="AG52" s="3" t="s">
        <v>13</v>
      </c>
      <c r="AJ52" s="3" t="s">
        <v>13</v>
      </c>
      <c r="AO52" t="s">
        <v>1960</v>
      </c>
      <c r="AP52" s="26" t="e">
        <f ca="1">+AP$50+'May-23'!AP83</f>
        <v>#REF!</v>
      </c>
      <c r="AQ52" s="3" t="e">
        <f ca="1">+AQ$50+'May-23'!AQ83</f>
        <v>#REF!</v>
      </c>
    </row>
    <row r="53" spans="1:43" x14ac:dyDescent="0.35">
      <c r="A53" t="s">
        <v>13</v>
      </c>
      <c r="F53" s="3" t="s">
        <v>13</v>
      </c>
      <c r="G53" s="3" t="s">
        <v>13</v>
      </c>
      <c r="H53" s="3"/>
      <c r="I53" s="3"/>
      <c r="J53" s="3"/>
      <c r="K53" s="3"/>
      <c r="L53" s="3"/>
      <c r="M53" s="3">
        <v>538500</v>
      </c>
      <c r="N53" s="3"/>
      <c r="O53" s="3"/>
      <c r="W53" s="3"/>
      <c r="AB53" s="3" t="s">
        <v>13</v>
      </c>
      <c r="AD53" t="s">
        <v>2297</v>
      </c>
      <c r="AG53" s="3" t="s">
        <v>13</v>
      </c>
      <c r="AJ53" s="3" t="s">
        <v>13</v>
      </c>
    </row>
    <row r="54" spans="1:43" x14ac:dyDescent="0.35">
      <c r="B54" t="s">
        <v>13</v>
      </c>
      <c r="F54" s="3" t="s">
        <v>13</v>
      </c>
      <c r="G54" s="3" t="s">
        <v>13</v>
      </c>
      <c r="H54" s="3"/>
      <c r="I54" s="3"/>
      <c r="J54" s="3"/>
      <c r="K54" s="3"/>
      <c r="L54" s="3" t="s">
        <v>13</v>
      </c>
      <c r="M54" s="3">
        <v>682100</v>
      </c>
      <c r="N54" s="3"/>
      <c r="O54" s="3"/>
      <c r="W54" s="3"/>
      <c r="AB54" s="3" t="s">
        <v>13</v>
      </c>
      <c r="AG54" s="3" t="s">
        <v>13</v>
      </c>
      <c r="AJ54" s="3" t="s">
        <v>13</v>
      </c>
      <c r="AL54"/>
      <c r="AM54"/>
    </row>
    <row r="55" spans="1:43" x14ac:dyDescent="0.35">
      <c r="F55" s="3"/>
      <c r="G55" s="3" t="s">
        <v>13</v>
      </c>
      <c r="H55" s="3"/>
      <c r="I55" s="3"/>
      <c r="J55" s="3"/>
      <c r="K55" s="3"/>
      <c r="L55" s="3"/>
      <c r="M55" s="3">
        <f>SUM(M53:M54)</f>
        <v>1220600</v>
      </c>
      <c r="AG55" s="3" t="s">
        <v>13</v>
      </c>
      <c r="AJ55" s="3" t="s">
        <v>13</v>
      </c>
      <c r="AL55"/>
      <c r="AM55"/>
    </row>
    <row r="56" spans="1:43" x14ac:dyDescent="0.35">
      <c r="F56" s="3"/>
      <c r="G56" s="3" t="s">
        <v>13</v>
      </c>
      <c r="H56" s="3"/>
      <c r="I56" s="3"/>
      <c r="J56" s="3"/>
      <c r="K56" s="3"/>
      <c r="L56" s="3"/>
      <c r="AB56" t="s">
        <v>13</v>
      </c>
      <c r="AG56" s="3" t="s">
        <v>13</v>
      </c>
      <c r="AJ56" s="3" t="s">
        <v>13</v>
      </c>
      <c r="AL56"/>
      <c r="AM56"/>
      <c r="AQ56" t="s">
        <v>13</v>
      </c>
    </row>
    <row r="57" spans="1:43" x14ac:dyDescent="0.35">
      <c r="F57" s="3"/>
      <c r="G57" s="3" t="s">
        <v>13</v>
      </c>
      <c r="H57" s="3"/>
      <c r="I57" s="3"/>
      <c r="J57" s="3"/>
      <c r="K57" s="3"/>
      <c r="L57" s="3"/>
      <c r="AG57" s="3" t="s">
        <v>13</v>
      </c>
      <c r="AJ57" s="3" t="s">
        <v>13</v>
      </c>
      <c r="AL57"/>
      <c r="AM57"/>
    </row>
    <row r="58" spans="1:43" x14ac:dyDescent="0.35">
      <c r="F58" s="3"/>
      <c r="G58" s="3" t="s">
        <v>13</v>
      </c>
      <c r="H58" s="3"/>
      <c r="I58" s="3"/>
      <c r="J58" s="3"/>
      <c r="K58" s="3"/>
      <c r="L58" s="3"/>
      <c r="AG58" s="3" t="s">
        <v>13</v>
      </c>
      <c r="AJ58" s="3" t="s">
        <v>13</v>
      </c>
      <c r="AL58"/>
      <c r="AM58"/>
    </row>
    <row r="59" spans="1:43" x14ac:dyDescent="0.35">
      <c r="F59" s="3"/>
      <c r="G59" s="3" t="s">
        <v>13</v>
      </c>
      <c r="H59" s="3"/>
      <c r="I59" s="3"/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F60" s="3"/>
      <c r="G60" s="3" t="s">
        <v>13</v>
      </c>
      <c r="H60" s="3"/>
      <c r="I60" s="3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F61" s="3"/>
      <c r="G61" s="3" t="s">
        <v>13</v>
      </c>
      <c r="H61" s="3"/>
      <c r="I61" s="3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3" t="s">
        <v>13</v>
      </c>
      <c r="H62" s="3"/>
      <c r="I62" s="3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3" t="s">
        <v>13</v>
      </c>
      <c r="H63" s="3"/>
      <c r="I63" s="3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L68"/>
      <c r="AM68"/>
    </row>
    <row r="69" spans="2:39" x14ac:dyDescent="0.35">
      <c r="B69" t="s">
        <v>13</v>
      </c>
      <c r="F69" s="3"/>
      <c r="G69" s="3" t="s">
        <v>13</v>
      </c>
      <c r="H69" s="3"/>
      <c r="I69" s="3"/>
      <c r="J69" s="3"/>
      <c r="K69" s="3"/>
      <c r="L69" s="3"/>
      <c r="AL69"/>
      <c r="AM69"/>
    </row>
    <row r="70" spans="2:39" x14ac:dyDescent="0.35">
      <c r="B70" t="s">
        <v>13</v>
      </c>
      <c r="E70"/>
      <c r="AL70"/>
      <c r="AM70"/>
    </row>
    <row r="71" spans="2:39" x14ac:dyDescent="0.35">
      <c r="B71" t="s">
        <v>13</v>
      </c>
      <c r="E71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805C-5F68-486B-9B8F-8910E6BEE399}">
  <dimension ref="A1:AQ104"/>
  <sheetViews>
    <sheetView zoomScale="65" zoomScaleNormal="65" workbookViewId="0">
      <pane xSplit="5" ySplit="3" topLeftCell="AF7" activePane="bottomRight" state="frozen"/>
      <selection pane="topRight" activeCell="F1" sqref="F1"/>
      <selection pane="bottomLeft" activeCell="A4" sqref="A4"/>
      <selection pane="bottomRight" activeCell="AK27" sqref="AK27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45383</v>
      </c>
      <c r="G2" s="1">
        <v>45384</v>
      </c>
      <c r="H2" s="1">
        <v>45385</v>
      </c>
      <c r="I2" s="1">
        <v>45386</v>
      </c>
      <c r="J2" s="1">
        <v>45387</v>
      </c>
      <c r="K2" s="1">
        <v>45388</v>
      </c>
      <c r="L2" s="1">
        <v>45389</v>
      </c>
      <c r="M2" s="1">
        <v>45390</v>
      </c>
      <c r="N2" s="1">
        <v>45391</v>
      </c>
      <c r="O2" s="1">
        <v>45392</v>
      </c>
      <c r="P2" s="1">
        <v>45393</v>
      </c>
      <c r="Q2" s="1">
        <v>45394</v>
      </c>
      <c r="R2" s="1">
        <v>45395</v>
      </c>
      <c r="S2" s="1">
        <v>45396</v>
      </c>
      <c r="T2" s="1">
        <v>45397</v>
      </c>
      <c r="U2" s="1">
        <v>45398</v>
      </c>
      <c r="V2" s="1">
        <v>45399</v>
      </c>
      <c r="W2" s="1">
        <v>45400</v>
      </c>
      <c r="X2" s="1">
        <v>45401</v>
      </c>
      <c r="Y2" s="1">
        <v>45402</v>
      </c>
      <c r="Z2" s="1">
        <v>45403</v>
      </c>
      <c r="AA2" s="1">
        <v>45404</v>
      </c>
      <c r="AB2" s="1">
        <v>45405</v>
      </c>
      <c r="AC2" s="1">
        <v>45406</v>
      </c>
      <c r="AD2" s="1">
        <v>45407</v>
      </c>
      <c r="AE2" s="1">
        <v>45408</v>
      </c>
      <c r="AF2" s="1">
        <v>45409</v>
      </c>
      <c r="AG2" s="1">
        <v>45410</v>
      </c>
      <c r="AH2" s="1">
        <v>45411</v>
      </c>
      <c r="AI2" s="1">
        <v>45412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+'Mar-24'!AJ48</f>
        <v>1788118.2148390845</v>
      </c>
      <c r="G3" s="3">
        <f t="shared" ref="G3:AI3" si="0">+F50</f>
        <v>2145799.2148390845</v>
      </c>
      <c r="H3" s="3">
        <f t="shared" si="0"/>
        <v>2134299.2148390845</v>
      </c>
      <c r="I3" s="3">
        <f t="shared" si="0"/>
        <v>2199474.2148390845</v>
      </c>
      <c r="J3" s="3">
        <f t="shared" si="0"/>
        <v>2199474.2148390845</v>
      </c>
      <c r="K3" s="3">
        <f t="shared" si="0"/>
        <v>2199474.2148390845</v>
      </c>
      <c r="L3" s="3">
        <f t="shared" si="0"/>
        <v>2199474.2148390845</v>
      </c>
      <c r="M3" s="3">
        <f t="shared" si="0"/>
        <v>2199474.2148390845</v>
      </c>
      <c r="N3" s="3">
        <f t="shared" si="0"/>
        <v>2199474.2148390845</v>
      </c>
      <c r="O3" s="3">
        <f t="shared" si="0"/>
        <v>2008829.2148390845</v>
      </c>
      <c r="P3" s="3">
        <f t="shared" si="0"/>
        <v>1508829.2148390845</v>
      </c>
      <c r="Q3" s="3">
        <f t="shared" si="0"/>
        <v>1508829.2148390845</v>
      </c>
      <c r="R3" s="3">
        <f t="shared" si="0"/>
        <v>1508829.2148390845</v>
      </c>
      <c r="S3" s="3">
        <f t="shared" si="0"/>
        <v>1508829.2148390845</v>
      </c>
      <c r="T3" s="3">
        <f t="shared" si="0"/>
        <v>1508829.2148390845</v>
      </c>
      <c r="U3" s="3">
        <f t="shared" si="0"/>
        <v>1508829.2148390845</v>
      </c>
      <c r="V3" s="3">
        <f t="shared" si="0"/>
        <v>1508829.2148390845</v>
      </c>
      <c r="W3" s="3">
        <f t="shared" si="0"/>
        <v>1508829.2148390845</v>
      </c>
      <c r="X3" s="3">
        <f t="shared" si="0"/>
        <v>1499179.2148390845</v>
      </c>
      <c r="Y3" s="3">
        <f t="shared" si="0"/>
        <v>1391982.2148390845</v>
      </c>
      <c r="Z3" s="3">
        <f t="shared" si="0"/>
        <v>1391982.2148390845</v>
      </c>
      <c r="AA3" s="3">
        <f t="shared" si="0"/>
        <v>1391982.2148390845</v>
      </c>
      <c r="AB3" s="3">
        <f t="shared" si="0"/>
        <v>1391982.2148390845</v>
      </c>
      <c r="AC3" s="3">
        <f t="shared" si="0"/>
        <v>1391982.2148390845</v>
      </c>
      <c r="AD3" s="3">
        <f t="shared" si="0"/>
        <v>1391982.2148390845</v>
      </c>
      <c r="AE3" s="3">
        <f t="shared" si="0"/>
        <v>1391982.2148390845</v>
      </c>
      <c r="AF3" s="3">
        <f t="shared" si="0"/>
        <v>1391982.2148390845</v>
      </c>
      <c r="AG3" s="3">
        <f t="shared" si="0"/>
        <v>1391982.2148390845</v>
      </c>
      <c r="AH3" s="3">
        <f t="shared" si="0"/>
        <v>1391982.2148390845</v>
      </c>
      <c r="AI3" s="3">
        <f t="shared" si="0"/>
        <v>1391982.2148390845</v>
      </c>
      <c r="AJ3" s="3" t="s">
        <v>13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2293</v>
      </c>
      <c r="B6" s="66" t="s">
        <v>2294</v>
      </c>
      <c r="C6" s="38">
        <v>45214</v>
      </c>
      <c r="D6" s="39">
        <v>87189</v>
      </c>
      <c r="E6" s="40" t="s">
        <v>782</v>
      </c>
      <c r="F6" s="3">
        <v>87189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87189</v>
      </c>
      <c r="AL6" s="22"/>
    </row>
    <row r="7" spans="1:39" x14ac:dyDescent="0.35">
      <c r="A7" s="41" t="s">
        <v>2305</v>
      </c>
      <c r="B7" t="s">
        <v>2306</v>
      </c>
      <c r="C7" s="5">
        <v>45225</v>
      </c>
      <c r="D7" s="3">
        <v>96114</v>
      </c>
      <c r="E7" s="42" t="s">
        <v>782</v>
      </c>
      <c r="F7" s="3">
        <v>96114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96114</v>
      </c>
      <c r="AL7" s="22"/>
    </row>
    <row r="8" spans="1:39" x14ac:dyDescent="0.35">
      <c r="A8" s="41" t="s">
        <v>2311</v>
      </c>
      <c r="B8" t="s">
        <v>2312</v>
      </c>
      <c r="C8" s="5">
        <v>45239</v>
      </c>
      <c r="D8" s="3">
        <v>87189</v>
      </c>
      <c r="E8" s="42" t="s">
        <v>782</v>
      </c>
      <c r="F8" s="3">
        <v>87189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87189</v>
      </c>
      <c r="AL8" s="22"/>
    </row>
    <row r="9" spans="1:39" x14ac:dyDescent="0.35">
      <c r="A9" s="41" t="s">
        <v>2314</v>
      </c>
      <c r="B9" t="s">
        <v>975</v>
      </c>
      <c r="C9" s="5">
        <v>45256</v>
      </c>
      <c r="D9" s="3">
        <v>87189</v>
      </c>
      <c r="E9" s="42" t="s">
        <v>782</v>
      </c>
      <c r="F9" s="3">
        <v>87189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87189</v>
      </c>
      <c r="AL9" s="22"/>
    </row>
    <row r="10" spans="1:39" x14ac:dyDescent="0.35">
      <c r="A10" s="41" t="s">
        <v>2460</v>
      </c>
      <c r="B10" t="s">
        <v>2458</v>
      </c>
      <c r="C10" s="5">
        <v>45336</v>
      </c>
      <c r="D10" s="3">
        <v>87189</v>
      </c>
      <c r="E10" s="42" t="s">
        <v>2459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0</v>
      </c>
      <c r="AL10" s="22"/>
    </row>
    <row r="11" spans="1:39" ht="15" thickBot="1" x14ac:dyDescent="0.4">
      <c r="A11" s="43" t="s">
        <v>2400</v>
      </c>
      <c r="B11" s="76" t="s">
        <v>2401</v>
      </c>
      <c r="C11" s="45">
        <v>45343</v>
      </c>
      <c r="D11" s="46">
        <v>140521</v>
      </c>
      <c r="E11" s="47" t="s">
        <v>2402</v>
      </c>
      <c r="F11" s="3"/>
      <c r="G11" s="3"/>
      <c r="H11" s="3">
        <v>140521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140521</v>
      </c>
      <c r="AL11" s="22"/>
    </row>
    <row r="12" spans="1:39" x14ac:dyDescent="0.35">
      <c r="A12" s="41" t="s">
        <v>2381</v>
      </c>
      <c r="B12" t="s">
        <v>2382</v>
      </c>
      <c r="C12" s="5">
        <v>45360</v>
      </c>
      <c r="D12" s="3">
        <v>128522</v>
      </c>
      <c r="E12" s="42" t="s">
        <v>2325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2386</v>
      </c>
      <c r="B13" t="s">
        <v>2387</v>
      </c>
      <c r="C13" s="5">
        <v>45371</v>
      </c>
      <c r="D13" s="3">
        <v>96114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ht="15" thickBot="1" x14ac:dyDescent="0.4">
      <c r="A14" s="43" t="s">
        <v>2393</v>
      </c>
      <c r="B14" s="76" t="s">
        <v>2394</v>
      </c>
      <c r="C14" s="45">
        <v>45378</v>
      </c>
      <c r="D14" s="46">
        <v>169856</v>
      </c>
      <c r="E14" s="47" t="s">
        <v>2325</v>
      </c>
      <c r="F14" s="3"/>
      <c r="G14" s="3"/>
      <c r="H14" s="3"/>
      <c r="I14" s="3"/>
      <c r="J14" s="3"/>
      <c r="K14" s="3" t="s">
        <v>13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2404</v>
      </c>
      <c r="B15" t="s">
        <v>2403</v>
      </c>
      <c r="C15" s="5">
        <v>45386</v>
      </c>
      <c r="D15" s="3">
        <v>124390</v>
      </c>
      <c r="E15" s="42" t="s">
        <v>2402</v>
      </c>
      <c r="F15" s="3"/>
      <c r="G15" s="3"/>
      <c r="H15" s="3"/>
      <c r="I15" s="3"/>
      <c r="J15" s="3"/>
      <c r="K15" s="3" t="s">
        <v>13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2405</v>
      </c>
      <c r="B16" t="s">
        <v>2406</v>
      </c>
      <c r="C16" s="5">
        <v>45390</v>
      </c>
      <c r="D16" s="3">
        <v>128522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39" x14ac:dyDescent="0.35">
      <c r="A17" s="41" t="s">
        <v>2407</v>
      </c>
      <c r="B17" t="s">
        <v>2408</v>
      </c>
      <c r="C17" s="5">
        <v>45400</v>
      </c>
      <c r="D17" s="3">
        <v>87189</v>
      </c>
      <c r="E17" s="42" t="s">
        <v>2325</v>
      </c>
      <c r="F17" s="3"/>
      <c r="G17" s="3"/>
      <c r="H17" s="3"/>
      <c r="I17" s="3"/>
      <c r="J17" s="3"/>
      <c r="K17" s="341" t="s">
        <v>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39" x14ac:dyDescent="0.35">
      <c r="A18" s="41" t="s">
        <v>2412</v>
      </c>
      <c r="B18" t="s">
        <v>2413</v>
      </c>
      <c r="C18" s="5">
        <v>45406</v>
      </c>
      <c r="D18" s="3">
        <v>87189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39" x14ac:dyDescent="0.35">
      <c r="A19" s="41" t="s">
        <v>2414</v>
      </c>
      <c r="B19" t="s">
        <v>2415</v>
      </c>
      <c r="C19" s="5">
        <v>45409</v>
      </c>
      <c r="D19" s="3">
        <v>87189</v>
      </c>
      <c r="E19" s="42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39" x14ac:dyDescent="0.35">
      <c r="A20" s="41"/>
      <c r="C20" s="5"/>
      <c r="D20" s="3"/>
      <c r="E20" s="4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39" x14ac:dyDescent="0.35"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24" t="s">
        <v>1962</v>
      </c>
      <c r="AL21" s="22" t="s">
        <v>1352</v>
      </c>
    </row>
    <row r="22" spans="1:39" x14ac:dyDescent="0.35">
      <c r="A22" s="2" t="s">
        <v>1676</v>
      </c>
      <c r="D22" s="3">
        <f>SUM(D15:D20)</f>
        <v>514479</v>
      </c>
      <c r="F22" s="3">
        <f t="shared" ref="F22:AJ22" si="1">SUM(F5:F20)</f>
        <v>357681</v>
      </c>
      <c r="G22" s="3">
        <f t="shared" si="1"/>
        <v>0</v>
      </c>
      <c r="H22" s="3">
        <f t="shared" si="1"/>
        <v>140521</v>
      </c>
      <c r="I22" s="3">
        <f t="shared" si="1"/>
        <v>0</v>
      </c>
      <c r="J22" s="3">
        <f t="shared" si="1"/>
        <v>0</v>
      </c>
      <c r="K22" s="3">
        <f t="shared" si="1"/>
        <v>0</v>
      </c>
      <c r="L22" s="3">
        <f t="shared" si="1"/>
        <v>0</v>
      </c>
      <c r="M22" s="3">
        <f t="shared" si="1"/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0</v>
      </c>
      <c r="S22" s="3">
        <f t="shared" si="1"/>
        <v>0</v>
      </c>
      <c r="T22" s="3">
        <f t="shared" si="1"/>
        <v>0</v>
      </c>
      <c r="U22" s="3">
        <f t="shared" si="1"/>
        <v>0</v>
      </c>
      <c r="V22" s="3">
        <f t="shared" si="1"/>
        <v>0</v>
      </c>
      <c r="W22" s="3">
        <f t="shared" si="1"/>
        <v>0</v>
      </c>
      <c r="X22" s="3">
        <f t="shared" si="1"/>
        <v>0</v>
      </c>
      <c r="Y22" s="3">
        <f t="shared" si="1"/>
        <v>0</v>
      </c>
      <c r="Z22" s="3">
        <f t="shared" si="1"/>
        <v>0</v>
      </c>
      <c r="AA22" s="3">
        <f t="shared" si="1"/>
        <v>0</v>
      </c>
      <c r="AB22" s="3">
        <f t="shared" si="1"/>
        <v>0</v>
      </c>
      <c r="AC22" s="3">
        <f t="shared" si="1"/>
        <v>0</v>
      </c>
      <c r="AD22" s="3">
        <f t="shared" si="1"/>
        <v>0</v>
      </c>
      <c r="AE22" s="3">
        <f t="shared" si="1"/>
        <v>0</v>
      </c>
      <c r="AF22" s="3">
        <f t="shared" si="1"/>
        <v>0</v>
      </c>
      <c r="AG22" s="3">
        <f t="shared" si="1"/>
        <v>0</v>
      </c>
      <c r="AH22" s="3">
        <f t="shared" si="1"/>
        <v>0</v>
      </c>
      <c r="AI22" s="3">
        <f t="shared" si="1"/>
        <v>0</v>
      </c>
      <c r="AJ22" s="3">
        <f t="shared" si="1"/>
        <v>0</v>
      </c>
      <c r="AK22" s="72">
        <f>SUM(AK6:AK20)</f>
        <v>498202</v>
      </c>
      <c r="AL22" s="22">
        <f>+D23-AK22</f>
        <v>996160</v>
      </c>
      <c r="AM22" s="6" t="s">
        <v>13</v>
      </c>
    </row>
    <row r="23" spans="1:39" x14ac:dyDescent="0.35">
      <c r="A23" s="2" t="s">
        <v>1780</v>
      </c>
      <c r="B23" t="s">
        <v>13</v>
      </c>
      <c r="C23" s="3" t="s">
        <v>13</v>
      </c>
      <c r="D23" s="3">
        <f>SUM(D6:D20)</f>
        <v>1494362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9" x14ac:dyDescent="0.35">
      <c r="A24" s="2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9" x14ac:dyDescent="0.35">
      <c r="A25" s="2" t="s">
        <v>2</v>
      </c>
      <c r="C25" t="s">
        <v>13</v>
      </c>
      <c r="F25" s="3"/>
      <c r="G25" s="3"/>
      <c r="H25" s="3"/>
      <c r="I25" s="3"/>
      <c r="J25" s="3"/>
      <c r="K25" s="3"/>
      <c r="L25" s="3" t="s">
        <v>13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9" ht="15" thickBot="1" x14ac:dyDescent="0.4">
      <c r="A26" s="404">
        <v>45178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9" x14ac:dyDescent="0.35">
      <c r="A27" s="358" t="s">
        <v>1008</v>
      </c>
      <c r="B27" s="37" t="s">
        <v>337</v>
      </c>
      <c r="C27" s="38"/>
      <c r="D27" s="39">
        <f>2400000-O27</f>
        <v>1900000</v>
      </c>
      <c r="E27" s="40"/>
      <c r="F27" s="3"/>
      <c r="G27" s="3"/>
      <c r="H27" s="3" t="s">
        <v>13</v>
      </c>
      <c r="I27" s="3" t="s">
        <v>13</v>
      </c>
      <c r="J27" s="3"/>
      <c r="K27" s="3"/>
      <c r="L27" s="3"/>
      <c r="M27" s="3"/>
      <c r="N27" s="3"/>
      <c r="O27" s="3">
        <v>500000</v>
      </c>
      <c r="P27" s="3" t="s">
        <v>13</v>
      </c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500000</v>
      </c>
    </row>
    <row r="28" spans="1:39" x14ac:dyDescent="0.35">
      <c r="A28" s="41" t="s">
        <v>2397</v>
      </c>
      <c r="B28" t="s">
        <v>337</v>
      </c>
      <c r="C28" s="5" t="s">
        <v>13</v>
      </c>
      <c r="D28" s="3">
        <f>+'Mar-24'!D42</f>
        <v>109245.57</v>
      </c>
      <c r="E28" s="42" t="s">
        <v>503</v>
      </c>
      <c r="F28" s="3"/>
      <c r="G28" s="3"/>
      <c r="H28" s="3"/>
      <c r="I28" s="3"/>
      <c r="J28" s="3"/>
      <c r="K28" s="3"/>
      <c r="L28" s="3"/>
      <c r="M28" s="3"/>
      <c r="N28" s="3">
        <v>109246</v>
      </c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">
        <f>SUM($F28:AJ28)</f>
        <v>109246</v>
      </c>
    </row>
    <row r="29" spans="1:39" x14ac:dyDescent="0.35">
      <c r="A29" s="41" t="s">
        <v>2388</v>
      </c>
      <c r="B29" t="s">
        <v>2389</v>
      </c>
      <c r="C29" s="5">
        <v>45326</v>
      </c>
      <c r="D29" s="3">
        <v>12990</v>
      </c>
      <c r="E29" s="344" t="s">
        <v>4</v>
      </c>
      <c r="F29" s="3"/>
      <c r="G29" s="3"/>
      <c r="H29" s="3"/>
      <c r="I29" s="3"/>
      <c r="K29" s="3"/>
      <c r="L29" s="3"/>
      <c r="M29" s="3"/>
      <c r="N29" s="3">
        <v>12990</v>
      </c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G29" s="3"/>
      <c r="AH29" s="3"/>
      <c r="AI29" s="3"/>
      <c r="AK29" s="3">
        <f>SUM($F29:AJ29)</f>
        <v>12990</v>
      </c>
    </row>
    <row r="30" spans="1:39" x14ac:dyDescent="0.35">
      <c r="A30" s="41" t="s">
        <v>2390</v>
      </c>
      <c r="B30" t="s">
        <v>2391</v>
      </c>
      <c r="C30" s="5">
        <v>45336</v>
      </c>
      <c r="D30" s="3">
        <v>6990</v>
      </c>
      <c r="E30" s="344" t="s">
        <v>4</v>
      </c>
      <c r="F30" s="3"/>
      <c r="G30" s="3"/>
      <c r="H30" s="3"/>
      <c r="I30" s="3"/>
      <c r="K30" s="3"/>
      <c r="L30" s="3"/>
      <c r="M30" s="3"/>
      <c r="N30" s="3">
        <v>6990</v>
      </c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G30" s="3"/>
      <c r="AH30" s="3"/>
      <c r="AI30" s="3"/>
      <c r="AK30" s="3">
        <f>SUM($F30:AJ30)</f>
        <v>6990</v>
      </c>
    </row>
    <row r="31" spans="1:39" x14ac:dyDescent="0.35">
      <c r="A31" s="343" t="s">
        <v>1792</v>
      </c>
      <c r="B31" s="24"/>
      <c r="C31" s="5">
        <v>45337</v>
      </c>
      <c r="D31" s="3">
        <f>66*2*1290/9+6000</f>
        <v>24920</v>
      </c>
      <c r="E31" s="344" t="s">
        <v>4</v>
      </c>
      <c r="F31" s="3"/>
      <c r="G31" s="3"/>
      <c r="H31" s="3"/>
      <c r="I31" s="3"/>
      <c r="K31" s="3"/>
      <c r="L31" s="3"/>
      <c r="M31" s="3"/>
      <c r="N31" s="3">
        <v>24920</v>
      </c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G31" s="3"/>
      <c r="AH31" s="3"/>
      <c r="AI31" s="3"/>
      <c r="AK31" s="3">
        <f>SUM($F31:AJ31)</f>
        <v>24920</v>
      </c>
    </row>
    <row r="32" spans="1:39" x14ac:dyDescent="0.35">
      <c r="A32" s="343" t="s">
        <v>2366</v>
      </c>
      <c r="B32" s="24"/>
      <c r="C32" s="5"/>
      <c r="D32" s="3">
        <v>30000</v>
      </c>
      <c r="E32" s="344" t="s">
        <v>4</v>
      </c>
      <c r="F32" s="3"/>
      <c r="G32" s="3"/>
      <c r="H32" s="3"/>
      <c r="I32" s="3"/>
      <c r="K32" s="3"/>
      <c r="L32" s="3"/>
      <c r="M32" s="3"/>
      <c r="N32" s="3">
        <v>30000</v>
      </c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G32" s="3"/>
      <c r="AH32" s="3"/>
      <c r="AI32" s="3"/>
      <c r="AK32" s="3">
        <f>SUM($F32:AJ32)</f>
        <v>30000</v>
      </c>
    </row>
    <row r="33" spans="1:43" x14ac:dyDescent="0.35">
      <c r="A33" s="41" t="s">
        <v>2396</v>
      </c>
      <c r="C33" s="5" t="s">
        <v>13</v>
      </c>
      <c r="D33" s="3">
        <v>13905</v>
      </c>
      <c r="E33" s="344" t="s">
        <v>503</v>
      </c>
      <c r="F33" s="3"/>
      <c r="G33" s="3"/>
      <c r="H33" s="3">
        <v>13905</v>
      </c>
      <c r="I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G33" s="3"/>
      <c r="AH33" s="3"/>
      <c r="AI33" s="3"/>
      <c r="AK33" s="3">
        <f>SUM($F33:AJ33)</f>
        <v>13905</v>
      </c>
    </row>
    <row r="34" spans="1:43" x14ac:dyDescent="0.35">
      <c r="A34" s="343" t="s">
        <v>2126</v>
      </c>
      <c r="B34" s="24"/>
      <c r="C34" s="5">
        <v>45419</v>
      </c>
      <c r="D34" s="3">
        <v>6499</v>
      </c>
      <c r="E34" s="344" t="s">
        <v>4</v>
      </c>
      <c r="F34" s="3"/>
      <c r="G34" s="3"/>
      <c r="H34" s="3"/>
      <c r="I34" s="3"/>
      <c r="J34" s="3"/>
      <c r="K34" s="3"/>
      <c r="L34" s="3" t="s">
        <v>13</v>
      </c>
      <c r="M34" s="3"/>
      <c r="N34" s="3">
        <v>6499</v>
      </c>
      <c r="O34" s="3"/>
      <c r="P34" s="3" t="s">
        <v>13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6499</v>
      </c>
      <c r="AN34" s="26"/>
      <c r="AO34" s="3"/>
    </row>
    <row r="35" spans="1:43" x14ac:dyDescent="0.35">
      <c r="A35" s="343" t="s">
        <v>2395</v>
      </c>
      <c r="B35" s="24"/>
      <c r="C35" s="5">
        <v>45401</v>
      </c>
      <c r="D35" s="3">
        <v>107197</v>
      </c>
      <c r="E35" s="344" t="s">
        <v>503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13</v>
      </c>
      <c r="U35" s="3"/>
      <c r="V35" s="3" t="s">
        <v>13</v>
      </c>
      <c r="W35" s="3"/>
      <c r="X35" s="3">
        <v>107197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107197</v>
      </c>
      <c r="AN35" s="26"/>
      <c r="AO35" s="3"/>
    </row>
    <row r="36" spans="1:43" x14ac:dyDescent="0.35">
      <c r="A36" s="343" t="s">
        <v>1161</v>
      </c>
      <c r="B36" s="24" t="s">
        <v>2399</v>
      </c>
      <c r="C36" s="5">
        <v>45384</v>
      </c>
      <c r="D36" s="3">
        <v>11500</v>
      </c>
      <c r="E36" s="344" t="s">
        <v>1704</v>
      </c>
      <c r="F36" s="3"/>
      <c r="G36" s="3">
        <v>11500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11500</v>
      </c>
      <c r="AN36" s="26"/>
      <c r="AO36" s="3"/>
    </row>
    <row r="37" spans="1:43" x14ac:dyDescent="0.35">
      <c r="A37" s="343" t="s">
        <v>2410</v>
      </c>
      <c r="B37" s="24"/>
      <c r="C37" s="5">
        <v>45385</v>
      </c>
      <c r="D37" s="3">
        <v>61441</v>
      </c>
      <c r="E37" s="344" t="s">
        <v>503</v>
      </c>
      <c r="F37" s="3"/>
      <c r="G37" s="3"/>
      <c r="H37" s="3">
        <v>61441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61441</v>
      </c>
      <c r="AN37" s="26"/>
      <c r="AO37" s="3"/>
    </row>
    <row r="38" spans="1:43" x14ac:dyDescent="0.35">
      <c r="A38" s="343" t="s">
        <v>1161</v>
      </c>
      <c r="B38" s="24" t="s">
        <v>2411</v>
      </c>
      <c r="C38" s="5">
        <v>45392</v>
      </c>
      <c r="D38" s="3">
        <v>9650</v>
      </c>
      <c r="E38" s="344" t="s">
        <v>1704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>
        <v>9650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9650</v>
      </c>
      <c r="AN38" s="26"/>
      <c r="AO38" s="3"/>
    </row>
    <row r="39" spans="1:43" x14ac:dyDescent="0.35">
      <c r="A39" s="343" t="s">
        <v>1161</v>
      </c>
      <c r="B39" s="24" t="s">
        <v>2409</v>
      </c>
      <c r="C39" s="5">
        <v>45400</v>
      </c>
      <c r="D39" s="3">
        <v>11500</v>
      </c>
      <c r="E39" s="344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13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N39" s="26"/>
      <c r="AO39" s="3"/>
    </row>
    <row r="40" spans="1:43" x14ac:dyDescent="0.35">
      <c r="A40" s="343"/>
      <c r="B40" s="24"/>
      <c r="C40" s="5"/>
      <c r="D40" s="3"/>
      <c r="E40" s="34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N40" s="26"/>
      <c r="AO40" s="3"/>
    </row>
    <row r="41" spans="1:43" x14ac:dyDescent="0.35">
      <c r="A41" s="343"/>
      <c r="B41" s="24"/>
      <c r="C41" s="5"/>
      <c r="D41" s="3"/>
      <c r="E41" s="34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N41" s="26"/>
      <c r="AO41" s="3"/>
    </row>
    <row r="42" spans="1:43" x14ac:dyDescent="0.35">
      <c r="A42" s="343"/>
      <c r="B42" s="24"/>
      <c r="C42" s="5"/>
      <c r="D42" s="3"/>
      <c r="E42" s="34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0</v>
      </c>
      <c r="AN42" s="26"/>
      <c r="AO42" s="3"/>
    </row>
    <row r="43" spans="1:43" x14ac:dyDescent="0.35">
      <c r="A43" s="343"/>
      <c r="B43" s="24"/>
      <c r="C43" s="5"/>
      <c r="D43" s="3"/>
      <c r="E43" s="34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0</v>
      </c>
      <c r="AN43" s="26"/>
      <c r="AO43" s="3"/>
    </row>
    <row r="44" spans="1:43" ht="15" thickBot="1" x14ac:dyDescent="0.4">
      <c r="A44" s="43" t="s">
        <v>2398</v>
      </c>
      <c r="B44" s="76" t="s">
        <v>337</v>
      </c>
      <c r="C44" s="45" t="s">
        <v>13</v>
      </c>
      <c r="D44" s="46">
        <f>+AK22*0.17</f>
        <v>84694.340000000011</v>
      </c>
      <c r="E44" s="47"/>
      <c r="F44" s="3"/>
      <c r="G44" s="3" t="s">
        <v>13</v>
      </c>
      <c r="H44" s="3" t="s">
        <v>13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0</v>
      </c>
      <c r="AL44" s="6" t="s">
        <v>1846</v>
      </c>
      <c r="AM44" s="6" t="s">
        <v>13</v>
      </c>
      <c r="AN44" s="26" t="s">
        <v>13</v>
      </c>
      <c r="AO44" s="3"/>
    </row>
    <row r="45" spans="1:43" x14ac:dyDescent="0.35">
      <c r="A45" s="3" t="s">
        <v>13</v>
      </c>
      <c r="B45" s="24"/>
      <c r="C45" s="236" t="s">
        <v>13</v>
      </c>
      <c r="D45" s="3"/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13</v>
      </c>
      <c r="AL45" s="22"/>
      <c r="AO45" s="14" t="s">
        <v>1558</v>
      </c>
      <c r="AP45" s="15">
        <f>+SUMIF(AL34:AL44,"CD",D34:D44)/1.19</f>
        <v>0</v>
      </c>
      <c r="AQ45" s="15" t="e">
        <f>+AP45*#REF!/#REF!</f>
        <v>#REF!</v>
      </c>
    </row>
    <row r="46" spans="1:43" x14ac:dyDescent="0.35">
      <c r="A46" s="4"/>
      <c r="B46" s="24"/>
      <c r="C46" s="67"/>
      <c r="D46" s="3"/>
      <c r="E46" s="153"/>
      <c r="F46" s="3" t="s">
        <v>13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 t="s">
        <v>13</v>
      </c>
      <c r="AL46" s="22"/>
      <c r="AO46" s="14" t="s">
        <v>1559</v>
      </c>
      <c r="AP46" s="15" t="e">
        <f>+#REF!-AP45</f>
        <v>#REF!</v>
      </c>
      <c r="AQ46" s="15" t="e">
        <f>+#REF!-AQ45</f>
        <v>#REF!</v>
      </c>
    </row>
    <row r="47" spans="1:43" x14ac:dyDescent="0.35">
      <c r="A47" s="4"/>
      <c r="B47" s="24"/>
      <c r="C47" s="67"/>
      <c r="D47" s="3"/>
      <c r="E47" s="15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 t="s">
        <v>13</v>
      </c>
      <c r="AL47" s="22"/>
      <c r="AO47" s="14" t="s">
        <v>1560</v>
      </c>
      <c r="AP47" s="327" t="e">
        <f>+AP46/#REF!</f>
        <v>#REF!</v>
      </c>
      <c r="AQ47" s="327" t="e">
        <f>+AQ46/#REF!</f>
        <v>#REF!</v>
      </c>
    </row>
    <row r="48" spans="1:43" x14ac:dyDescent="0.35">
      <c r="A48" s="4"/>
      <c r="B48" s="67"/>
      <c r="C48" s="236"/>
      <c r="E48" s="15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AJ48" s="3"/>
      <c r="AK48" s="3"/>
      <c r="AL48" s="22" t="s">
        <v>1388</v>
      </c>
      <c r="AM48" s="6" t="s">
        <v>1430</v>
      </c>
      <c r="AO48" s="14" t="s">
        <v>81</v>
      </c>
      <c r="AP48" s="15" t="e">
        <f>+SUMIF(AL34:AL44,"GAV",D34:D44)/1.19+SUMIF(#REF!,"REM",#REF!)</f>
        <v>#REF!</v>
      </c>
      <c r="AQ48" s="15" t="e">
        <f>+AP48*#REF!/#REF!</f>
        <v>#REF!</v>
      </c>
    </row>
    <row r="49" spans="1:43" x14ac:dyDescent="0.35">
      <c r="A49" s="2" t="s">
        <v>9</v>
      </c>
      <c r="D49" s="72">
        <f>SUM(D27:D47)-D27</f>
        <v>490531.91000000015</v>
      </c>
      <c r="F49" s="3">
        <f t="shared" ref="F49:AJ49" si="2">SUM(F27:F48)</f>
        <v>0</v>
      </c>
      <c r="G49" s="3">
        <f t="shared" si="2"/>
        <v>11500</v>
      </c>
      <c r="H49" s="3">
        <f t="shared" si="2"/>
        <v>75346</v>
      </c>
      <c r="I49" s="3">
        <f t="shared" si="2"/>
        <v>0</v>
      </c>
      <c r="J49" s="3">
        <f t="shared" si="2"/>
        <v>0</v>
      </c>
      <c r="K49" s="3">
        <f t="shared" si="2"/>
        <v>0</v>
      </c>
      <c r="L49" s="3">
        <f t="shared" si="2"/>
        <v>0</v>
      </c>
      <c r="M49" s="3">
        <f t="shared" si="2"/>
        <v>0</v>
      </c>
      <c r="N49" s="3">
        <f t="shared" si="2"/>
        <v>190645</v>
      </c>
      <c r="O49" s="3">
        <f>SUM(O27:O48)</f>
        <v>500000</v>
      </c>
      <c r="P49" s="3">
        <f t="shared" si="2"/>
        <v>0</v>
      </c>
      <c r="Q49" s="3">
        <f t="shared" si="2"/>
        <v>0</v>
      </c>
      <c r="R49" s="3">
        <f t="shared" si="2"/>
        <v>0</v>
      </c>
      <c r="S49" s="3">
        <f t="shared" si="2"/>
        <v>0</v>
      </c>
      <c r="T49" s="3">
        <f t="shared" si="2"/>
        <v>0</v>
      </c>
      <c r="U49" s="3">
        <f t="shared" si="2"/>
        <v>0</v>
      </c>
      <c r="V49" s="3">
        <f t="shared" si="2"/>
        <v>0</v>
      </c>
      <c r="W49" s="3">
        <f t="shared" si="2"/>
        <v>9650</v>
      </c>
      <c r="X49" s="3">
        <f t="shared" si="2"/>
        <v>107197</v>
      </c>
      <c r="Y49" s="3">
        <f t="shared" si="2"/>
        <v>0</v>
      </c>
      <c r="Z49" s="3">
        <f t="shared" si="2"/>
        <v>0</v>
      </c>
      <c r="AA49" s="3">
        <f t="shared" si="2"/>
        <v>0</v>
      </c>
      <c r="AB49" s="3">
        <f t="shared" si="2"/>
        <v>0</v>
      </c>
      <c r="AC49" s="3">
        <f t="shared" si="2"/>
        <v>0</v>
      </c>
      <c r="AD49" s="3">
        <f t="shared" si="2"/>
        <v>0</v>
      </c>
      <c r="AE49" s="3">
        <f t="shared" si="2"/>
        <v>0</v>
      </c>
      <c r="AF49" s="3">
        <f t="shared" si="2"/>
        <v>0</v>
      </c>
      <c r="AG49" s="3">
        <f t="shared" si="2"/>
        <v>0</v>
      </c>
      <c r="AH49" s="3">
        <f t="shared" si="2"/>
        <v>0</v>
      </c>
      <c r="AI49" s="3">
        <f t="shared" si="2"/>
        <v>0</v>
      </c>
      <c r="AJ49" s="3">
        <f t="shared" si="2"/>
        <v>0</v>
      </c>
      <c r="AK49" s="72">
        <f>SUM(AK27:AK47)-AK27</f>
        <v>394338</v>
      </c>
      <c r="AL49" s="324">
        <f>+D49-AK49</f>
        <v>96193.910000000149</v>
      </c>
      <c r="AM49" s="324" t="e">
        <f>+AJ50+AL22-AL49-1200000</f>
        <v>#VALUE!</v>
      </c>
      <c r="AO49" s="14" t="s">
        <v>1561</v>
      </c>
      <c r="AP49" s="15" t="e">
        <f>+AP46-AP48</f>
        <v>#REF!</v>
      </c>
      <c r="AQ49" s="15" t="e">
        <f>+AQ46-AQ48</f>
        <v>#REF!</v>
      </c>
    </row>
    <row r="50" spans="1:43" x14ac:dyDescent="0.35">
      <c r="A50" t="s">
        <v>8</v>
      </c>
      <c r="F50" s="3">
        <f t="shared" ref="F50:AJ50" si="3">+F22+F3-F49</f>
        <v>2145799.2148390845</v>
      </c>
      <c r="G50" s="3">
        <f t="shared" si="3"/>
        <v>2134299.2148390845</v>
      </c>
      <c r="H50" s="3">
        <f t="shared" si="3"/>
        <v>2199474.2148390845</v>
      </c>
      <c r="I50" s="3">
        <f t="shared" si="3"/>
        <v>2199474.2148390845</v>
      </c>
      <c r="J50" s="3">
        <f t="shared" si="3"/>
        <v>2199474.2148390845</v>
      </c>
      <c r="K50" s="3">
        <f t="shared" si="3"/>
        <v>2199474.2148390845</v>
      </c>
      <c r="L50" s="3">
        <f t="shared" si="3"/>
        <v>2199474.2148390845</v>
      </c>
      <c r="M50" s="3">
        <f t="shared" si="3"/>
        <v>2199474.2148390845</v>
      </c>
      <c r="N50" s="3">
        <f t="shared" si="3"/>
        <v>2008829.2148390845</v>
      </c>
      <c r="O50" s="3">
        <f t="shared" si="3"/>
        <v>1508829.2148390845</v>
      </c>
      <c r="P50" s="3">
        <f t="shared" si="3"/>
        <v>1508829.2148390845</v>
      </c>
      <c r="Q50" s="3">
        <f t="shared" si="3"/>
        <v>1508829.2148390845</v>
      </c>
      <c r="R50" s="3">
        <f t="shared" si="3"/>
        <v>1508829.2148390845</v>
      </c>
      <c r="S50" s="3">
        <f t="shared" si="3"/>
        <v>1508829.2148390845</v>
      </c>
      <c r="T50" s="3">
        <f t="shared" si="3"/>
        <v>1508829.2148390845</v>
      </c>
      <c r="U50" s="3">
        <f t="shared" si="3"/>
        <v>1508829.2148390845</v>
      </c>
      <c r="V50" s="3">
        <f t="shared" si="3"/>
        <v>1508829.2148390845</v>
      </c>
      <c r="W50" s="3">
        <f t="shared" si="3"/>
        <v>1499179.2148390845</v>
      </c>
      <c r="X50" s="3">
        <f t="shared" si="3"/>
        <v>1391982.2148390845</v>
      </c>
      <c r="Y50" s="3">
        <f t="shared" si="3"/>
        <v>1391982.2148390845</v>
      </c>
      <c r="Z50" s="3">
        <f t="shared" si="3"/>
        <v>1391982.2148390845</v>
      </c>
      <c r="AA50" s="3">
        <f t="shared" si="3"/>
        <v>1391982.2148390845</v>
      </c>
      <c r="AB50" s="3">
        <f t="shared" si="3"/>
        <v>1391982.2148390845</v>
      </c>
      <c r="AC50" s="3">
        <f t="shared" si="3"/>
        <v>1391982.2148390845</v>
      </c>
      <c r="AD50" s="3">
        <f t="shared" si="3"/>
        <v>1391982.2148390845</v>
      </c>
      <c r="AE50" s="3">
        <f t="shared" si="3"/>
        <v>1391982.2148390845</v>
      </c>
      <c r="AF50" s="3">
        <f t="shared" si="3"/>
        <v>1391982.2148390845</v>
      </c>
      <c r="AG50" s="3">
        <f t="shared" si="3"/>
        <v>1391982.2148390845</v>
      </c>
      <c r="AH50" s="3">
        <f t="shared" si="3"/>
        <v>1391982.2148390845</v>
      </c>
      <c r="AI50" s="3">
        <f t="shared" si="3"/>
        <v>1391982.2148390845</v>
      </c>
      <c r="AJ50" s="3" t="e">
        <f t="shared" si="3"/>
        <v>#VALUE!</v>
      </c>
      <c r="AK50" s="3" t="s">
        <v>13</v>
      </c>
      <c r="AM50" s="22" t="s">
        <v>13</v>
      </c>
      <c r="AO50" s="14" t="s">
        <v>1563</v>
      </c>
      <c r="AP50" s="15">
        <f>+SUMIF(AL34:AL44,"GF",D34:D44)</f>
        <v>0</v>
      </c>
      <c r="AQ50" s="15">
        <v>0</v>
      </c>
    </row>
    <row r="51" spans="1:43" x14ac:dyDescent="0.35">
      <c r="F51" s="3"/>
      <c r="G51" s="3"/>
      <c r="H51" s="3"/>
      <c r="I51" s="3" t="s">
        <v>13</v>
      </c>
      <c r="J51" s="3"/>
      <c r="K51" s="3" t="s">
        <v>13</v>
      </c>
      <c r="L51" s="3"/>
      <c r="M51" s="3"/>
      <c r="N51" s="3"/>
      <c r="O51" s="3"/>
      <c r="P51" s="3" t="s">
        <v>13</v>
      </c>
      <c r="Q51" s="3"/>
      <c r="R51" s="3"/>
      <c r="S51" s="3"/>
      <c r="T51" s="3" t="s">
        <v>13</v>
      </c>
      <c r="U51" s="3"/>
      <c r="V51" s="3"/>
      <c r="W51" s="3"/>
      <c r="Y51" s="3" t="s">
        <v>13</v>
      </c>
      <c r="Z51" s="3" t="s">
        <v>13</v>
      </c>
      <c r="AA51" s="3" t="s">
        <v>13</v>
      </c>
      <c r="AB51" s="3" t="s">
        <v>13</v>
      </c>
      <c r="AO51" s="14" t="s">
        <v>82</v>
      </c>
      <c r="AP51" s="15">
        <v>0</v>
      </c>
      <c r="AQ51" s="15">
        <f>+SUMIF(AL34:AL44,"AF",D34:D44)/1.19</f>
        <v>0</v>
      </c>
    </row>
    <row r="52" spans="1:43" ht="15" thickBot="1" x14ac:dyDescent="0.4">
      <c r="F52" s="3" t="s">
        <v>13</v>
      </c>
      <c r="G52" s="3" t="s">
        <v>13</v>
      </c>
      <c r="H52" s="3" t="s">
        <v>13</v>
      </c>
      <c r="I52" s="3"/>
      <c r="J52" s="3"/>
      <c r="K52" s="3"/>
      <c r="L52" s="3"/>
      <c r="M52" s="3"/>
      <c r="N52" s="3"/>
      <c r="O52" s="3"/>
      <c r="P52" s="3" t="s">
        <v>13</v>
      </c>
      <c r="Q52" s="3" t="s">
        <v>13</v>
      </c>
      <c r="R52" s="3" t="s">
        <v>13</v>
      </c>
      <c r="S52" s="3"/>
      <c r="T52" s="3"/>
      <c r="U52" s="3" t="s">
        <v>13</v>
      </c>
      <c r="V52" s="3"/>
      <c r="W52" s="3"/>
      <c r="AB52" s="3" t="s">
        <v>13</v>
      </c>
      <c r="AG52" s="3" t="s">
        <v>13</v>
      </c>
      <c r="AJ52" s="3" t="s">
        <v>13</v>
      </c>
      <c r="AO52" s="16"/>
      <c r="AP52" s="19" t="e">
        <f>+AP49-AP50-AP51</f>
        <v>#REF!</v>
      </c>
      <c r="AQ52" s="19" t="e">
        <f>+AQ49-AQ50-AQ51</f>
        <v>#REF!</v>
      </c>
    </row>
    <row r="53" spans="1:43" x14ac:dyDescent="0.35">
      <c r="A53" t="s">
        <v>2163</v>
      </c>
      <c r="B53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3" s="3" t="e">
        <f>+B53*0.16</f>
        <v>#REF!</v>
      </c>
      <c r="E53" s="6" t="s">
        <v>13</v>
      </c>
      <c r="F53" s="3"/>
      <c r="G53" s="3" t="s">
        <v>13</v>
      </c>
      <c r="H53" s="3" t="s">
        <v>13</v>
      </c>
      <c r="I53" s="3"/>
      <c r="J53" s="3"/>
      <c r="K53" s="3"/>
      <c r="L53" s="3"/>
      <c r="M53" s="3"/>
      <c r="N53" s="3"/>
      <c r="O53" s="3"/>
      <c r="W53" s="3"/>
      <c r="AB53" s="3" t="s">
        <v>13</v>
      </c>
      <c r="AG53" s="3" t="s">
        <v>13</v>
      </c>
      <c r="AJ53" s="3" t="s">
        <v>13</v>
      </c>
      <c r="AO53" t="s">
        <v>1961</v>
      </c>
      <c r="AP53" s="26" t="e">
        <f ca="1">+AP$52+'May-23'!AP82</f>
        <v>#REF!</v>
      </c>
      <c r="AQ53" s="3" t="e">
        <f ca="1">+AQ$52+'May-23'!AQ82</f>
        <v>#REF!</v>
      </c>
    </row>
    <row r="54" spans="1:43" x14ac:dyDescent="0.35">
      <c r="F54" s="3"/>
      <c r="G54" s="3" t="s">
        <v>13</v>
      </c>
      <c r="H54" s="3"/>
      <c r="I54" s="3"/>
      <c r="J54" s="3"/>
      <c r="K54" s="3"/>
      <c r="L54" s="3"/>
      <c r="M54" s="3"/>
      <c r="N54" s="3"/>
      <c r="O54" s="3"/>
      <c r="W54" s="3" t="s">
        <v>13</v>
      </c>
      <c r="AB54" s="3" t="s">
        <v>13</v>
      </c>
      <c r="AD54" t="s">
        <v>2296</v>
      </c>
      <c r="AE54">
        <v>2</v>
      </c>
      <c r="AG54" s="3" t="s">
        <v>13</v>
      </c>
      <c r="AJ54" s="3" t="s">
        <v>13</v>
      </c>
      <c r="AO54" t="s">
        <v>1960</v>
      </c>
      <c r="AP54" s="26" t="e">
        <f ca="1">+AP$52+'May-23'!AP83</f>
        <v>#REF!</v>
      </c>
      <c r="AQ54" s="3" t="e">
        <f ca="1">+AQ$52+'May-23'!AQ83</f>
        <v>#REF!</v>
      </c>
    </row>
    <row r="55" spans="1:43" x14ac:dyDescent="0.35">
      <c r="A55" t="s">
        <v>13</v>
      </c>
      <c r="F55" s="3" t="s">
        <v>13</v>
      </c>
      <c r="G55" s="3" t="s">
        <v>13</v>
      </c>
      <c r="H55" s="3"/>
      <c r="I55" s="3"/>
      <c r="J55" s="3"/>
      <c r="K55" s="3"/>
      <c r="L55" s="3"/>
      <c r="M55" s="3">
        <v>538500</v>
      </c>
      <c r="N55" s="3"/>
      <c r="O55" s="3"/>
      <c r="W55" s="3"/>
      <c r="AB55" s="3" t="s">
        <v>13</v>
      </c>
      <c r="AD55" t="s">
        <v>2297</v>
      </c>
      <c r="AG55" s="3" t="s">
        <v>13</v>
      </c>
      <c r="AJ55" s="3" t="s">
        <v>13</v>
      </c>
    </row>
    <row r="56" spans="1:43" x14ac:dyDescent="0.35">
      <c r="B56" t="s">
        <v>13</v>
      </c>
      <c r="F56" s="3" t="s">
        <v>13</v>
      </c>
      <c r="G56" s="3" t="s">
        <v>13</v>
      </c>
      <c r="H56" s="3"/>
      <c r="I56" s="3"/>
      <c r="J56" s="3"/>
      <c r="K56" s="3"/>
      <c r="L56" s="3" t="s">
        <v>13</v>
      </c>
      <c r="M56" s="3">
        <v>682100</v>
      </c>
      <c r="N56" s="3"/>
      <c r="O56" s="3"/>
      <c r="W56" s="3"/>
      <c r="AB56" s="3" t="s">
        <v>13</v>
      </c>
      <c r="AG56" s="3" t="s">
        <v>13</v>
      </c>
      <c r="AJ56" s="3" t="s">
        <v>13</v>
      </c>
      <c r="AL56"/>
      <c r="AM56"/>
    </row>
    <row r="57" spans="1:43" x14ac:dyDescent="0.35">
      <c r="F57" s="3"/>
      <c r="G57" s="3" t="s">
        <v>13</v>
      </c>
      <c r="H57" s="3"/>
      <c r="I57" s="3"/>
      <c r="J57" s="3"/>
      <c r="K57" s="3"/>
      <c r="L57" s="3"/>
      <c r="M57" s="3">
        <f>SUM(M55:M56)</f>
        <v>1220600</v>
      </c>
      <c r="AG57" s="3" t="s">
        <v>13</v>
      </c>
      <c r="AJ57" s="3" t="s">
        <v>13</v>
      </c>
      <c r="AL57"/>
      <c r="AM57"/>
    </row>
    <row r="58" spans="1:43" x14ac:dyDescent="0.35">
      <c r="B58" t="s">
        <v>13</v>
      </c>
      <c r="F58" s="3"/>
      <c r="G58" s="3" t="s">
        <v>13</v>
      </c>
      <c r="H58" s="3"/>
      <c r="I58" s="3"/>
      <c r="J58" s="3"/>
      <c r="K58" s="3"/>
      <c r="L58" s="3"/>
      <c r="AB58" t="s">
        <v>13</v>
      </c>
      <c r="AG58" s="3" t="s">
        <v>13</v>
      </c>
      <c r="AJ58" s="3" t="s">
        <v>13</v>
      </c>
      <c r="AL58"/>
      <c r="AM58"/>
      <c r="AQ58" t="s">
        <v>13</v>
      </c>
    </row>
    <row r="59" spans="1:43" x14ac:dyDescent="0.35">
      <c r="B59" t="s">
        <v>13</v>
      </c>
      <c r="C59" t="s">
        <v>13</v>
      </c>
      <c r="F59" s="3"/>
      <c r="G59" s="3" t="s">
        <v>13</v>
      </c>
      <c r="H59" s="3"/>
      <c r="I59" s="3"/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C60" t="s">
        <v>13</v>
      </c>
      <c r="F60" s="3"/>
      <c r="G60" s="3" t="s">
        <v>13</v>
      </c>
      <c r="H60" s="3"/>
      <c r="I60" s="3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F61" s="3"/>
      <c r="G61" s="3" t="s">
        <v>13</v>
      </c>
      <c r="H61" s="3"/>
      <c r="I61" s="3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3" t="s">
        <v>13</v>
      </c>
      <c r="H62" s="3"/>
      <c r="I62" s="3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3" t="s">
        <v>13</v>
      </c>
      <c r="H63" s="3"/>
      <c r="I63" s="3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G68" s="3" t="s">
        <v>13</v>
      </c>
      <c r="AJ68" s="3" t="s">
        <v>13</v>
      </c>
      <c r="AL68"/>
      <c r="AM68"/>
    </row>
    <row r="69" spans="2:39" x14ac:dyDescent="0.35">
      <c r="B69" t="s">
        <v>13</v>
      </c>
      <c r="F69" s="3"/>
      <c r="G69" s="3" t="s">
        <v>13</v>
      </c>
      <c r="H69" s="3"/>
      <c r="I69" s="3"/>
      <c r="J69" s="3"/>
      <c r="K69" s="3"/>
      <c r="L69" s="3"/>
      <c r="AG69" s="3" t="s">
        <v>13</v>
      </c>
      <c r="AJ69" s="3" t="s">
        <v>13</v>
      </c>
      <c r="AL69"/>
      <c r="AM69"/>
    </row>
    <row r="70" spans="2:39" x14ac:dyDescent="0.35">
      <c r="B70" t="s">
        <v>13</v>
      </c>
      <c r="F70" s="3"/>
      <c r="G70" s="3" t="s">
        <v>13</v>
      </c>
      <c r="H70" s="3"/>
      <c r="I70" s="3"/>
      <c r="J70" s="3"/>
      <c r="K70" s="3"/>
      <c r="L70" s="3"/>
      <c r="AL70"/>
      <c r="AM70"/>
    </row>
    <row r="71" spans="2:39" x14ac:dyDescent="0.35">
      <c r="B71" t="s">
        <v>13</v>
      </c>
      <c r="F71" s="3"/>
      <c r="G71" s="3" t="s">
        <v>13</v>
      </c>
      <c r="H71" s="3"/>
      <c r="I71" s="3"/>
      <c r="J71" s="3"/>
      <c r="K71" s="3"/>
      <c r="L71" s="3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2F4D-BBB2-48D2-9618-786078C90E03}">
  <dimension ref="A1:AQ99"/>
  <sheetViews>
    <sheetView zoomScale="60" zoomScaleNormal="60" workbookViewId="0">
      <pane xSplit="5" ySplit="3" topLeftCell="AD4" activePane="bottomRight" state="frozen"/>
      <selection pane="topRight" activeCell="F1" sqref="F1"/>
      <selection pane="bottomLeft" activeCell="A4" sqref="A4"/>
      <selection pane="bottomRight" activeCell="D44" sqref="D44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45413</v>
      </c>
      <c r="G2" s="1">
        <v>45414</v>
      </c>
      <c r="H2" s="1">
        <v>45415</v>
      </c>
      <c r="I2" s="1">
        <v>45416</v>
      </c>
      <c r="J2" s="1">
        <v>45417</v>
      </c>
      <c r="K2" s="1">
        <v>45418</v>
      </c>
      <c r="L2" s="1">
        <v>45419</v>
      </c>
      <c r="M2" s="1">
        <v>45420</v>
      </c>
      <c r="N2" s="1">
        <v>45421</v>
      </c>
      <c r="O2" s="1">
        <v>45422</v>
      </c>
      <c r="P2" s="1">
        <v>45423</v>
      </c>
      <c r="Q2" s="1">
        <v>45424</v>
      </c>
      <c r="R2" s="1">
        <v>45425</v>
      </c>
      <c r="S2" s="1">
        <v>45426</v>
      </c>
      <c r="T2" s="1">
        <v>45427</v>
      </c>
      <c r="U2" s="1">
        <v>45428</v>
      </c>
      <c r="V2" s="1">
        <v>45429</v>
      </c>
      <c r="W2" s="1">
        <v>45430</v>
      </c>
      <c r="X2" s="1">
        <v>45431</v>
      </c>
      <c r="Y2" s="1">
        <v>45432</v>
      </c>
      <c r="Z2" s="1">
        <v>45433</v>
      </c>
      <c r="AA2" s="1">
        <v>45434</v>
      </c>
      <c r="AB2" s="1">
        <v>45435</v>
      </c>
      <c r="AC2" s="1">
        <v>45436</v>
      </c>
      <c r="AD2" s="1">
        <v>45437</v>
      </c>
      <c r="AE2" s="1">
        <v>45438</v>
      </c>
      <c r="AF2" s="1">
        <v>45439</v>
      </c>
      <c r="AG2" s="1">
        <v>45440</v>
      </c>
      <c r="AH2" s="1">
        <v>45441</v>
      </c>
      <c r="AI2" s="1">
        <v>45442</v>
      </c>
      <c r="AJ2" s="1">
        <v>45443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+'Abr-24'!AI50</f>
        <v>1391982.2148390845</v>
      </c>
      <c r="G3" s="3">
        <f t="shared" ref="G3:AJ3" si="0">+F45</f>
        <v>1391982.2148390845</v>
      </c>
      <c r="H3" s="3">
        <f t="shared" si="0"/>
        <v>1391982.2148390845</v>
      </c>
      <c r="I3" s="3">
        <f t="shared" si="0"/>
        <v>1391982.2148390845</v>
      </c>
      <c r="J3" s="3">
        <f t="shared" si="0"/>
        <v>1391982.2148390845</v>
      </c>
      <c r="K3" s="3">
        <f t="shared" si="0"/>
        <v>1391982.2148390845</v>
      </c>
      <c r="L3" s="3">
        <f t="shared" si="0"/>
        <v>1378077.2148390845</v>
      </c>
      <c r="M3" s="3">
        <f t="shared" si="0"/>
        <v>1293382.8748390845</v>
      </c>
      <c r="N3" s="3">
        <f t="shared" si="0"/>
        <v>1293382.8748390845</v>
      </c>
      <c r="O3" s="3">
        <f t="shared" si="0"/>
        <v>1293382.8748390845</v>
      </c>
      <c r="P3" s="3">
        <f t="shared" si="0"/>
        <v>1293382.8748390845</v>
      </c>
      <c r="Q3" s="3">
        <f t="shared" si="0"/>
        <v>1293382.8748390845</v>
      </c>
      <c r="R3" s="3">
        <f t="shared" si="0"/>
        <v>1293382.8748390845</v>
      </c>
      <c r="S3" s="3">
        <f t="shared" si="0"/>
        <v>1293382.8748390845</v>
      </c>
      <c r="T3" s="3">
        <f t="shared" si="0"/>
        <v>1293382.8748390845</v>
      </c>
      <c r="U3" s="3">
        <f t="shared" si="0"/>
        <v>1293382.8748390845</v>
      </c>
      <c r="V3" s="3">
        <f t="shared" si="0"/>
        <v>1679865.8748390845</v>
      </c>
      <c r="W3" s="3">
        <f t="shared" si="0"/>
        <v>1679865.8748390845</v>
      </c>
      <c r="X3" s="3">
        <f t="shared" si="0"/>
        <v>1679865.8748390845</v>
      </c>
      <c r="Y3" s="3">
        <f t="shared" si="0"/>
        <v>1679865.8748390845</v>
      </c>
      <c r="Z3" s="3">
        <f t="shared" si="0"/>
        <v>1638025.8748390845</v>
      </c>
      <c r="AA3" s="3">
        <f t="shared" si="0"/>
        <v>1638025.8748390845</v>
      </c>
      <c r="AB3" s="3">
        <f t="shared" si="0"/>
        <v>1638025.8748390845</v>
      </c>
      <c r="AC3" s="3">
        <f t="shared" si="0"/>
        <v>1638025.8748390845</v>
      </c>
      <c r="AD3" s="3">
        <f t="shared" si="0"/>
        <v>1638025.8748390845</v>
      </c>
      <c r="AE3" s="3">
        <f t="shared" si="0"/>
        <v>1626025.8748390845</v>
      </c>
      <c r="AF3" s="3">
        <f t="shared" si="0"/>
        <v>1626025.8748390845</v>
      </c>
      <c r="AG3" s="3">
        <f t="shared" si="0"/>
        <v>1626025.8748390845</v>
      </c>
      <c r="AH3" s="3">
        <f t="shared" si="0"/>
        <v>1626025.8748390845</v>
      </c>
      <c r="AI3" s="3">
        <f t="shared" si="0"/>
        <v>1626025.8748390845</v>
      </c>
      <c r="AJ3" s="3">
        <f t="shared" si="0"/>
        <v>1626025.8748390845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41" t="s">
        <v>2460</v>
      </c>
      <c r="B6" t="s">
        <v>2458</v>
      </c>
      <c r="C6" s="5">
        <v>45336</v>
      </c>
      <c r="D6" s="3">
        <v>87189</v>
      </c>
      <c r="E6" s="42" t="s">
        <v>2459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2381</v>
      </c>
      <c r="B7" t="s">
        <v>2382</v>
      </c>
      <c r="C7" s="5">
        <v>45360</v>
      </c>
      <c r="D7" s="3">
        <f>128522-9</f>
        <v>128513</v>
      </c>
      <c r="E7" s="42" t="s">
        <v>2325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128513</v>
      </c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128513</v>
      </c>
      <c r="AL7" s="22"/>
    </row>
    <row r="8" spans="1:39" x14ac:dyDescent="0.35">
      <c r="A8" s="41" t="s">
        <v>2386</v>
      </c>
      <c r="B8" t="s">
        <v>2387</v>
      </c>
      <c r="C8" s="5">
        <v>45371</v>
      </c>
      <c r="D8" s="3">
        <v>96114</v>
      </c>
      <c r="E8" s="42" t="s">
        <v>2325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96114</v>
      </c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96114</v>
      </c>
      <c r="AL8" s="22"/>
    </row>
    <row r="9" spans="1:39" ht="15" thickBot="1" x14ac:dyDescent="0.4">
      <c r="A9" s="43" t="s">
        <v>2393</v>
      </c>
      <c r="B9" s="76" t="s">
        <v>2394</v>
      </c>
      <c r="C9" s="45">
        <v>45378</v>
      </c>
      <c r="D9" s="46">
        <v>169856</v>
      </c>
      <c r="E9" s="47" t="s">
        <v>2325</v>
      </c>
      <c r="F9" s="3"/>
      <c r="G9" s="3"/>
      <c r="H9" s="3"/>
      <c r="I9" s="3"/>
      <c r="J9" s="3"/>
      <c r="K9" s="3" t="s">
        <v>13</v>
      </c>
      <c r="L9" s="3"/>
      <c r="M9" s="3"/>
      <c r="N9" s="3"/>
      <c r="O9" s="3"/>
      <c r="P9" s="3"/>
      <c r="Q9" s="3"/>
      <c r="R9" s="3"/>
      <c r="S9" s="3"/>
      <c r="T9" s="3"/>
      <c r="U9" s="3">
        <v>169856</v>
      </c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169856</v>
      </c>
      <c r="AL9" s="22"/>
    </row>
    <row r="10" spans="1:39" x14ac:dyDescent="0.35">
      <c r="A10" s="36" t="s">
        <v>2404</v>
      </c>
      <c r="B10" s="66" t="s">
        <v>2403</v>
      </c>
      <c r="C10" s="38">
        <v>45386</v>
      </c>
      <c r="D10" s="39">
        <v>124390</v>
      </c>
      <c r="E10" s="40" t="s">
        <v>2402</v>
      </c>
      <c r="F10" s="3"/>
      <c r="G10" s="3"/>
      <c r="H10" s="3"/>
      <c r="I10" s="3"/>
      <c r="J10" s="3"/>
      <c r="K10" s="3" t="s">
        <v>13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0</v>
      </c>
      <c r="AL10" s="22"/>
    </row>
    <row r="11" spans="1:39" x14ac:dyDescent="0.35">
      <c r="A11" s="41" t="s">
        <v>2405</v>
      </c>
      <c r="B11" t="s">
        <v>2406</v>
      </c>
      <c r="C11" s="5">
        <v>45390</v>
      </c>
      <c r="D11" s="3">
        <v>128522</v>
      </c>
      <c r="E11" s="42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2407</v>
      </c>
      <c r="B12" t="s">
        <v>2408</v>
      </c>
      <c r="C12" s="5">
        <v>45400</v>
      </c>
      <c r="D12" s="3">
        <v>87189</v>
      </c>
      <c r="E12" s="42" t="s">
        <v>2325</v>
      </c>
      <c r="F12" s="3"/>
      <c r="G12" s="3"/>
      <c r="H12" s="3"/>
      <c r="I12" s="3"/>
      <c r="J12" s="3"/>
      <c r="K12" s="341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2412</v>
      </c>
      <c r="B13" t="s">
        <v>2413</v>
      </c>
      <c r="C13" s="5">
        <v>45406</v>
      </c>
      <c r="D13" s="3">
        <v>87189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ht="15" thickBot="1" x14ac:dyDescent="0.4">
      <c r="A14" s="43" t="s">
        <v>2414</v>
      </c>
      <c r="B14" s="76" t="s">
        <v>2415</v>
      </c>
      <c r="C14" s="45">
        <v>45409</v>
      </c>
      <c r="D14" s="46">
        <v>87189</v>
      </c>
      <c r="E14" s="47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36" t="s">
        <v>2418</v>
      </c>
      <c r="B15" s="66" t="s">
        <v>2419</v>
      </c>
      <c r="C15" s="38">
        <v>45419</v>
      </c>
      <c r="D15" s="39">
        <v>87189</v>
      </c>
      <c r="E15" s="40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2421</v>
      </c>
      <c r="B16" t="s">
        <v>2422</v>
      </c>
      <c r="C16" s="5">
        <v>45428</v>
      </c>
      <c r="D16" s="3">
        <v>87189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x14ac:dyDescent="0.35">
      <c r="A17" s="41" t="s">
        <v>2426</v>
      </c>
      <c r="B17" t="s">
        <v>2427</v>
      </c>
      <c r="C17" s="5">
        <v>45431</v>
      </c>
      <c r="D17" s="3">
        <v>105753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A18" s="41" t="s">
        <v>2428</v>
      </c>
      <c r="B18" t="s">
        <v>2429</v>
      </c>
      <c r="C18" s="5">
        <v>45441</v>
      </c>
      <c r="D18" s="3">
        <v>87189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41" ht="15" thickBot="1" x14ac:dyDescent="0.4">
      <c r="A19" s="43" t="s">
        <v>2430</v>
      </c>
      <c r="B19" s="76" t="s">
        <v>2431</v>
      </c>
      <c r="C19" s="45">
        <v>45443</v>
      </c>
      <c r="D19" s="46">
        <v>87189</v>
      </c>
      <c r="E19" s="47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1" x14ac:dyDescent="0.35">
      <c r="A20" s="41"/>
      <c r="E20" s="4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1" x14ac:dyDescent="0.35"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24" t="s">
        <v>1962</v>
      </c>
      <c r="AL21" s="22" t="s">
        <v>1352</v>
      </c>
    </row>
    <row r="22" spans="1:41" x14ac:dyDescent="0.35">
      <c r="A22" s="2" t="s">
        <v>1676</v>
      </c>
      <c r="D22" s="3">
        <f>SUM(D15:D19)</f>
        <v>454509</v>
      </c>
      <c r="F22" s="3">
        <f t="shared" ref="F22:AJ22" si="1">SUM(F5:F20)</f>
        <v>0</v>
      </c>
      <c r="G22" s="3">
        <f t="shared" si="1"/>
        <v>0</v>
      </c>
      <c r="H22" s="3">
        <f t="shared" si="1"/>
        <v>0</v>
      </c>
      <c r="I22" s="3">
        <f t="shared" si="1"/>
        <v>0</v>
      </c>
      <c r="J22" s="3">
        <f t="shared" si="1"/>
        <v>0</v>
      </c>
      <c r="K22" s="3">
        <f t="shared" si="1"/>
        <v>0</v>
      </c>
      <c r="L22" s="3">
        <f t="shared" si="1"/>
        <v>0</v>
      </c>
      <c r="M22" s="3">
        <f t="shared" si="1"/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0</v>
      </c>
      <c r="S22" s="3">
        <f t="shared" si="1"/>
        <v>0</v>
      </c>
      <c r="T22" s="3">
        <f t="shared" si="1"/>
        <v>0</v>
      </c>
      <c r="U22" s="3">
        <f t="shared" si="1"/>
        <v>394483</v>
      </c>
      <c r="V22" s="3">
        <f t="shared" si="1"/>
        <v>0</v>
      </c>
      <c r="W22" s="3">
        <f t="shared" si="1"/>
        <v>0</v>
      </c>
      <c r="X22" s="3">
        <f t="shared" si="1"/>
        <v>0</v>
      </c>
      <c r="Y22" s="3">
        <f t="shared" si="1"/>
        <v>0</v>
      </c>
      <c r="Z22" s="3">
        <f t="shared" si="1"/>
        <v>0</v>
      </c>
      <c r="AA22" s="3">
        <f t="shared" si="1"/>
        <v>0</v>
      </c>
      <c r="AB22" s="3">
        <f t="shared" si="1"/>
        <v>0</v>
      </c>
      <c r="AC22" s="3">
        <f t="shared" si="1"/>
        <v>0</v>
      </c>
      <c r="AD22" s="3">
        <f t="shared" si="1"/>
        <v>0</v>
      </c>
      <c r="AE22" s="3">
        <f t="shared" si="1"/>
        <v>0</v>
      </c>
      <c r="AF22" s="3">
        <f t="shared" si="1"/>
        <v>0</v>
      </c>
      <c r="AG22" s="3">
        <f t="shared" si="1"/>
        <v>0</v>
      </c>
      <c r="AH22" s="3">
        <f t="shared" si="1"/>
        <v>0</v>
      </c>
      <c r="AI22" s="3">
        <f t="shared" si="1"/>
        <v>0</v>
      </c>
      <c r="AJ22" s="3">
        <f t="shared" si="1"/>
        <v>0</v>
      </c>
      <c r="AK22" s="72">
        <f>SUM(AK7:AK20)</f>
        <v>394483</v>
      </c>
      <c r="AL22" s="22">
        <f>+D23-AK22</f>
        <v>968988</v>
      </c>
      <c r="AM22" s="6" t="s">
        <v>13</v>
      </c>
    </row>
    <row r="23" spans="1:41" x14ac:dyDescent="0.35">
      <c r="A23" s="2" t="s">
        <v>1780</v>
      </c>
      <c r="B23" t="s">
        <v>13</v>
      </c>
      <c r="C23" s="3" t="s">
        <v>13</v>
      </c>
      <c r="D23" s="3">
        <f>SUM(D7:D20)</f>
        <v>1363471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41" x14ac:dyDescent="0.35">
      <c r="A24" s="2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41" x14ac:dyDescent="0.35">
      <c r="A25" s="2" t="s">
        <v>2</v>
      </c>
      <c r="C25" t="s">
        <v>13</v>
      </c>
      <c r="F25" s="3"/>
      <c r="G25" s="3"/>
      <c r="H25" s="3"/>
      <c r="I25" s="3"/>
      <c r="J25" s="3"/>
      <c r="K25" s="3"/>
      <c r="L25" s="3" t="s">
        <v>13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41" ht="15" thickBot="1" x14ac:dyDescent="0.4">
      <c r="A26" s="404">
        <v>45178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41" x14ac:dyDescent="0.35">
      <c r="A27" s="358" t="s">
        <v>1008</v>
      </c>
      <c r="B27" s="37" t="s">
        <v>337</v>
      </c>
      <c r="C27" s="38"/>
      <c r="D27" s="39">
        <v>1900000</v>
      </c>
      <c r="E27" s="40"/>
      <c r="F27" s="3"/>
      <c r="G27" s="3"/>
      <c r="H27" s="3" t="s">
        <v>13</v>
      </c>
      <c r="I27" s="3" t="s">
        <v>13</v>
      </c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</row>
    <row r="28" spans="1:41" x14ac:dyDescent="0.35">
      <c r="A28" s="41" t="s">
        <v>2398</v>
      </c>
      <c r="B28" s="24"/>
      <c r="C28" s="5"/>
      <c r="D28" s="3">
        <v>84694.340000000011</v>
      </c>
      <c r="E28" s="42"/>
      <c r="F28" s="3"/>
      <c r="G28" s="3"/>
      <c r="H28" s="3"/>
      <c r="I28" s="3"/>
      <c r="J28" s="3"/>
      <c r="K28" s="3"/>
      <c r="L28" s="3">
        <v>84694.340000000011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 t="s">
        <v>13</v>
      </c>
      <c r="AD28" s="3"/>
      <c r="AE28" s="3"/>
      <c r="AF28" s="3"/>
      <c r="AG28" s="3"/>
      <c r="AH28" s="3"/>
      <c r="AI28" s="3"/>
      <c r="AK28" s="3">
        <f>SUM($F28:AJ28)</f>
        <v>84694.340000000011</v>
      </c>
    </row>
    <row r="29" spans="1:41" x14ac:dyDescent="0.35">
      <c r="A29" s="41" t="s">
        <v>2396</v>
      </c>
      <c r="C29" s="5" t="s">
        <v>13</v>
      </c>
      <c r="D29" s="3">
        <v>13905</v>
      </c>
      <c r="E29" s="344" t="s">
        <v>503</v>
      </c>
      <c r="F29" s="3"/>
      <c r="G29" s="3"/>
      <c r="H29" s="3" t="s">
        <v>13</v>
      </c>
      <c r="I29" s="3"/>
      <c r="K29" s="3">
        <v>13905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G29" s="3"/>
      <c r="AH29" s="3"/>
      <c r="AI29" s="3"/>
      <c r="AK29" s="3">
        <f>SUM($F29:AJ29)</f>
        <v>13905</v>
      </c>
    </row>
    <row r="30" spans="1:41" x14ac:dyDescent="0.35">
      <c r="A30" s="343" t="s">
        <v>2126</v>
      </c>
      <c r="B30" s="24"/>
      <c r="C30" s="5">
        <v>45419</v>
      </c>
      <c r="D30" s="3">
        <v>6499</v>
      </c>
      <c r="E30" s="344" t="s">
        <v>4</v>
      </c>
      <c r="F30" s="3"/>
      <c r="G30" s="3"/>
      <c r="H30" s="3"/>
      <c r="I30" s="3"/>
      <c r="J30" s="3"/>
      <c r="K30" s="3"/>
      <c r="L30" s="3" t="s">
        <v>13</v>
      </c>
      <c r="M30" s="3"/>
      <c r="N30" s="3" t="s">
        <v>13</v>
      </c>
      <c r="O30" s="3"/>
      <c r="P30" s="3" t="s">
        <v>13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0</v>
      </c>
      <c r="AN30" s="26"/>
      <c r="AO30" s="3"/>
    </row>
    <row r="31" spans="1:41" x14ac:dyDescent="0.35">
      <c r="A31" s="343" t="s">
        <v>2395</v>
      </c>
      <c r="B31" s="24"/>
      <c r="C31" s="5">
        <v>45401</v>
      </c>
      <c r="D31" s="3">
        <v>107197</v>
      </c>
      <c r="E31" s="344" t="s">
        <v>503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13</v>
      </c>
      <c r="U31" s="3"/>
      <c r="V31" s="3" t="s">
        <v>13</v>
      </c>
      <c r="W31" s="3"/>
      <c r="X31" s="3" t="s">
        <v>13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0</v>
      </c>
      <c r="AN31" s="26"/>
      <c r="AO31" s="3"/>
    </row>
    <row r="32" spans="1:41" x14ac:dyDescent="0.35">
      <c r="A32" s="343" t="s">
        <v>1161</v>
      </c>
      <c r="B32" s="24" t="s">
        <v>2409</v>
      </c>
      <c r="C32" s="5">
        <v>45400</v>
      </c>
      <c r="D32" s="3">
        <v>11500</v>
      </c>
      <c r="E32" s="344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 t="s">
        <v>13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0</v>
      </c>
      <c r="AN32" s="26"/>
      <c r="AO32" s="3"/>
    </row>
    <row r="33" spans="1:43" x14ac:dyDescent="0.35">
      <c r="A33" s="343" t="s">
        <v>1161</v>
      </c>
      <c r="B33" s="24" t="s">
        <v>2432</v>
      </c>
      <c r="C33" s="5">
        <v>45427</v>
      </c>
      <c r="D33" s="3">
        <v>23320</v>
      </c>
      <c r="E33" s="344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N33" s="26"/>
      <c r="AO33" s="3"/>
    </row>
    <row r="34" spans="1:43" x14ac:dyDescent="0.35">
      <c r="A34" s="343" t="s">
        <v>2420</v>
      </c>
      <c r="B34" s="24"/>
      <c r="C34" s="5">
        <v>45428</v>
      </c>
      <c r="D34" s="3">
        <v>8000</v>
      </c>
      <c r="E34" s="344" t="s">
        <v>503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8000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8000</v>
      </c>
      <c r="AN34" s="26"/>
      <c r="AO34" s="3"/>
    </row>
    <row r="35" spans="1:43" x14ac:dyDescent="0.35">
      <c r="A35" s="343" t="s">
        <v>2423</v>
      </c>
      <c r="B35" s="24" t="s">
        <v>2424</v>
      </c>
      <c r="C35" s="5">
        <v>45432</v>
      </c>
      <c r="D35" s="3">
        <v>41840</v>
      </c>
      <c r="E35" s="344" t="s">
        <v>503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>
        <v>41840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41840</v>
      </c>
      <c r="AN35" s="26"/>
      <c r="AO35" s="3"/>
    </row>
    <row r="36" spans="1:43" x14ac:dyDescent="0.35">
      <c r="A36" s="343" t="s">
        <v>1161</v>
      </c>
      <c r="B36" s="24" t="s">
        <v>2433</v>
      </c>
      <c r="C36" s="5">
        <v>45436</v>
      </c>
      <c r="D36" s="3">
        <v>16540</v>
      </c>
      <c r="E36" s="344" t="s">
        <v>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N36" s="26"/>
      <c r="AO36" s="3"/>
    </row>
    <row r="37" spans="1:43" x14ac:dyDescent="0.35">
      <c r="A37" s="343" t="s">
        <v>2425</v>
      </c>
      <c r="B37" s="24"/>
      <c r="C37" s="5">
        <v>45437</v>
      </c>
      <c r="D37" s="3">
        <v>12000</v>
      </c>
      <c r="E37" s="344" t="s">
        <v>503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12000</v>
      </c>
      <c r="AE37" s="3"/>
      <c r="AF37" s="3"/>
      <c r="AG37" s="3"/>
      <c r="AH37" s="3"/>
      <c r="AI37" s="3"/>
      <c r="AJ37" s="3"/>
      <c r="AK37" s="3">
        <f>SUM($F37:AJ37)</f>
        <v>12000</v>
      </c>
      <c r="AN37" s="26"/>
      <c r="AO37" s="3"/>
    </row>
    <row r="38" spans="1:43" x14ac:dyDescent="0.35">
      <c r="A38" s="343"/>
      <c r="B38" s="24"/>
      <c r="C38" s="5"/>
      <c r="D38" s="3"/>
      <c r="E38" s="34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0</v>
      </c>
      <c r="AN38" s="26"/>
      <c r="AO38" s="3"/>
    </row>
    <row r="39" spans="1:43" ht="15" thickBot="1" x14ac:dyDescent="0.4">
      <c r="A39" s="43" t="s">
        <v>2416</v>
      </c>
      <c r="B39" s="76" t="s">
        <v>337</v>
      </c>
      <c r="C39" s="45" t="s">
        <v>13</v>
      </c>
      <c r="D39" s="46">
        <f>+AK22*0.17</f>
        <v>67062.11</v>
      </c>
      <c r="E39" s="47"/>
      <c r="F39" s="3"/>
      <c r="G39" s="3" t="s">
        <v>13</v>
      </c>
      <c r="H39" s="3" t="s">
        <v>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L39" s="6" t="s">
        <v>1846</v>
      </c>
      <c r="AM39" s="6" t="s">
        <v>13</v>
      </c>
      <c r="AN39" s="26" t="s">
        <v>13</v>
      </c>
      <c r="AO39" s="3"/>
    </row>
    <row r="40" spans="1:43" x14ac:dyDescent="0.35">
      <c r="A40" s="3" t="s">
        <v>13</v>
      </c>
      <c r="B40" s="24"/>
      <c r="C40" s="236" t="s">
        <v>13</v>
      </c>
      <c r="D40" s="3"/>
      <c r="E40" s="15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 t="s">
        <v>13</v>
      </c>
      <c r="AL40" s="22"/>
      <c r="AO40" s="14" t="s">
        <v>1558</v>
      </c>
      <c r="AP40" s="15">
        <f>+SUMIF(AL30:AL39,"CD",D30:D39)/1.19</f>
        <v>0</v>
      </c>
      <c r="AQ40" s="15" t="e">
        <f>+AP40*#REF!/#REF!</f>
        <v>#REF!</v>
      </c>
    </row>
    <row r="41" spans="1:43" x14ac:dyDescent="0.35">
      <c r="A41" s="4"/>
      <c r="B41" s="24"/>
      <c r="C41" s="67"/>
      <c r="D41" s="3"/>
      <c r="E41" s="153"/>
      <c r="F41" s="3" t="s">
        <v>13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13</v>
      </c>
      <c r="AL41" s="22"/>
      <c r="AO41" s="14" t="s">
        <v>1559</v>
      </c>
      <c r="AP41" s="15" t="e">
        <f>+#REF!-AP40</f>
        <v>#REF!</v>
      </c>
      <c r="AQ41" s="15" t="e">
        <f>+#REF!-AQ40</f>
        <v>#REF!</v>
      </c>
    </row>
    <row r="42" spans="1:43" x14ac:dyDescent="0.35">
      <c r="A42" s="4"/>
      <c r="B42" s="24"/>
      <c r="C42" s="67"/>
      <c r="D42" s="3"/>
      <c r="E42" s="15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13</v>
      </c>
      <c r="AL42" s="22"/>
      <c r="AO42" s="14" t="s">
        <v>1560</v>
      </c>
      <c r="AP42" s="327" t="e">
        <f>+AP41/#REF!</f>
        <v>#REF!</v>
      </c>
      <c r="AQ42" s="327" t="e">
        <f>+AQ41/#REF!</f>
        <v>#REF!</v>
      </c>
    </row>
    <row r="43" spans="1:43" x14ac:dyDescent="0.35">
      <c r="A43" s="4"/>
      <c r="B43" s="67"/>
      <c r="C43" s="236"/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AJ43" s="3"/>
      <c r="AK43" s="3"/>
      <c r="AL43" s="22" t="s">
        <v>1388</v>
      </c>
      <c r="AM43" s="6" t="s">
        <v>1430</v>
      </c>
      <c r="AO43" s="14" t="s">
        <v>81</v>
      </c>
      <c r="AP43" s="15" t="e">
        <f>+SUMIF(AL30:AL39,"GAV",D30:D39)/1.19+SUMIF(#REF!,"REM",#REF!)</f>
        <v>#REF!</v>
      </c>
      <c r="AQ43" s="15" t="e">
        <f>+AP43*#REF!/#REF!</f>
        <v>#REF!</v>
      </c>
    </row>
    <row r="44" spans="1:43" x14ac:dyDescent="0.35">
      <c r="A44" s="2" t="s">
        <v>9</v>
      </c>
      <c r="D44" s="72">
        <f>SUM(D28:D42)-D28</f>
        <v>307863.11</v>
      </c>
      <c r="F44" s="3">
        <f t="shared" ref="F44:AJ44" si="2">SUM(F27:F43)</f>
        <v>0</v>
      </c>
      <c r="G44" s="3">
        <f t="shared" si="2"/>
        <v>0</v>
      </c>
      <c r="H44" s="3">
        <f t="shared" si="2"/>
        <v>0</v>
      </c>
      <c r="I44" s="3">
        <f t="shared" si="2"/>
        <v>0</v>
      </c>
      <c r="J44" s="3">
        <f t="shared" si="2"/>
        <v>0</v>
      </c>
      <c r="K44" s="3">
        <f t="shared" si="2"/>
        <v>13905</v>
      </c>
      <c r="L44" s="3">
        <f t="shared" si="2"/>
        <v>84694.340000000011</v>
      </c>
      <c r="M44" s="3">
        <f t="shared" si="2"/>
        <v>0</v>
      </c>
      <c r="N44" s="3">
        <f t="shared" si="2"/>
        <v>0</v>
      </c>
      <c r="O44" s="3">
        <f t="shared" si="2"/>
        <v>0</v>
      </c>
      <c r="P44" s="3">
        <f t="shared" si="2"/>
        <v>0</v>
      </c>
      <c r="Q44" s="3">
        <f t="shared" si="2"/>
        <v>0</v>
      </c>
      <c r="R44" s="3">
        <f t="shared" si="2"/>
        <v>0</v>
      </c>
      <c r="S44" s="3">
        <f t="shared" si="2"/>
        <v>0</v>
      </c>
      <c r="T44" s="3">
        <f t="shared" si="2"/>
        <v>0</v>
      </c>
      <c r="U44" s="3">
        <f t="shared" si="2"/>
        <v>8000</v>
      </c>
      <c r="V44" s="3">
        <f t="shared" si="2"/>
        <v>0</v>
      </c>
      <c r="W44" s="3">
        <f t="shared" si="2"/>
        <v>0</v>
      </c>
      <c r="X44" s="3">
        <f t="shared" si="2"/>
        <v>0</v>
      </c>
      <c r="Y44" s="3">
        <f t="shared" si="2"/>
        <v>41840</v>
      </c>
      <c r="Z44" s="3">
        <f t="shared" si="2"/>
        <v>0</v>
      </c>
      <c r="AA44" s="3">
        <f t="shared" si="2"/>
        <v>0</v>
      </c>
      <c r="AB44" s="3">
        <f t="shared" si="2"/>
        <v>0</v>
      </c>
      <c r="AC44" s="3">
        <f t="shared" si="2"/>
        <v>0</v>
      </c>
      <c r="AD44" s="3">
        <f t="shared" si="2"/>
        <v>12000</v>
      </c>
      <c r="AE44" s="3">
        <f t="shared" si="2"/>
        <v>0</v>
      </c>
      <c r="AF44" s="3">
        <f t="shared" si="2"/>
        <v>0</v>
      </c>
      <c r="AG44" s="3">
        <f t="shared" si="2"/>
        <v>0</v>
      </c>
      <c r="AH44" s="3">
        <f t="shared" si="2"/>
        <v>0</v>
      </c>
      <c r="AI44" s="3">
        <f t="shared" si="2"/>
        <v>0</v>
      </c>
      <c r="AJ44" s="3">
        <f t="shared" si="2"/>
        <v>0</v>
      </c>
      <c r="AK44" s="72">
        <f>SUM(AK27:AK42)-AK27</f>
        <v>160439.34000000003</v>
      </c>
      <c r="AL44" s="324">
        <f>+D44-AK44</f>
        <v>147423.76999999996</v>
      </c>
      <c r="AM44" s="324">
        <f>+AJ45+AL22-AL44-1200000</f>
        <v>1247590.1048390842</v>
      </c>
      <c r="AO44" s="14" t="s">
        <v>1561</v>
      </c>
      <c r="AP44" s="15" t="e">
        <f>+AP41-AP43</f>
        <v>#REF!</v>
      </c>
      <c r="AQ44" s="15" t="e">
        <f>+AQ41-AQ43</f>
        <v>#REF!</v>
      </c>
    </row>
    <row r="45" spans="1:43" x14ac:dyDescent="0.35">
      <c r="A45" t="s">
        <v>8</v>
      </c>
      <c r="F45" s="3">
        <f t="shared" ref="F45:AJ45" si="3">+F22+F3-F44</f>
        <v>1391982.2148390845</v>
      </c>
      <c r="G45" s="3">
        <f t="shared" si="3"/>
        <v>1391982.2148390845</v>
      </c>
      <c r="H45" s="3">
        <f t="shared" si="3"/>
        <v>1391982.2148390845</v>
      </c>
      <c r="I45" s="3">
        <f t="shared" si="3"/>
        <v>1391982.2148390845</v>
      </c>
      <c r="J45" s="3">
        <f t="shared" si="3"/>
        <v>1391982.2148390845</v>
      </c>
      <c r="K45" s="3">
        <f t="shared" si="3"/>
        <v>1378077.2148390845</v>
      </c>
      <c r="L45" s="3">
        <f t="shared" si="3"/>
        <v>1293382.8748390845</v>
      </c>
      <c r="M45" s="3">
        <f t="shared" si="3"/>
        <v>1293382.8748390845</v>
      </c>
      <c r="N45" s="3">
        <f t="shared" si="3"/>
        <v>1293382.8748390845</v>
      </c>
      <c r="O45" s="3">
        <f t="shared" si="3"/>
        <v>1293382.8748390845</v>
      </c>
      <c r="P45" s="3">
        <f t="shared" si="3"/>
        <v>1293382.8748390845</v>
      </c>
      <c r="Q45" s="3">
        <f t="shared" si="3"/>
        <v>1293382.8748390845</v>
      </c>
      <c r="R45" s="3">
        <f t="shared" si="3"/>
        <v>1293382.8748390845</v>
      </c>
      <c r="S45" s="3">
        <f t="shared" si="3"/>
        <v>1293382.8748390845</v>
      </c>
      <c r="T45" s="3">
        <f t="shared" si="3"/>
        <v>1293382.8748390845</v>
      </c>
      <c r="U45" s="3">
        <f t="shared" si="3"/>
        <v>1679865.8748390845</v>
      </c>
      <c r="V45" s="3">
        <f t="shared" si="3"/>
        <v>1679865.8748390845</v>
      </c>
      <c r="W45" s="3">
        <f t="shared" si="3"/>
        <v>1679865.8748390845</v>
      </c>
      <c r="X45" s="3">
        <f t="shared" si="3"/>
        <v>1679865.8748390845</v>
      </c>
      <c r="Y45" s="3">
        <f t="shared" si="3"/>
        <v>1638025.8748390845</v>
      </c>
      <c r="Z45" s="3">
        <f t="shared" si="3"/>
        <v>1638025.8748390845</v>
      </c>
      <c r="AA45" s="3">
        <f t="shared" si="3"/>
        <v>1638025.8748390845</v>
      </c>
      <c r="AB45" s="3">
        <f t="shared" si="3"/>
        <v>1638025.8748390845</v>
      </c>
      <c r="AC45" s="3">
        <f t="shared" si="3"/>
        <v>1638025.8748390845</v>
      </c>
      <c r="AD45" s="3">
        <f t="shared" si="3"/>
        <v>1626025.8748390845</v>
      </c>
      <c r="AE45" s="3">
        <f t="shared" si="3"/>
        <v>1626025.8748390845</v>
      </c>
      <c r="AF45" s="3">
        <f t="shared" si="3"/>
        <v>1626025.8748390845</v>
      </c>
      <c r="AG45" s="3">
        <f t="shared" si="3"/>
        <v>1626025.8748390845</v>
      </c>
      <c r="AH45" s="3">
        <f t="shared" si="3"/>
        <v>1626025.8748390845</v>
      </c>
      <c r="AI45" s="3">
        <f t="shared" si="3"/>
        <v>1626025.8748390845</v>
      </c>
      <c r="AJ45" s="3">
        <f t="shared" si="3"/>
        <v>1626025.8748390845</v>
      </c>
      <c r="AK45" s="3" t="s">
        <v>13</v>
      </c>
      <c r="AM45" s="22" t="s">
        <v>13</v>
      </c>
      <c r="AO45" s="14" t="s">
        <v>1563</v>
      </c>
      <c r="AP45" s="15">
        <f>+SUMIF(AL30:AL39,"GF",D30:D39)</f>
        <v>0</v>
      </c>
      <c r="AQ45" s="15">
        <v>0</v>
      </c>
    </row>
    <row r="46" spans="1:43" x14ac:dyDescent="0.35">
      <c r="F46" s="3"/>
      <c r="G46" s="3"/>
      <c r="H46" s="3"/>
      <c r="I46" s="3" t="s">
        <v>13</v>
      </c>
      <c r="J46" s="3"/>
      <c r="K46" s="3" t="s">
        <v>13</v>
      </c>
      <c r="L46" s="3"/>
      <c r="M46" s="3"/>
      <c r="N46" s="3"/>
      <c r="O46" s="3"/>
      <c r="P46" s="3" t="s">
        <v>13</v>
      </c>
      <c r="Q46" s="3"/>
      <c r="R46" s="3"/>
      <c r="S46" s="3"/>
      <c r="T46" s="3" t="s">
        <v>13</v>
      </c>
      <c r="U46" s="3"/>
      <c r="V46" s="3"/>
      <c r="W46" s="3"/>
      <c r="Y46" s="3" t="s">
        <v>13</v>
      </c>
      <c r="Z46" s="3" t="s">
        <v>13</v>
      </c>
      <c r="AA46" s="3" t="s">
        <v>13</v>
      </c>
      <c r="AB46" s="3" t="s">
        <v>13</v>
      </c>
      <c r="AO46" s="14" t="s">
        <v>82</v>
      </c>
      <c r="AP46" s="15">
        <v>0</v>
      </c>
      <c r="AQ46" s="15">
        <f>+SUMIF(AL30:AL39,"AF",D30:D39)/1.19</f>
        <v>0</v>
      </c>
    </row>
    <row r="47" spans="1:43" ht="15" thickBot="1" x14ac:dyDescent="0.4">
      <c r="F47" s="3" t="s">
        <v>13</v>
      </c>
      <c r="G47" s="3" t="s">
        <v>13</v>
      </c>
      <c r="H47" s="3" t="s">
        <v>13</v>
      </c>
      <c r="I47" s="3"/>
      <c r="J47" s="3"/>
      <c r="K47" s="3"/>
      <c r="L47" s="3"/>
      <c r="M47" s="3"/>
      <c r="N47" s="3"/>
      <c r="O47" s="3"/>
      <c r="P47" s="3" t="s">
        <v>13</v>
      </c>
      <c r="Q47" s="3" t="s">
        <v>13</v>
      </c>
      <c r="R47" s="3" t="s">
        <v>13</v>
      </c>
      <c r="S47" s="3"/>
      <c r="T47" s="3"/>
      <c r="U47" s="3" t="s">
        <v>13</v>
      </c>
      <c r="V47" s="3"/>
      <c r="W47" s="3"/>
      <c r="AB47" s="3" t="s">
        <v>13</v>
      </c>
      <c r="AG47" s="3" t="s">
        <v>13</v>
      </c>
      <c r="AJ47" s="3" t="s">
        <v>13</v>
      </c>
      <c r="AO47" s="16"/>
      <c r="AP47" s="19" t="e">
        <f>+AP44-AP45-AP46</f>
        <v>#REF!</v>
      </c>
      <c r="AQ47" s="19" t="e">
        <f>+AQ44-AQ45-AQ46</f>
        <v>#REF!</v>
      </c>
    </row>
    <row r="48" spans="1:43" x14ac:dyDescent="0.35">
      <c r="A48" t="s">
        <v>2163</v>
      </c>
      <c r="B48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48" s="3" t="e">
        <f>+B48*0.16</f>
        <v>#REF!</v>
      </c>
      <c r="E48" s="6" t="s">
        <v>13</v>
      </c>
      <c r="F48" s="3"/>
      <c r="G48" s="3" t="s">
        <v>13</v>
      </c>
      <c r="H48" s="3" t="s">
        <v>13</v>
      </c>
      <c r="I48" s="3"/>
      <c r="J48" s="3"/>
      <c r="K48" s="3"/>
      <c r="L48" s="3"/>
      <c r="M48" s="3"/>
      <c r="N48" s="3"/>
      <c r="O48" s="3"/>
      <c r="W48" s="3"/>
      <c r="AB48" s="3" t="s">
        <v>13</v>
      </c>
      <c r="AG48" s="3" t="s">
        <v>13</v>
      </c>
      <c r="AJ48" s="3" t="s">
        <v>13</v>
      </c>
      <c r="AO48" t="s">
        <v>1961</v>
      </c>
      <c r="AP48" s="26" t="e">
        <f ca="1">+AP$47+'May-23'!AP82</f>
        <v>#REF!</v>
      </c>
      <c r="AQ48" s="3" t="e">
        <f ca="1">+AQ$47+'May-23'!AQ82</f>
        <v>#REF!</v>
      </c>
    </row>
    <row r="49" spans="1:43" x14ac:dyDescent="0.35">
      <c r="F49" s="3"/>
      <c r="G49" s="3" t="s">
        <v>13</v>
      </c>
      <c r="H49" s="3"/>
      <c r="I49" s="3"/>
      <c r="J49" s="3"/>
      <c r="K49" s="3"/>
      <c r="L49" s="3"/>
      <c r="M49" s="3"/>
      <c r="N49" s="3"/>
      <c r="O49" s="3"/>
      <c r="W49" s="3" t="s">
        <v>13</v>
      </c>
      <c r="AB49" s="3" t="s">
        <v>13</v>
      </c>
      <c r="AD49" t="s">
        <v>13</v>
      </c>
      <c r="AE49" t="s">
        <v>13</v>
      </c>
      <c r="AG49" s="3" t="s">
        <v>13</v>
      </c>
      <c r="AJ49" s="3" t="s">
        <v>13</v>
      </c>
      <c r="AO49" t="s">
        <v>1960</v>
      </c>
      <c r="AP49" s="26" t="e">
        <f ca="1">+AP$47+'May-23'!AP83</f>
        <v>#REF!</v>
      </c>
      <c r="AQ49" s="3" t="e">
        <f ca="1">+AQ$47+'May-23'!AQ83</f>
        <v>#REF!</v>
      </c>
    </row>
    <row r="50" spans="1:43" x14ac:dyDescent="0.35">
      <c r="A50" t="s">
        <v>13</v>
      </c>
      <c r="F50" s="3" t="s">
        <v>13</v>
      </c>
      <c r="G50" s="3" t="s">
        <v>13</v>
      </c>
      <c r="H50" s="3"/>
      <c r="I50" s="3"/>
      <c r="J50" s="3"/>
      <c r="K50" s="3"/>
      <c r="L50" s="3"/>
      <c r="M50" s="3">
        <v>538500</v>
      </c>
      <c r="N50" s="3"/>
      <c r="O50" s="3"/>
      <c r="W50" s="3"/>
      <c r="AB50" s="3" t="s">
        <v>13</v>
      </c>
      <c r="AD50" t="s">
        <v>13</v>
      </c>
      <c r="AG50" s="3" t="s">
        <v>13</v>
      </c>
      <c r="AJ50" s="3" t="s">
        <v>13</v>
      </c>
    </row>
    <row r="51" spans="1:43" x14ac:dyDescent="0.35">
      <c r="B51" t="s">
        <v>13</v>
      </c>
      <c r="F51" s="3" t="s">
        <v>13</v>
      </c>
      <c r="G51" s="3" t="s">
        <v>13</v>
      </c>
      <c r="H51" s="3"/>
      <c r="I51" s="3"/>
      <c r="J51" s="3"/>
      <c r="K51" s="3"/>
      <c r="L51" s="3" t="s">
        <v>13</v>
      </c>
      <c r="M51" s="3">
        <v>682100</v>
      </c>
      <c r="N51" s="3"/>
      <c r="O51" s="3"/>
      <c r="W51" s="3"/>
      <c r="AB51" s="3" t="s">
        <v>13</v>
      </c>
      <c r="AG51" s="3" t="s">
        <v>13</v>
      </c>
      <c r="AJ51" s="3" t="s">
        <v>13</v>
      </c>
      <c r="AL51"/>
      <c r="AM51"/>
    </row>
    <row r="52" spans="1:43" x14ac:dyDescent="0.35">
      <c r="F52" s="3"/>
      <c r="G52" s="3" t="s">
        <v>13</v>
      </c>
      <c r="H52" s="3"/>
      <c r="I52" s="3"/>
      <c r="J52" s="3"/>
      <c r="K52" s="3"/>
      <c r="L52" s="3"/>
      <c r="M52" s="3">
        <f>SUM(M50:M51)</f>
        <v>1220600</v>
      </c>
      <c r="AG52" s="3" t="s">
        <v>13</v>
      </c>
      <c r="AJ52" s="3" t="s">
        <v>13</v>
      </c>
      <c r="AL52"/>
      <c r="AM52"/>
    </row>
    <row r="53" spans="1:43" x14ac:dyDescent="0.35">
      <c r="B53" t="s">
        <v>13</v>
      </c>
      <c r="F53" s="3"/>
      <c r="G53" s="3" t="s">
        <v>13</v>
      </c>
      <c r="H53" s="3"/>
      <c r="I53" s="3"/>
      <c r="J53" s="3"/>
      <c r="K53" s="3"/>
      <c r="L53" s="3"/>
      <c r="AB53" t="s">
        <v>13</v>
      </c>
      <c r="AG53" s="3" t="s">
        <v>13</v>
      </c>
      <c r="AJ53" s="3" t="s">
        <v>13</v>
      </c>
      <c r="AL53"/>
      <c r="AM53"/>
      <c r="AQ53" t="s">
        <v>13</v>
      </c>
    </row>
    <row r="54" spans="1:43" x14ac:dyDescent="0.35">
      <c r="B54" t="s">
        <v>13</v>
      </c>
      <c r="C54" t="s">
        <v>13</v>
      </c>
      <c r="F54" s="3"/>
      <c r="G54" s="3" t="s">
        <v>13</v>
      </c>
      <c r="H54" s="3"/>
      <c r="I54" s="3"/>
      <c r="J54" s="3"/>
      <c r="K54" s="3"/>
      <c r="L54" s="3"/>
      <c r="AG54" s="3" t="s">
        <v>13</v>
      </c>
      <c r="AJ54" s="3" t="s">
        <v>13</v>
      </c>
      <c r="AL54"/>
      <c r="AM54"/>
    </row>
    <row r="55" spans="1:43" x14ac:dyDescent="0.35">
      <c r="B55" t="s">
        <v>13</v>
      </c>
      <c r="C55" t="s">
        <v>13</v>
      </c>
      <c r="F55" s="3"/>
      <c r="G55" s="3" t="s">
        <v>2417</v>
      </c>
      <c r="H55" s="3"/>
      <c r="I55" s="3"/>
      <c r="J55" s="3"/>
      <c r="K55" s="3"/>
      <c r="L55" s="3"/>
      <c r="AG55" s="3" t="s">
        <v>13</v>
      </c>
      <c r="AJ55" s="3" t="s">
        <v>13</v>
      </c>
      <c r="AL55"/>
      <c r="AM55"/>
    </row>
    <row r="56" spans="1:43" x14ac:dyDescent="0.35">
      <c r="F56" s="3"/>
      <c r="G56" s="3" t="s">
        <v>13</v>
      </c>
      <c r="H56" s="3"/>
      <c r="I56" s="3"/>
      <c r="J56" s="3"/>
      <c r="K56" s="3"/>
      <c r="L56" s="3"/>
      <c r="AG56" s="3" t="s">
        <v>13</v>
      </c>
      <c r="AJ56" s="3" t="s">
        <v>13</v>
      </c>
      <c r="AL56"/>
      <c r="AM56"/>
    </row>
    <row r="57" spans="1:43" x14ac:dyDescent="0.35">
      <c r="B57" t="s">
        <v>13</v>
      </c>
      <c r="F57" s="3"/>
      <c r="G57" s="288">
        <f>212-60</f>
        <v>152</v>
      </c>
      <c r="H57" s="288">
        <f>+G57-60</f>
        <v>92</v>
      </c>
      <c r="I57" s="288">
        <f>+H57/3</f>
        <v>30.666666666666668</v>
      </c>
      <c r="J57" s="3"/>
      <c r="K57" s="3"/>
      <c r="L57" s="3"/>
      <c r="AG57" s="3" t="s">
        <v>13</v>
      </c>
      <c r="AJ57" s="3" t="s">
        <v>13</v>
      </c>
      <c r="AL57"/>
      <c r="AM57"/>
    </row>
    <row r="58" spans="1:43" x14ac:dyDescent="0.35">
      <c r="B58" t="s">
        <v>13</v>
      </c>
      <c r="F58" s="3"/>
      <c r="G58" s="288">
        <f>+G57/2</f>
        <v>76</v>
      </c>
      <c r="H58" s="288"/>
      <c r="I58" s="288"/>
      <c r="J58" s="3"/>
      <c r="K58" s="3"/>
      <c r="L58" s="3"/>
      <c r="AG58" s="3" t="s">
        <v>13</v>
      </c>
      <c r="AJ58" s="3" t="s">
        <v>13</v>
      </c>
      <c r="AL58"/>
      <c r="AM58"/>
    </row>
    <row r="59" spans="1:43" x14ac:dyDescent="0.35">
      <c r="B59" t="s">
        <v>13</v>
      </c>
      <c r="F59" s="3"/>
      <c r="G59" s="288">
        <f>+G58/2</f>
        <v>38</v>
      </c>
      <c r="H59" s="288"/>
      <c r="I59" s="288">
        <f>I57*3+60</f>
        <v>152</v>
      </c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F60" s="3"/>
      <c r="G60" s="288">
        <f>+G59-15</f>
        <v>23</v>
      </c>
      <c r="H60" s="288"/>
      <c r="I60" s="288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F61" s="3"/>
      <c r="G61" s="3" t="s">
        <v>13</v>
      </c>
      <c r="H61" s="3"/>
      <c r="I61" s="3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3" t="s">
        <v>13</v>
      </c>
      <c r="H62" s="3"/>
      <c r="I62" s="3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3" t="s">
        <v>13</v>
      </c>
      <c r="H63" s="3"/>
      <c r="I63" s="3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L66"/>
      <c r="AM66"/>
    </row>
    <row r="67" spans="2:39" x14ac:dyDescent="0.35">
      <c r="B67" t="s">
        <v>13</v>
      </c>
      <c r="E67"/>
      <c r="AL67"/>
      <c r="AM67"/>
    </row>
    <row r="68" spans="2:39" x14ac:dyDescent="0.35">
      <c r="B68" t="s">
        <v>13</v>
      </c>
      <c r="E68"/>
      <c r="AL68"/>
      <c r="AM68"/>
    </row>
    <row r="69" spans="2:39" x14ac:dyDescent="0.35">
      <c r="B69" t="s">
        <v>13</v>
      </c>
      <c r="E69"/>
      <c r="AL69"/>
      <c r="AM69"/>
    </row>
    <row r="70" spans="2:39" x14ac:dyDescent="0.35">
      <c r="B70" t="s">
        <v>13</v>
      </c>
      <c r="E70"/>
      <c r="AL70"/>
      <c r="AM70"/>
    </row>
    <row r="71" spans="2:39" x14ac:dyDescent="0.35">
      <c r="B71" t="s">
        <v>13</v>
      </c>
      <c r="E71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</sheetData>
  <phoneticPr fontId="20" type="noConversion"/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BAC7-3D26-495A-B43F-24F7D4A0D8D3}">
  <dimension ref="A1:AQ102"/>
  <sheetViews>
    <sheetView zoomScale="66" zoomScaleNormal="66" workbookViewId="0">
      <pane xSplit="5" ySplit="3" topLeftCell="AC11" activePane="bottomRight" state="frozen"/>
      <selection pane="topRight" activeCell="F1" sqref="F1"/>
      <selection pane="bottomLeft" activeCell="A4" sqref="A4"/>
      <selection pane="bottomRight" activeCell="AK33" sqref="AK33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45444</v>
      </c>
      <c r="G2" s="1">
        <v>45445</v>
      </c>
      <c r="H2" s="1">
        <v>45446</v>
      </c>
      <c r="I2" s="1">
        <v>45447</v>
      </c>
      <c r="J2" s="1">
        <v>45448</v>
      </c>
      <c r="K2" s="1">
        <v>45449</v>
      </c>
      <c r="L2" s="1">
        <v>45450</v>
      </c>
      <c r="M2" s="1">
        <v>45451</v>
      </c>
      <c r="N2" s="1">
        <v>45452</v>
      </c>
      <c r="O2" s="1">
        <v>45453</v>
      </c>
      <c r="P2" s="1">
        <v>45454</v>
      </c>
      <c r="Q2" s="1">
        <v>45455</v>
      </c>
      <c r="R2" s="1">
        <v>45456</v>
      </c>
      <c r="S2" s="1">
        <v>45457</v>
      </c>
      <c r="T2" s="1">
        <v>45458</v>
      </c>
      <c r="U2" s="1">
        <v>45459</v>
      </c>
      <c r="V2" s="1">
        <v>45460</v>
      </c>
      <c r="W2" s="1">
        <v>45461</v>
      </c>
      <c r="X2" s="1">
        <v>45462</v>
      </c>
      <c r="Y2" s="1">
        <v>45463</v>
      </c>
      <c r="Z2" s="1">
        <v>45464</v>
      </c>
      <c r="AA2" s="1">
        <v>45465</v>
      </c>
      <c r="AB2" s="1">
        <v>45466</v>
      </c>
      <c r="AC2" s="1">
        <v>45467</v>
      </c>
      <c r="AD2" s="1">
        <v>45468</v>
      </c>
      <c r="AE2" s="1">
        <v>45469</v>
      </c>
      <c r="AF2" s="1">
        <v>45470</v>
      </c>
      <c r="AG2" s="1">
        <v>45471</v>
      </c>
      <c r="AH2" s="1">
        <v>45472</v>
      </c>
      <c r="AI2" s="1">
        <v>45473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+'May-24'!AJ45</f>
        <v>1626025.8748390845</v>
      </c>
      <c r="G3" s="3">
        <f t="shared" ref="G3:AJ3" si="0">+F48</f>
        <v>1626025.8748390845</v>
      </c>
      <c r="H3" s="3">
        <f t="shared" si="0"/>
        <v>2016144.8748390845</v>
      </c>
      <c r="I3" s="3">
        <f t="shared" si="0"/>
        <v>2016144.8748390845</v>
      </c>
      <c r="J3" s="3">
        <f t="shared" si="0"/>
        <v>2016144.8748390845</v>
      </c>
      <c r="K3" s="3">
        <f t="shared" si="0"/>
        <v>2016144.8748390845</v>
      </c>
      <c r="L3" s="3">
        <f t="shared" si="0"/>
        <v>2002239.8748390845</v>
      </c>
      <c r="M3" s="3">
        <f t="shared" si="0"/>
        <v>1389656.7648390844</v>
      </c>
      <c r="N3" s="3">
        <f t="shared" si="0"/>
        <v>1389656.7648390844</v>
      </c>
      <c r="O3" s="3">
        <f t="shared" si="0"/>
        <v>1389656.7648390844</v>
      </c>
      <c r="P3" s="3">
        <f t="shared" si="0"/>
        <v>1389656.7648390844</v>
      </c>
      <c r="Q3" s="3">
        <f t="shared" si="0"/>
        <v>1389656.7648390844</v>
      </c>
      <c r="R3" s="3">
        <f t="shared" si="0"/>
        <v>1389656.7648390844</v>
      </c>
      <c r="S3" s="3">
        <f t="shared" si="0"/>
        <v>1389656.7648390844</v>
      </c>
      <c r="T3" s="3">
        <f t="shared" si="0"/>
        <v>1389656.7648390844</v>
      </c>
      <c r="U3" s="3">
        <f t="shared" si="0"/>
        <v>1389656.7648390844</v>
      </c>
      <c r="V3" s="3">
        <f t="shared" si="0"/>
        <v>1389656.7648390844</v>
      </c>
      <c r="W3" s="3">
        <f t="shared" si="0"/>
        <v>1389656.7648390844</v>
      </c>
      <c r="X3" s="3">
        <f t="shared" si="0"/>
        <v>1414202.7648390844</v>
      </c>
      <c r="Y3" s="3">
        <f t="shared" si="0"/>
        <v>1414202.7648390844</v>
      </c>
      <c r="Z3" s="3">
        <f t="shared" si="0"/>
        <v>1414202.7648390844</v>
      </c>
      <c r="AA3" s="3">
        <f t="shared" si="0"/>
        <v>1414202.7648390844</v>
      </c>
      <c r="AB3" s="3">
        <f t="shared" si="0"/>
        <v>1414202.7648390844</v>
      </c>
      <c r="AC3" s="3">
        <f t="shared" si="0"/>
        <v>1414202.7648390844</v>
      </c>
      <c r="AD3" s="3">
        <f t="shared" si="0"/>
        <v>1414202.7648390844</v>
      </c>
      <c r="AE3" s="3">
        <f t="shared" si="0"/>
        <v>1414202.7648390844</v>
      </c>
      <c r="AF3" s="3">
        <f t="shared" si="0"/>
        <v>1414202.7648390844</v>
      </c>
      <c r="AG3" s="3">
        <f t="shared" si="0"/>
        <v>1414202.7648390844</v>
      </c>
      <c r="AH3" s="3">
        <f t="shared" si="0"/>
        <v>1414202.7648390844</v>
      </c>
      <c r="AI3" s="3">
        <f t="shared" si="0"/>
        <v>1414202.7648390844</v>
      </c>
      <c r="AJ3" s="3">
        <f t="shared" si="0"/>
        <v>1414202.7648390844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ht="15" thickBot="1" x14ac:dyDescent="0.4">
      <c r="A6" s="41" t="s">
        <v>2460</v>
      </c>
      <c r="B6" t="s">
        <v>2458</v>
      </c>
      <c r="C6" s="5">
        <v>45336</v>
      </c>
      <c r="D6" s="3">
        <v>87189</v>
      </c>
      <c r="E6" s="42" t="s">
        <v>2459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36" t="s">
        <v>2404</v>
      </c>
      <c r="B7" s="66" t="s">
        <v>2403</v>
      </c>
      <c r="C7" s="38">
        <v>45386</v>
      </c>
      <c r="D7" s="39">
        <v>124390</v>
      </c>
      <c r="E7" s="40" t="s">
        <v>2402</v>
      </c>
      <c r="F7" s="3"/>
      <c r="G7" s="3"/>
      <c r="H7" s="3"/>
      <c r="I7" s="3"/>
      <c r="J7" s="3"/>
      <c r="K7" s="3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0</v>
      </c>
      <c r="AL7" s="22"/>
    </row>
    <row r="8" spans="1:39" x14ac:dyDescent="0.35">
      <c r="A8" s="41" t="s">
        <v>2405</v>
      </c>
      <c r="B8" t="s">
        <v>2406</v>
      </c>
      <c r="C8" s="5">
        <v>45390</v>
      </c>
      <c r="D8" s="3">
        <v>128522</v>
      </c>
      <c r="E8" s="42" t="s">
        <v>2325</v>
      </c>
      <c r="F8" s="3"/>
      <c r="G8" s="3">
        <v>128522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128522</v>
      </c>
      <c r="AL8" s="22"/>
    </row>
    <row r="9" spans="1:39" x14ac:dyDescent="0.35">
      <c r="A9" s="41" t="s">
        <v>2407</v>
      </c>
      <c r="B9" t="s">
        <v>2408</v>
      </c>
      <c r="C9" s="5">
        <v>45400</v>
      </c>
      <c r="D9" s="3">
        <v>87189</v>
      </c>
      <c r="E9" s="42" t="s">
        <v>2325</v>
      </c>
      <c r="F9" s="3"/>
      <c r="G9" s="3">
        <v>87189</v>
      </c>
      <c r="H9" s="3"/>
      <c r="I9" s="3"/>
      <c r="J9" s="3"/>
      <c r="K9" s="341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87189</v>
      </c>
      <c r="AL9" s="22"/>
    </row>
    <row r="10" spans="1:39" x14ac:dyDescent="0.35">
      <c r="A10" s="41" t="s">
        <v>2412</v>
      </c>
      <c r="B10" t="s">
        <v>2413</v>
      </c>
      <c r="C10" s="5">
        <v>45406</v>
      </c>
      <c r="D10" s="3">
        <v>87189</v>
      </c>
      <c r="E10" s="42" t="s">
        <v>2325</v>
      </c>
      <c r="F10" s="3"/>
      <c r="G10" s="3">
        <v>87189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87189</v>
      </c>
      <c r="AL10" s="22"/>
    </row>
    <row r="11" spans="1:39" ht="15" thickBot="1" x14ac:dyDescent="0.4">
      <c r="A11" s="43" t="s">
        <v>2414</v>
      </c>
      <c r="B11" s="76" t="s">
        <v>2415</v>
      </c>
      <c r="C11" s="45">
        <v>45409</v>
      </c>
      <c r="D11" s="46">
        <v>87189</v>
      </c>
      <c r="E11" s="47" t="s">
        <v>2325</v>
      </c>
      <c r="F11" s="3"/>
      <c r="G11" s="3">
        <f>87189+30</f>
        <v>87219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87219</v>
      </c>
      <c r="AL11" s="22"/>
    </row>
    <row r="12" spans="1:39" x14ac:dyDescent="0.35">
      <c r="A12" s="36" t="s">
        <v>2418</v>
      </c>
      <c r="B12" s="66" t="s">
        <v>2419</v>
      </c>
      <c r="C12" s="38">
        <v>45419</v>
      </c>
      <c r="D12" s="39">
        <f>87189-30</f>
        <v>87159</v>
      </c>
      <c r="E12" s="40" t="s">
        <v>2325</v>
      </c>
      <c r="F12" s="3"/>
      <c r="G12" s="3" t="s">
        <v>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>
        <v>87189</v>
      </c>
      <c r="Z12" s="3"/>
      <c r="AA12" s="3"/>
      <c r="AB12" s="3"/>
      <c r="AC12" s="3"/>
      <c r="AD12" s="3" t="s">
        <v>13</v>
      </c>
      <c r="AE12" s="3"/>
      <c r="AF12" s="3"/>
      <c r="AG12" s="3"/>
      <c r="AH12" s="3"/>
      <c r="AI12" s="3"/>
      <c r="AK12" s="3">
        <f>SUM($F12:AJ12)</f>
        <v>87189</v>
      </c>
      <c r="AL12" s="22"/>
    </row>
    <row r="13" spans="1:39" x14ac:dyDescent="0.35">
      <c r="A13" s="41" t="s">
        <v>2421</v>
      </c>
      <c r="B13" t="s">
        <v>2422</v>
      </c>
      <c r="C13" s="5">
        <v>45428</v>
      </c>
      <c r="D13" s="3">
        <v>87189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x14ac:dyDescent="0.35">
      <c r="A14" s="41" t="s">
        <v>2426</v>
      </c>
      <c r="B14" t="s">
        <v>2427</v>
      </c>
      <c r="C14" s="5">
        <v>45431</v>
      </c>
      <c r="D14" s="3">
        <v>105753</v>
      </c>
      <c r="E14" s="42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2428</v>
      </c>
      <c r="B15" t="s">
        <v>2429</v>
      </c>
      <c r="C15" s="5">
        <v>45441</v>
      </c>
      <c r="D15" s="3">
        <v>87189</v>
      </c>
      <c r="E15" s="42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ht="15" thickBot="1" x14ac:dyDescent="0.4">
      <c r="A16" s="43" t="s">
        <v>2430</v>
      </c>
      <c r="B16" s="76" t="s">
        <v>2431</v>
      </c>
      <c r="C16" s="45">
        <v>45443</v>
      </c>
      <c r="D16" s="46">
        <v>87189</v>
      </c>
      <c r="E16" s="47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x14ac:dyDescent="0.35">
      <c r="A17" s="36" t="s">
        <v>2437</v>
      </c>
      <c r="B17" s="66" t="s">
        <v>2438</v>
      </c>
      <c r="C17" s="38">
        <v>45450</v>
      </c>
      <c r="D17" s="39">
        <v>87189</v>
      </c>
      <c r="E17" s="40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A18" s="41" t="s">
        <v>2440</v>
      </c>
      <c r="B18" t="s">
        <v>2439</v>
      </c>
      <c r="C18" s="5">
        <v>45458</v>
      </c>
      <c r="D18" s="3">
        <v>128522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41" x14ac:dyDescent="0.35">
      <c r="A19" s="41" t="s">
        <v>2447</v>
      </c>
      <c r="B19" t="s">
        <v>2446</v>
      </c>
      <c r="C19" s="5">
        <v>45471</v>
      </c>
      <c r="D19" s="3">
        <v>169856</v>
      </c>
      <c r="E19" s="42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1" ht="15" thickBot="1" x14ac:dyDescent="0.4">
      <c r="A20" s="43"/>
      <c r="B20" s="76"/>
      <c r="C20" s="45"/>
      <c r="D20" s="46"/>
      <c r="E20" s="4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1" x14ac:dyDescent="0.35"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24" t="s">
        <v>1962</v>
      </c>
      <c r="AL21" s="22" t="s">
        <v>1352</v>
      </c>
    </row>
    <row r="22" spans="1:41" x14ac:dyDescent="0.35">
      <c r="A22" s="2" t="s">
        <v>1676</v>
      </c>
      <c r="D22" s="3">
        <f>SUM(D17:D20)</f>
        <v>385567</v>
      </c>
      <c r="F22" s="3">
        <f t="shared" ref="F22:AJ22" si="1">SUM(F5:F20)</f>
        <v>0</v>
      </c>
      <c r="G22" s="3">
        <f t="shared" si="1"/>
        <v>390119</v>
      </c>
      <c r="H22" s="3">
        <f t="shared" si="1"/>
        <v>0</v>
      </c>
      <c r="I22" s="3">
        <f t="shared" si="1"/>
        <v>0</v>
      </c>
      <c r="J22" s="3">
        <f t="shared" si="1"/>
        <v>0</v>
      </c>
      <c r="K22" s="3">
        <f t="shared" si="1"/>
        <v>0</v>
      </c>
      <c r="L22" s="3">
        <f t="shared" si="1"/>
        <v>0</v>
      </c>
      <c r="M22" s="3">
        <f t="shared" si="1"/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0</v>
      </c>
      <c r="S22" s="3">
        <f t="shared" si="1"/>
        <v>0</v>
      </c>
      <c r="T22" s="3">
        <f t="shared" si="1"/>
        <v>0</v>
      </c>
      <c r="U22" s="3">
        <f t="shared" si="1"/>
        <v>0</v>
      </c>
      <c r="V22" s="3">
        <f t="shared" si="1"/>
        <v>0</v>
      </c>
      <c r="W22" s="3">
        <f t="shared" si="1"/>
        <v>87189</v>
      </c>
      <c r="X22" s="3">
        <f t="shared" si="1"/>
        <v>0</v>
      </c>
      <c r="Y22" s="3">
        <f t="shared" si="1"/>
        <v>0</v>
      </c>
      <c r="Z22" s="3">
        <f t="shared" si="1"/>
        <v>0</v>
      </c>
      <c r="AA22" s="3">
        <f t="shared" si="1"/>
        <v>0</v>
      </c>
      <c r="AB22" s="3">
        <f t="shared" si="1"/>
        <v>0</v>
      </c>
      <c r="AC22" s="3">
        <f t="shared" si="1"/>
        <v>0</v>
      </c>
      <c r="AD22" s="3">
        <f t="shared" si="1"/>
        <v>0</v>
      </c>
      <c r="AE22" s="3">
        <f t="shared" si="1"/>
        <v>0</v>
      </c>
      <c r="AF22" s="3">
        <f t="shared" si="1"/>
        <v>0</v>
      </c>
      <c r="AG22" s="3">
        <f t="shared" si="1"/>
        <v>0</v>
      </c>
      <c r="AH22" s="3">
        <f t="shared" si="1"/>
        <v>0</v>
      </c>
      <c r="AI22" s="3">
        <f t="shared" si="1"/>
        <v>0</v>
      </c>
      <c r="AJ22" s="3">
        <f t="shared" si="1"/>
        <v>0</v>
      </c>
      <c r="AK22" s="72">
        <f>SUM(AK7:AK20)</f>
        <v>477308</v>
      </c>
      <c r="AL22" s="22">
        <f>+D23-AK22</f>
        <v>877217</v>
      </c>
      <c r="AM22" s="6" t="s">
        <v>13</v>
      </c>
    </row>
    <row r="23" spans="1:41" x14ac:dyDescent="0.35">
      <c r="A23" s="2" t="s">
        <v>1780</v>
      </c>
      <c r="B23" t="s">
        <v>13</v>
      </c>
      <c r="C23" s="3" t="s">
        <v>13</v>
      </c>
      <c r="D23" s="3">
        <f>SUM(D7:D20)</f>
        <v>1354525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41" x14ac:dyDescent="0.35">
      <c r="A24" s="2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41" x14ac:dyDescent="0.35">
      <c r="A25" s="2" t="s">
        <v>2</v>
      </c>
      <c r="C25" t="s">
        <v>13</v>
      </c>
      <c r="F25" s="3"/>
      <c r="G25" s="3"/>
      <c r="H25" s="3"/>
      <c r="I25" s="3"/>
      <c r="J25" s="3"/>
      <c r="K25" s="3"/>
      <c r="L25" s="3" t="s">
        <v>13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41" ht="15" thickBot="1" x14ac:dyDescent="0.4">
      <c r="A26" s="404">
        <v>45178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41" x14ac:dyDescent="0.35">
      <c r="A27" s="358" t="s">
        <v>1008</v>
      </c>
      <c r="B27" s="37" t="s">
        <v>337</v>
      </c>
      <c r="C27" s="38"/>
      <c r="D27" s="39">
        <v>1900000</v>
      </c>
      <c r="E27" s="40"/>
      <c r="F27" s="3"/>
      <c r="G27" s="3"/>
      <c r="H27" s="3" t="s">
        <v>13</v>
      </c>
      <c r="I27" s="3" t="s">
        <v>13</v>
      </c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</row>
    <row r="28" spans="1:41" x14ac:dyDescent="0.35">
      <c r="A28" s="41" t="s">
        <v>2416</v>
      </c>
      <c r="B28" s="24"/>
      <c r="C28" s="5"/>
      <c r="D28" s="3">
        <v>67062.11</v>
      </c>
      <c r="E28" s="42"/>
      <c r="F28" s="3"/>
      <c r="G28" s="3"/>
      <c r="H28" s="3"/>
      <c r="I28" s="3"/>
      <c r="J28" s="3"/>
      <c r="K28" s="3"/>
      <c r="L28" s="3">
        <v>67062.11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 t="s">
        <v>13</v>
      </c>
      <c r="AD28" s="3"/>
      <c r="AE28" s="3"/>
      <c r="AF28" s="3"/>
      <c r="AG28" s="3"/>
      <c r="AH28" s="3"/>
      <c r="AI28" s="3"/>
      <c r="AK28" s="3">
        <f>SUM($F28:AJ28)</f>
        <v>67062.11</v>
      </c>
    </row>
    <row r="29" spans="1:41" x14ac:dyDescent="0.35">
      <c r="A29" s="343" t="s">
        <v>1161</v>
      </c>
      <c r="B29" s="24" t="s">
        <v>2409</v>
      </c>
      <c r="C29" s="5">
        <v>45400</v>
      </c>
      <c r="D29" s="3">
        <v>11500</v>
      </c>
      <c r="E29" s="344" t="s">
        <v>4</v>
      </c>
      <c r="F29" s="3"/>
      <c r="G29" s="3"/>
      <c r="H29" s="3" t="s">
        <v>13</v>
      </c>
      <c r="I29" s="3"/>
      <c r="L29" s="3">
        <v>11500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G29" s="3"/>
      <c r="AH29" s="3"/>
      <c r="AI29" s="3"/>
      <c r="AK29" s="3">
        <f>SUM($F29:AJ29)</f>
        <v>11500</v>
      </c>
    </row>
    <row r="30" spans="1:41" x14ac:dyDescent="0.35">
      <c r="A30" s="343" t="s">
        <v>1161</v>
      </c>
      <c r="B30" s="24" t="s">
        <v>2432</v>
      </c>
      <c r="C30" s="5">
        <v>45427</v>
      </c>
      <c r="D30" s="3">
        <v>23320</v>
      </c>
      <c r="E30" s="344" t="s">
        <v>4</v>
      </c>
      <c r="F30" s="3"/>
      <c r="G30" s="3"/>
      <c r="H30" s="3"/>
      <c r="I30" s="3"/>
      <c r="J30" s="3"/>
      <c r="K30" s="3"/>
      <c r="L30" s="3">
        <v>23320</v>
      </c>
      <c r="M30" s="3"/>
      <c r="N30" s="3" t="s">
        <v>13</v>
      </c>
      <c r="O30" s="3"/>
      <c r="P30" s="3" t="s">
        <v>13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23320</v>
      </c>
      <c r="AN30" s="26"/>
      <c r="AO30" s="3"/>
    </row>
    <row r="31" spans="1:41" ht="15" thickBot="1" x14ac:dyDescent="0.4">
      <c r="A31" s="345" t="s">
        <v>1161</v>
      </c>
      <c r="B31" s="44" t="s">
        <v>2433</v>
      </c>
      <c r="C31" s="45">
        <v>45436</v>
      </c>
      <c r="D31" s="46">
        <v>16540</v>
      </c>
      <c r="E31" s="347" t="s">
        <v>4</v>
      </c>
      <c r="F31" s="3"/>
      <c r="G31" s="3"/>
      <c r="H31" s="3"/>
      <c r="I31" s="3"/>
      <c r="J31" s="3"/>
      <c r="K31" s="3"/>
      <c r="L31" s="3">
        <v>16540</v>
      </c>
      <c r="M31" s="3"/>
      <c r="N31" s="3"/>
      <c r="O31" s="3"/>
      <c r="P31" s="3"/>
      <c r="Q31" s="3"/>
      <c r="R31" s="3"/>
      <c r="S31" s="3"/>
      <c r="T31" s="3" t="s">
        <v>13</v>
      </c>
      <c r="U31" s="3"/>
      <c r="V31" s="3" t="s">
        <v>13</v>
      </c>
      <c r="W31" s="3"/>
      <c r="X31" s="3" t="s">
        <v>13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16540</v>
      </c>
      <c r="AN31" s="26"/>
      <c r="AO31" s="3"/>
    </row>
    <row r="32" spans="1:41" x14ac:dyDescent="0.35">
      <c r="A32" s="41" t="s">
        <v>2434</v>
      </c>
      <c r="C32" s="5">
        <v>45449</v>
      </c>
      <c r="D32" s="3">
        <v>13905</v>
      </c>
      <c r="E32" s="344" t="s">
        <v>503</v>
      </c>
      <c r="F32" s="3"/>
      <c r="G32" s="3"/>
      <c r="H32" s="3"/>
      <c r="I32" s="3"/>
      <c r="J32" s="3"/>
      <c r="K32" s="3">
        <v>13905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 t="s">
        <v>13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13905</v>
      </c>
      <c r="AN32" s="26"/>
      <c r="AO32" s="3"/>
    </row>
    <row r="33" spans="1:43" x14ac:dyDescent="0.35">
      <c r="A33" s="343" t="s">
        <v>2126</v>
      </c>
      <c r="B33" s="24"/>
      <c r="C33" s="5">
        <v>45450</v>
      </c>
      <c r="D33" s="3">
        <v>6499</v>
      </c>
      <c r="E33" s="344" t="s">
        <v>4</v>
      </c>
      <c r="F33" s="3"/>
      <c r="G33" s="3"/>
      <c r="H33" s="3"/>
      <c r="I33" s="3"/>
      <c r="J33" s="3"/>
      <c r="K33" s="3"/>
      <c r="L33" s="3">
        <v>6499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6499</v>
      </c>
      <c r="AN33" s="26"/>
      <c r="AO33" s="3"/>
    </row>
    <row r="34" spans="1:43" x14ac:dyDescent="0.35">
      <c r="A34" s="343" t="s">
        <v>2435</v>
      </c>
      <c r="B34" s="24"/>
      <c r="C34" s="5">
        <v>45450</v>
      </c>
      <c r="D34" s="3">
        <v>467662</v>
      </c>
      <c r="E34" s="344" t="s">
        <v>4</v>
      </c>
      <c r="F34" s="3"/>
      <c r="G34" s="3"/>
      <c r="H34" s="3"/>
      <c r="I34" s="3"/>
      <c r="J34" s="3"/>
      <c r="K34" s="3"/>
      <c r="L34" s="3">
        <v>467662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467662</v>
      </c>
      <c r="AN34" s="26"/>
      <c r="AO34" s="3"/>
    </row>
    <row r="35" spans="1:43" x14ac:dyDescent="0.35">
      <c r="A35" s="343" t="s">
        <v>2442</v>
      </c>
      <c r="B35" s="24"/>
      <c r="C35" s="5">
        <v>45461</v>
      </c>
      <c r="D35" s="3">
        <v>72569</v>
      </c>
      <c r="E35" s="344" t="s">
        <v>503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>
        <v>62643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62643</v>
      </c>
      <c r="AN35" s="26"/>
      <c r="AO35" s="3"/>
    </row>
    <row r="36" spans="1:43" x14ac:dyDescent="0.35">
      <c r="A36" s="343" t="s">
        <v>2436</v>
      </c>
      <c r="B36" s="24"/>
      <c r="C36" s="5">
        <v>45450</v>
      </c>
      <c r="D36" s="3">
        <v>20000</v>
      </c>
      <c r="E36" s="344" t="s">
        <v>503</v>
      </c>
      <c r="F36" s="3"/>
      <c r="G36" s="3"/>
      <c r="H36" s="3"/>
      <c r="I36" s="3"/>
      <c r="J36" s="3"/>
      <c r="K36" s="3"/>
      <c r="L36" s="3">
        <v>20000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20000</v>
      </c>
      <c r="AN36" s="26"/>
      <c r="AO36" s="3"/>
    </row>
    <row r="37" spans="1:43" x14ac:dyDescent="0.35">
      <c r="A37" s="343" t="s">
        <v>1161</v>
      </c>
      <c r="B37" s="24" t="s">
        <v>2441</v>
      </c>
      <c r="C37" s="5">
        <v>45458</v>
      </c>
      <c r="D37" s="3">
        <v>15400</v>
      </c>
      <c r="E37" s="344" t="s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0</v>
      </c>
      <c r="AN37" s="26"/>
      <c r="AO37" s="3"/>
    </row>
    <row r="38" spans="1:43" x14ac:dyDescent="0.35">
      <c r="A38" s="343" t="s">
        <v>1161</v>
      </c>
      <c r="B38" s="24" t="s">
        <v>2445</v>
      </c>
      <c r="C38" s="5">
        <v>45472</v>
      </c>
      <c r="D38" s="3">
        <v>19780</v>
      </c>
      <c r="E38" s="344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0</v>
      </c>
      <c r="AN38" s="26"/>
      <c r="AO38" s="3"/>
    </row>
    <row r="39" spans="1:43" x14ac:dyDescent="0.35">
      <c r="A39" s="343"/>
      <c r="B39" s="24"/>
      <c r="C39" s="5"/>
      <c r="D39" s="3"/>
      <c r="E39" s="34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N39" s="26"/>
      <c r="AO39" s="3"/>
    </row>
    <row r="40" spans="1:43" x14ac:dyDescent="0.35">
      <c r="A40" s="343"/>
      <c r="B40" s="24"/>
      <c r="C40" s="5"/>
      <c r="D40" s="3"/>
      <c r="E40" s="34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N40" s="26"/>
      <c r="AO40" s="3"/>
    </row>
    <row r="41" spans="1:43" x14ac:dyDescent="0.35">
      <c r="A41" s="343"/>
      <c r="B41" s="24"/>
      <c r="C41" s="5"/>
      <c r="D41" s="3"/>
      <c r="E41" s="34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N41" s="26"/>
      <c r="AO41" s="3"/>
    </row>
    <row r="42" spans="1:43" ht="15" thickBot="1" x14ac:dyDescent="0.4">
      <c r="A42" s="43" t="s">
        <v>2443</v>
      </c>
      <c r="B42" s="76" t="s">
        <v>337</v>
      </c>
      <c r="C42" s="45" t="s">
        <v>13</v>
      </c>
      <c r="D42" s="46">
        <f>+AK22*0.17</f>
        <v>81142.36</v>
      </c>
      <c r="E42" s="47"/>
      <c r="F42" s="3"/>
      <c r="G42" s="3" t="s">
        <v>13</v>
      </c>
      <c r="H42" s="3" t="s">
        <v>13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0</v>
      </c>
      <c r="AL42" s="6" t="s">
        <v>1846</v>
      </c>
      <c r="AM42" s="6" t="s">
        <v>13</v>
      </c>
      <c r="AN42" s="26" t="s">
        <v>13</v>
      </c>
      <c r="AO42" s="3"/>
    </row>
    <row r="43" spans="1:43" x14ac:dyDescent="0.35">
      <c r="A43" s="3" t="s">
        <v>13</v>
      </c>
      <c r="B43" s="24"/>
      <c r="C43" s="236" t="s">
        <v>13</v>
      </c>
      <c r="D43" s="3"/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13</v>
      </c>
      <c r="AL43" s="22"/>
      <c r="AO43" s="14" t="s">
        <v>1558</v>
      </c>
      <c r="AP43" s="15">
        <f>+SUMIF(AL30:AL42,"CD",D30:D42)/1.19</f>
        <v>0</v>
      </c>
      <c r="AQ43" s="15" t="e">
        <f>+AP43*#REF!/#REF!</f>
        <v>#REF!</v>
      </c>
    </row>
    <row r="44" spans="1:43" x14ac:dyDescent="0.35">
      <c r="A44" s="4"/>
      <c r="B44" s="24"/>
      <c r="C44" s="67"/>
      <c r="D44" s="3"/>
      <c r="E44" s="153"/>
      <c r="F44" s="3" t="s">
        <v>13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13</v>
      </c>
      <c r="AL44" s="22"/>
      <c r="AO44" s="14" t="s">
        <v>1559</v>
      </c>
      <c r="AP44" s="15" t="e">
        <f>+#REF!-AP43</f>
        <v>#REF!</v>
      </c>
      <c r="AQ44" s="15" t="e">
        <f>+#REF!-AQ43</f>
        <v>#REF!</v>
      </c>
    </row>
    <row r="45" spans="1:43" x14ac:dyDescent="0.35">
      <c r="A45" s="4"/>
      <c r="B45" s="24"/>
      <c r="C45" s="67"/>
      <c r="D45" s="3"/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13</v>
      </c>
      <c r="AL45" s="22"/>
      <c r="AO45" s="14" t="s">
        <v>1560</v>
      </c>
      <c r="AP45" s="327" t="e">
        <f>+AP44/#REF!</f>
        <v>#REF!</v>
      </c>
      <c r="AQ45" s="327" t="e">
        <f>+AQ44/#REF!</f>
        <v>#REF!</v>
      </c>
    </row>
    <row r="46" spans="1:43" x14ac:dyDescent="0.35">
      <c r="A46" s="4"/>
      <c r="B46" s="67"/>
      <c r="C46" s="236"/>
      <c r="E46" s="15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AJ46" s="3"/>
      <c r="AK46" s="3"/>
      <c r="AL46" s="22" t="s">
        <v>1388</v>
      </c>
      <c r="AM46" s="6" t="s">
        <v>1430</v>
      </c>
      <c r="AO46" s="14" t="s">
        <v>81</v>
      </c>
      <c r="AP46" s="15" t="e">
        <f>+SUMIF(AL30:AL42,"GAV",D30:D42)/1.19+SUMIF(#REF!,"REM",#REF!)</f>
        <v>#REF!</v>
      </c>
      <c r="AQ46" s="15" t="e">
        <f>+AP46*#REF!/#REF!</f>
        <v>#REF!</v>
      </c>
    </row>
    <row r="47" spans="1:43" x14ac:dyDescent="0.35">
      <c r="A47" s="2" t="s">
        <v>9</v>
      </c>
      <c r="D47" s="72" t="e">
        <f>SUM(D30:D45)-#REF!</f>
        <v>#REF!</v>
      </c>
      <c r="F47" s="3">
        <f t="shared" ref="F47:AJ47" si="2">SUM(F27:F46)</f>
        <v>0</v>
      </c>
      <c r="G47" s="3">
        <f t="shared" si="2"/>
        <v>0</v>
      </c>
      <c r="H47" s="3">
        <f t="shared" si="2"/>
        <v>0</v>
      </c>
      <c r="I47" s="3">
        <f t="shared" si="2"/>
        <v>0</v>
      </c>
      <c r="J47" s="3">
        <f t="shared" si="2"/>
        <v>0</v>
      </c>
      <c r="K47" s="3">
        <f t="shared" si="2"/>
        <v>13905</v>
      </c>
      <c r="L47" s="3">
        <f t="shared" si="2"/>
        <v>612583.11</v>
      </c>
      <c r="M47" s="3">
        <f t="shared" si="2"/>
        <v>0</v>
      </c>
      <c r="N47" s="3">
        <f t="shared" si="2"/>
        <v>0</v>
      </c>
      <c r="O47" s="3">
        <f t="shared" si="2"/>
        <v>0</v>
      </c>
      <c r="P47" s="3">
        <f t="shared" si="2"/>
        <v>0</v>
      </c>
      <c r="Q47" s="3">
        <f t="shared" si="2"/>
        <v>0</v>
      </c>
      <c r="R47" s="3">
        <f t="shared" si="2"/>
        <v>0</v>
      </c>
      <c r="S47" s="3">
        <f t="shared" si="2"/>
        <v>0</v>
      </c>
      <c r="T47" s="3">
        <f t="shared" si="2"/>
        <v>0</v>
      </c>
      <c r="U47" s="3">
        <f t="shared" si="2"/>
        <v>0</v>
      </c>
      <c r="V47" s="3">
        <f t="shared" si="2"/>
        <v>0</v>
      </c>
      <c r="W47" s="3">
        <f t="shared" si="2"/>
        <v>62643</v>
      </c>
      <c r="X47" s="3">
        <f t="shared" si="2"/>
        <v>0</v>
      </c>
      <c r="Y47" s="3">
        <f t="shared" si="2"/>
        <v>0</v>
      </c>
      <c r="Z47" s="3">
        <f t="shared" si="2"/>
        <v>0</v>
      </c>
      <c r="AA47" s="3">
        <f t="shared" si="2"/>
        <v>0</v>
      </c>
      <c r="AB47" s="3">
        <f t="shared" si="2"/>
        <v>0</v>
      </c>
      <c r="AC47" s="3">
        <f t="shared" si="2"/>
        <v>0</v>
      </c>
      <c r="AD47" s="3">
        <f t="shared" si="2"/>
        <v>0</v>
      </c>
      <c r="AE47" s="3">
        <f t="shared" si="2"/>
        <v>0</v>
      </c>
      <c r="AF47" s="3">
        <f t="shared" si="2"/>
        <v>0</v>
      </c>
      <c r="AG47" s="3">
        <f t="shared" si="2"/>
        <v>0</v>
      </c>
      <c r="AH47" s="3">
        <f t="shared" si="2"/>
        <v>0</v>
      </c>
      <c r="AI47" s="3">
        <f t="shared" si="2"/>
        <v>0</v>
      </c>
      <c r="AJ47" s="3">
        <f t="shared" si="2"/>
        <v>0</v>
      </c>
      <c r="AK47" s="72">
        <f>SUM(AK27:AK45)-AK27</f>
        <v>689131.11</v>
      </c>
      <c r="AL47" s="324" t="e">
        <f>+D47-AK47</f>
        <v>#REF!</v>
      </c>
      <c r="AM47" s="324" t="e">
        <f>+AJ48+AL22-AL47-1200000</f>
        <v>#REF!</v>
      </c>
      <c r="AO47" s="14" t="s">
        <v>1561</v>
      </c>
      <c r="AP47" s="15" t="e">
        <f>+AP44-AP46</f>
        <v>#REF!</v>
      </c>
      <c r="AQ47" s="15" t="e">
        <f>+AQ44-AQ46</f>
        <v>#REF!</v>
      </c>
    </row>
    <row r="48" spans="1:43" x14ac:dyDescent="0.35">
      <c r="A48" t="s">
        <v>8</v>
      </c>
      <c r="F48" s="3">
        <f t="shared" ref="F48:AJ48" si="3">+F22+F3-F47</f>
        <v>1626025.8748390845</v>
      </c>
      <c r="G48" s="3">
        <f t="shared" si="3"/>
        <v>2016144.8748390845</v>
      </c>
      <c r="H48" s="3">
        <f t="shared" si="3"/>
        <v>2016144.8748390845</v>
      </c>
      <c r="I48" s="3">
        <f t="shared" si="3"/>
        <v>2016144.8748390845</v>
      </c>
      <c r="J48" s="3">
        <f t="shared" si="3"/>
        <v>2016144.8748390845</v>
      </c>
      <c r="K48" s="3">
        <f t="shared" si="3"/>
        <v>2002239.8748390845</v>
      </c>
      <c r="L48" s="3">
        <f t="shared" si="3"/>
        <v>1389656.7648390844</v>
      </c>
      <c r="M48" s="3">
        <f t="shared" si="3"/>
        <v>1389656.7648390844</v>
      </c>
      <c r="N48" s="3">
        <f t="shared" si="3"/>
        <v>1389656.7648390844</v>
      </c>
      <c r="O48" s="3">
        <f t="shared" si="3"/>
        <v>1389656.7648390844</v>
      </c>
      <c r="P48" s="3">
        <f t="shared" si="3"/>
        <v>1389656.7648390844</v>
      </c>
      <c r="Q48" s="3">
        <f t="shared" si="3"/>
        <v>1389656.7648390844</v>
      </c>
      <c r="R48" s="3">
        <f t="shared" si="3"/>
        <v>1389656.7648390844</v>
      </c>
      <c r="S48" s="3">
        <f t="shared" si="3"/>
        <v>1389656.7648390844</v>
      </c>
      <c r="T48" s="3">
        <f t="shared" si="3"/>
        <v>1389656.7648390844</v>
      </c>
      <c r="U48" s="3">
        <f t="shared" si="3"/>
        <v>1389656.7648390844</v>
      </c>
      <c r="V48" s="3">
        <f t="shared" si="3"/>
        <v>1389656.7648390844</v>
      </c>
      <c r="W48" s="3">
        <f t="shared" si="3"/>
        <v>1414202.7648390844</v>
      </c>
      <c r="X48" s="3">
        <f t="shared" si="3"/>
        <v>1414202.7648390844</v>
      </c>
      <c r="Y48" s="3">
        <f t="shared" si="3"/>
        <v>1414202.7648390844</v>
      </c>
      <c r="Z48" s="3">
        <f t="shared" si="3"/>
        <v>1414202.7648390844</v>
      </c>
      <c r="AA48" s="3">
        <f t="shared" si="3"/>
        <v>1414202.7648390844</v>
      </c>
      <c r="AB48" s="3">
        <f t="shared" si="3"/>
        <v>1414202.7648390844</v>
      </c>
      <c r="AC48" s="3">
        <f t="shared" si="3"/>
        <v>1414202.7648390844</v>
      </c>
      <c r="AD48" s="3">
        <f t="shared" si="3"/>
        <v>1414202.7648390844</v>
      </c>
      <c r="AE48" s="3">
        <f t="shared" si="3"/>
        <v>1414202.7648390844</v>
      </c>
      <c r="AF48" s="3">
        <f t="shared" si="3"/>
        <v>1414202.7648390844</v>
      </c>
      <c r="AG48" s="3">
        <f t="shared" si="3"/>
        <v>1414202.7648390844</v>
      </c>
      <c r="AH48" s="3">
        <f t="shared" si="3"/>
        <v>1414202.7648390844</v>
      </c>
      <c r="AI48" s="3">
        <f t="shared" si="3"/>
        <v>1414202.7648390844</v>
      </c>
      <c r="AJ48" s="3">
        <f t="shared" si="3"/>
        <v>1414202.7648390844</v>
      </c>
      <c r="AK48" s="3" t="s">
        <v>13</v>
      </c>
      <c r="AM48" s="22" t="s">
        <v>13</v>
      </c>
      <c r="AO48" s="14" t="s">
        <v>1563</v>
      </c>
      <c r="AP48" s="15">
        <f>+SUMIF(AL30:AL42,"GF",D30:D42)</f>
        <v>0</v>
      </c>
      <c r="AQ48" s="15">
        <v>0</v>
      </c>
    </row>
    <row r="49" spans="1:43" x14ac:dyDescent="0.35">
      <c r="F49" s="3"/>
      <c r="G49" s="3"/>
      <c r="H49" s="3"/>
      <c r="I49" s="3" t="s">
        <v>13</v>
      </c>
      <c r="J49" s="3"/>
      <c r="K49" s="3" t="s">
        <v>13</v>
      </c>
      <c r="L49" s="3"/>
      <c r="M49" s="3"/>
      <c r="N49" s="3"/>
      <c r="O49" s="3"/>
      <c r="P49" s="3" t="s">
        <v>13</v>
      </c>
      <c r="Q49" s="3"/>
      <c r="R49" s="3"/>
      <c r="S49" s="3"/>
      <c r="T49" s="3" t="s">
        <v>13</v>
      </c>
      <c r="U49" s="3"/>
      <c r="V49" s="3"/>
      <c r="W49" s="3"/>
      <c r="Y49" s="3" t="s">
        <v>13</v>
      </c>
      <c r="Z49" s="3" t="s">
        <v>13</v>
      </c>
      <c r="AA49" s="3" t="s">
        <v>13</v>
      </c>
      <c r="AB49" s="3" t="s">
        <v>13</v>
      </c>
      <c r="AO49" s="14" t="s">
        <v>82</v>
      </c>
      <c r="AP49" s="15">
        <v>0</v>
      </c>
      <c r="AQ49" s="15">
        <f>+SUMIF(AL30:AL42,"AF",D30:D42)/1.19</f>
        <v>0</v>
      </c>
    </row>
    <row r="50" spans="1:43" ht="15" thickBot="1" x14ac:dyDescent="0.4">
      <c r="F50" s="3" t="s">
        <v>13</v>
      </c>
      <c r="G50" s="3" t="s">
        <v>13</v>
      </c>
      <c r="H50" s="3" t="s">
        <v>13</v>
      </c>
      <c r="I50" s="3"/>
      <c r="J50" s="3"/>
      <c r="K50" s="3"/>
      <c r="L50" s="3"/>
      <c r="M50" s="3"/>
      <c r="N50" s="3"/>
      <c r="O50" s="3"/>
      <c r="P50" s="3" t="s">
        <v>13</v>
      </c>
      <c r="Q50" s="3" t="s">
        <v>13</v>
      </c>
      <c r="R50" s="3" t="s">
        <v>13</v>
      </c>
      <c r="S50" s="3"/>
      <c r="T50" s="3"/>
      <c r="U50" s="3" t="s">
        <v>13</v>
      </c>
      <c r="V50" s="3"/>
      <c r="W50" s="3"/>
      <c r="AB50" s="3" t="s">
        <v>13</v>
      </c>
      <c r="AG50" s="3" t="s">
        <v>13</v>
      </c>
      <c r="AJ50" s="3" t="s">
        <v>13</v>
      </c>
      <c r="AO50" s="16"/>
      <c r="AP50" s="19" t="e">
        <f>+AP47-AP48-AP49</f>
        <v>#REF!</v>
      </c>
      <c r="AQ50" s="19" t="e">
        <f>+AQ47-AQ48-AQ49</f>
        <v>#REF!</v>
      </c>
    </row>
    <row r="51" spans="1:43" x14ac:dyDescent="0.35">
      <c r="A51" t="s">
        <v>2163</v>
      </c>
      <c r="B51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1" s="3" t="e">
        <f>+B51*0.16</f>
        <v>#REF!</v>
      </c>
      <c r="E51" s="6" t="s">
        <v>13</v>
      </c>
      <c r="F51" s="3"/>
      <c r="G51" s="3" t="s">
        <v>13</v>
      </c>
      <c r="H51" s="3" t="s">
        <v>13</v>
      </c>
      <c r="I51" s="3"/>
      <c r="J51" s="3"/>
      <c r="K51" s="3"/>
      <c r="L51" s="3"/>
      <c r="M51" s="3"/>
      <c r="N51" s="3"/>
      <c r="O51" s="3"/>
      <c r="W51" s="3"/>
      <c r="AB51" s="3" t="s">
        <v>13</v>
      </c>
      <c r="AG51" s="3" t="s">
        <v>13</v>
      </c>
      <c r="AJ51" s="3" t="s">
        <v>13</v>
      </c>
      <c r="AO51" t="s">
        <v>1961</v>
      </c>
      <c r="AP51" s="26" t="e">
        <f ca="1">+AP$50+'May-23'!AP82</f>
        <v>#REF!</v>
      </c>
      <c r="AQ51" s="3" t="e">
        <f ca="1">+AQ$50+'May-23'!AQ82</f>
        <v>#REF!</v>
      </c>
    </row>
    <row r="52" spans="1:43" x14ac:dyDescent="0.35">
      <c r="F52" s="3"/>
      <c r="G52" s="3" t="s">
        <v>13</v>
      </c>
      <c r="H52" s="3"/>
      <c r="I52" s="3"/>
      <c r="J52" s="3"/>
      <c r="K52" s="3"/>
      <c r="L52" s="3"/>
      <c r="M52" s="3"/>
      <c r="N52" s="3"/>
      <c r="O52" s="3"/>
      <c r="W52" s="3" t="s">
        <v>13</v>
      </c>
      <c r="AB52" s="3" t="s">
        <v>13</v>
      </c>
      <c r="AD52" t="s">
        <v>13</v>
      </c>
      <c r="AE52" t="s">
        <v>13</v>
      </c>
      <c r="AG52" s="3" t="s">
        <v>13</v>
      </c>
      <c r="AJ52" s="3" t="s">
        <v>13</v>
      </c>
      <c r="AO52" t="s">
        <v>1960</v>
      </c>
      <c r="AP52" s="26" t="e">
        <f ca="1">+AP$50+'May-23'!AP83</f>
        <v>#REF!</v>
      </c>
      <c r="AQ52" s="3" t="e">
        <f ca="1">+AQ$50+'May-23'!AQ83</f>
        <v>#REF!</v>
      </c>
    </row>
    <row r="53" spans="1:43" x14ac:dyDescent="0.35">
      <c r="A53" t="s">
        <v>13</v>
      </c>
      <c r="F53" s="3" t="s">
        <v>13</v>
      </c>
      <c r="G53" s="3" t="s">
        <v>13</v>
      </c>
      <c r="H53" s="3"/>
      <c r="I53" s="3"/>
      <c r="J53" s="3"/>
      <c r="K53" s="3"/>
      <c r="L53" s="3"/>
      <c r="M53" s="3">
        <v>538500</v>
      </c>
      <c r="N53" s="3"/>
      <c r="O53" s="3"/>
      <c r="W53" s="3"/>
      <c r="AB53" s="3" t="s">
        <v>13</v>
      </c>
      <c r="AD53" t="s">
        <v>13</v>
      </c>
      <c r="AG53" s="3" t="s">
        <v>13</v>
      </c>
      <c r="AJ53" s="3" t="s">
        <v>13</v>
      </c>
    </row>
    <row r="54" spans="1:43" x14ac:dyDescent="0.35">
      <c r="B54" t="s">
        <v>13</v>
      </c>
      <c r="F54" s="3" t="s">
        <v>13</v>
      </c>
      <c r="G54" s="3" t="s">
        <v>13</v>
      </c>
      <c r="H54" s="3"/>
      <c r="I54" s="3"/>
      <c r="J54" s="3"/>
      <c r="K54" s="3"/>
      <c r="L54" s="3" t="s">
        <v>13</v>
      </c>
      <c r="M54" s="3">
        <v>682100</v>
      </c>
      <c r="N54" s="3"/>
      <c r="O54" s="3"/>
      <c r="W54" s="3"/>
      <c r="AB54" s="3" t="s">
        <v>13</v>
      </c>
      <c r="AG54" s="3" t="s">
        <v>13</v>
      </c>
      <c r="AJ54" s="3" t="s">
        <v>13</v>
      </c>
      <c r="AL54"/>
      <c r="AM54"/>
    </row>
    <row r="55" spans="1:43" x14ac:dyDescent="0.35">
      <c r="F55" s="3"/>
      <c r="G55" s="3" t="s">
        <v>13</v>
      </c>
      <c r="H55" s="3"/>
      <c r="I55" s="3"/>
      <c r="J55" s="3"/>
      <c r="K55" s="3"/>
      <c r="L55" s="3"/>
      <c r="M55" s="3">
        <f>SUM(M53:M54)</f>
        <v>1220600</v>
      </c>
      <c r="AG55" s="3" t="s">
        <v>13</v>
      </c>
      <c r="AJ55" s="3" t="s">
        <v>13</v>
      </c>
      <c r="AL55"/>
      <c r="AM55"/>
    </row>
    <row r="56" spans="1:43" x14ac:dyDescent="0.35">
      <c r="B56" t="s">
        <v>13</v>
      </c>
      <c r="F56" s="3"/>
      <c r="G56" s="3" t="s">
        <v>13</v>
      </c>
      <c r="H56" s="3"/>
      <c r="I56" s="3"/>
      <c r="J56" s="3"/>
      <c r="K56" s="3"/>
      <c r="L56" s="3"/>
      <c r="AB56" t="s">
        <v>13</v>
      </c>
      <c r="AG56" s="3" t="s">
        <v>13</v>
      </c>
      <c r="AJ56" s="3" t="s">
        <v>13</v>
      </c>
      <c r="AL56"/>
      <c r="AM56"/>
      <c r="AQ56" t="s">
        <v>13</v>
      </c>
    </row>
    <row r="57" spans="1:43" x14ac:dyDescent="0.35">
      <c r="B57" t="s">
        <v>13</v>
      </c>
      <c r="C57" t="s">
        <v>13</v>
      </c>
      <c r="F57" s="3"/>
      <c r="G57" s="3" t="s">
        <v>13</v>
      </c>
      <c r="H57" s="3"/>
      <c r="I57" s="3"/>
      <c r="J57" s="3"/>
      <c r="K57" s="3"/>
      <c r="L57" s="3"/>
      <c r="AG57" s="3" t="s">
        <v>13</v>
      </c>
      <c r="AJ57" s="3" t="s">
        <v>13</v>
      </c>
      <c r="AL57"/>
      <c r="AM57"/>
    </row>
    <row r="58" spans="1:43" x14ac:dyDescent="0.35">
      <c r="B58" t="s">
        <v>13</v>
      </c>
      <c r="C58" t="s">
        <v>13</v>
      </c>
      <c r="F58" s="3"/>
      <c r="G58" s="3" t="s">
        <v>2417</v>
      </c>
      <c r="H58" s="3"/>
      <c r="I58" s="3"/>
      <c r="J58" s="3"/>
      <c r="K58" s="3"/>
      <c r="L58" s="3"/>
      <c r="AG58" s="3" t="s">
        <v>13</v>
      </c>
      <c r="AJ58" s="3" t="s">
        <v>13</v>
      </c>
      <c r="AL58"/>
      <c r="AM58"/>
    </row>
    <row r="59" spans="1:43" x14ac:dyDescent="0.35">
      <c r="F59" s="3"/>
      <c r="G59" s="3" t="s">
        <v>13</v>
      </c>
      <c r="H59" s="3"/>
      <c r="I59" s="3"/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F60" s="3"/>
      <c r="G60" s="288">
        <f>212-60</f>
        <v>152</v>
      </c>
      <c r="H60" s="288">
        <f>+G60-60</f>
        <v>92</v>
      </c>
      <c r="I60" s="288">
        <f>+H60/3</f>
        <v>30.666666666666668</v>
      </c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F61" s="3"/>
      <c r="G61" s="288">
        <f>+G60/2</f>
        <v>76</v>
      </c>
      <c r="H61" s="288"/>
      <c r="I61" s="288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288">
        <f>+G61/2</f>
        <v>38</v>
      </c>
      <c r="H62" s="288"/>
      <c r="I62" s="288">
        <f>I60*3+60</f>
        <v>152</v>
      </c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288">
        <f>+G62-15</f>
        <v>23</v>
      </c>
      <c r="H63" s="288"/>
      <c r="I63" s="288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L68"/>
      <c r="AM68"/>
    </row>
    <row r="69" spans="2:39" x14ac:dyDescent="0.35">
      <c r="B69" t="s">
        <v>13</v>
      </c>
      <c r="F69" s="3"/>
      <c r="G69" s="3" t="s">
        <v>13</v>
      </c>
      <c r="H69" s="3"/>
      <c r="I69" s="3"/>
      <c r="J69" s="3"/>
      <c r="K69" s="3"/>
      <c r="L69" s="3"/>
      <c r="AL69"/>
      <c r="AM69"/>
    </row>
    <row r="70" spans="2:39" x14ac:dyDescent="0.35">
      <c r="B70" t="s">
        <v>13</v>
      </c>
      <c r="E70"/>
      <c r="AL70"/>
      <c r="AM70"/>
    </row>
    <row r="71" spans="2:39" x14ac:dyDescent="0.35">
      <c r="B71" t="s">
        <v>13</v>
      </c>
      <c r="E71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</sheetData>
  <sortState xmlns:xlrd2="http://schemas.microsoft.com/office/spreadsheetml/2017/richdata2" ref="A33:E35">
    <sortCondition ref="C33:C35"/>
  </sortState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1AF3-8DC0-4B60-87F0-33171D008B93}">
  <dimension ref="A1:AQ100"/>
  <sheetViews>
    <sheetView zoomScale="70" zoomScaleNormal="70" workbookViewId="0">
      <pane xSplit="5" ySplit="3" topLeftCell="AC14" activePane="bottomRight" state="frozen"/>
      <selection pane="topRight" activeCell="F1" sqref="F1"/>
      <selection pane="bottomLeft" activeCell="A4" sqref="A4"/>
      <selection pane="bottomRight" activeCell="AD27" sqref="AD27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45474</v>
      </c>
      <c r="G2" s="1">
        <v>45475</v>
      </c>
      <c r="H2" s="1">
        <v>45476</v>
      </c>
      <c r="I2" s="1">
        <v>45477</v>
      </c>
      <c r="J2" s="1">
        <v>45478</v>
      </c>
      <c r="K2" s="1">
        <v>45479</v>
      </c>
      <c r="L2" s="1">
        <v>45480</v>
      </c>
      <c r="M2" s="1">
        <v>45481</v>
      </c>
      <c r="N2" s="1">
        <v>45482</v>
      </c>
      <c r="O2" s="1">
        <v>45483</v>
      </c>
      <c r="P2" s="1">
        <v>45484</v>
      </c>
      <c r="Q2" s="1">
        <v>45485</v>
      </c>
      <c r="R2" s="1">
        <v>45486</v>
      </c>
      <c r="S2" s="1">
        <v>45487</v>
      </c>
      <c r="T2" s="1">
        <v>45488</v>
      </c>
      <c r="U2" s="1">
        <v>45489</v>
      </c>
      <c r="V2" s="1">
        <v>45490</v>
      </c>
      <c r="W2" s="1">
        <v>45491</v>
      </c>
      <c r="X2" s="1">
        <v>45492</v>
      </c>
      <c r="Y2" s="1">
        <v>45493</v>
      </c>
      <c r="Z2" s="1">
        <v>45494</v>
      </c>
      <c r="AA2" s="1">
        <v>45495</v>
      </c>
      <c r="AB2" s="1">
        <v>45496</v>
      </c>
      <c r="AC2" s="1">
        <v>45497</v>
      </c>
      <c r="AD2" s="1">
        <v>45498</v>
      </c>
      <c r="AE2" s="1">
        <v>45499</v>
      </c>
      <c r="AF2" s="1">
        <v>45500</v>
      </c>
      <c r="AG2" s="1">
        <v>45501</v>
      </c>
      <c r="AH2" s="1">
        <v>45502</v>
      </c>
      <c r="AI2" s="1">
        <v>45503</v>
      </c>
      <c r="AJ2" s="1">
        <v>45504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+'Jun-24'!AI48</f>
        <v>1414202.7648390844</v>
      </c>
      <c r="G3" s="3">
        <f t="shared" ref="G3:AJ3" si="0">+F46</f>
        <v>1414202.7648390844</v>
      </c>
      <c r="H3" s="3">
        <f t="shared" si="0"/>
        <v>1414202.7648390844</v>
      </c>
      <c r="I3" s="3">
        <f t="shared" si="0"/>
        <v>1414202.7648390844</v>
      </c>
      <c r="J3" s="3">
        <f t="shared" si="0"/>
        <v>1414202.7648390844</v>
      </c>
      <c r="K3" s="3">
        <f t="shared" si="0"/>
        <v>1400297.7648390844</v>
      </c>
      <c r="L3" s="3">
        <f t="shared" si="0"/>
        <v>1400297.7648390844</v>
      </c>
      <c r="M3" s="3">
        <f t="shared" si="0"/>
        <v>1400297.7648390844</v>
      </c>
      <c r="N3" s="3">
        <f t="shared" si="0"/>
        <v>1400297.7648390844</v>
      </c>
      <c r="O3" s="3">
        <f t="shared" si="0"/>
        <v>1376297.7648390844</v>
      </c>
      <c r="P3" s="3">
        <f t="shared" si="0"/>
        <v>1376297.7648390844</v>
      </c>
      <c r="Q3" s="3">
        <f t="shared" si="0"/>
        <v>1376297.7648390844</v>
      </c>
      <c r="R3" s="3">
        <f t="shared" si="0"/>
        <v>1376297.7648390844</v>
      </c>
      <c r="S3" s="3">
        <f t="shared" si="0"/>
        <v>1376297.7648390844</v>
      </c>
      <c r="T3" s="3">
        <f t="shared" si="0"/>
        <v>1376297.7648390844</v>
      </c>
      <c r="U3" s="3">
        <f t="shared" si="0"/>
        <v>1376297.7648390844</v>
      </c>
      <c r="V3" s="3">
        <f t="shared" si="0"/>
        <v>1376297.7648390844</v>
      </c>
      <c r="W3" s="3">
        <f t="shared" si="0"/>
        <v>1376297.7648390844</v>
      </c>
      <c r="X3" s="3">
        <f t="shared" si="0"/>
        <v>1376297.7648390844</v>
      </c>
      <c r="Y3" s="3">
        <f t="shared" si="0"/>
        <v>1376297.7648390844</v>
      </c>
      <c r="Z3" s="3">
        <f t="shared" si="0"/>
        <v>1376297.7648390844</v>
      </c>
      <c r="AA3" s="3">
        <f t="shared" si="0"/>
        <v>1376297.7648390844</v>
      </c>
      <c r="AB3" s="3">
        <f t="shared" si="0"/>
        <v>1376297.7648390844</v>
      </c>
      <c r="AC3" s="3">
        <f t="shared" si="0"/>
        <v>1376297.7648390844</v>
      </c>
      <c r="AD3" s="3">
        <f t="shared" si="0"/>
        <v>1376297.7648390844</v>
      </c>
      <c r="AE3" s="3">
        <f t="shared" si="0"/>
        <v>1959298.7648390844</v>
      </c>
      <c r="AF3" s="3">
        <f t="shared" si="0"/>
        <v>1959298.7648390844</v>
      </c>
      <c r="AG3" s="3">
        <f t="shared" si="0"/>
        <v>2046487.7648390844</v>
      </c>
      <c r="AH3" s="3">
        <f t="shared" si="0"/>
        <v>2046487.7648390844</v>
      </c>
      <c r="AI3" s="3">
        <f t="shared" si="0"/>
        <v>2046487.7648390844</v>
      </c>
      <c r="AJ3" s="3">
        <f t="shared" si="0"/>
        <v>2046487.7648390844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ht="15" thickBot="1" x14ac:dyDescent="0.4">
      <c r="A6" s="41" t="s">
        <v>2460</v>
      </c>
      <c r="B6" t="s">
        <v>2458</v>
      </c>
      <c r="C6" s="5">
        <v>45336</v>
      </c>
      <c r="D6" s="3">
        <v>87189</v>
      </c>
      <c r="E6" s="42" t="s">
        <v>2459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>
        <v>87189</v>
      </c>
      <c r="AG6" s="3"/>
      <c r="AH6" s="3"/>
      <c r="AI6" s="3"/>
      <c r="AK6" s="3">
        <f>SUM($F6:AJ6)</f>
        <v>87189</v>
      </c>
      <c r="AL6" s="22"/>
    </row>
    <row r="7" spans="1:39" x14ac:dyDescent="0.35">
      <c r="A7" s="36" t="s">
        <v>2404</v>
      </c>
      <c r="B7" s="66" t="s">
        <v>2403</v>
      </c>
      <c r="C7" s="38">
        <v>45386</v>
      </c>
      <c r="D7" s="39">
        <v>124390</v>
      </c>
      <c r="E7" s="40" t="s">
        <v>2402</v>
      </c>
      <c r="F7" s="3"/>
      <c r="G7" s="3"/>
      <c r="H7" s="3"/>
      <c r="I7" s="3"/>
      <c r="J7" s="3"/>
      <c r="K7" s="3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0</v>
      </c>
      <c r="AL7" s="22"/>
    </row>
    <row r="8" spans="1:39" x14ac:dyDescent="0.35">
      <c r="A8" s="41" t="s">
        <v>2421</v>
      </c>
      <c r="B8" t="s">
        <v>2422</v>
      </c>
      <c r="C8" s="5">
        <v>45428</v>
      </c>
      <c r="D8" s="3">
        <f>87189-30</f>
        <v>87159</v>
      </c>
      <c r="E8" s="42" t="s">
        <v>2325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>
        <f>87189-30</f>
        <v>87159</v>
      </c>
      <c r="AE8" s="3"/>
      <c r="AF8" s="3"/>
      <c r="AG8" s="3"/>
      <c r="AH8" s="3"/>
      <c r="AI8" s="3"/>
      <c r="AK8" s="3">
        <f>SUM($F8:AJ8)</f>
        <v>87159</v>
      </c>
      <c r="AL8" s="22"/>
    </row>
    <row r="9" spans="1:39" x14ac:dyDescent="0.35">
      <c r="A9" s="41" t="s">
        <v>2426</v>
      </c>
      <c r="B9" t="s">
        <v>2427</v>
      </c>
      <c r="C9" s="5">
        <v>45431</v>
      </c>
      <c r="D9" s="3">
        <v>105753</v>
      </c>
      <c r="E9" s="42" t="s">
        <v>2325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>
        <v>105753</v>
      </c>
      <c r="AE9" s="3"/>
      <c r="AF9" s="3"/>
      <c r="AG9" s="3"/>
      <c r="AH9" s="3"/>
      <c r="AI9" s="3"/>
      <c r="AK9" s="3">
        <f>SUM($F9:AJ9)</f>
        <v>105753</v>
      </c>
      <c r="AL9" s="22"/>
    </row>
    <row r="10" spans="1:39" x14ac:dyDescent="0.35">
      <c r="A10" s="41" t="s">
        <v>2428</v>
      </c>
      <c r="B10" t="s">
        <v>2429</v>
      </c>
      <c r="C10" s="5">
        <v>45441</v>
      </c>
      <c r="D10" s="3">
        <v>87189</v>
      </c>
      <c r="E10" s="42" t="s">
        <v>2325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>
        <v>87189</v>
      </c>
      <c r="AE10" s="3"/>
      <c r="AF10" s="3"/>
      <c r="AG10" s="3"/>
      <c r="AH10" s="3"/>
      <c r="AI10" s="3"/>
      <c r="AK10" s="3">
        <f>SUM($F10:AJ10)</f>
        <v>87189</v>
      </c>
      <c r="AL10" s="22"/>
    </row>
    <row r="11" spans="1:39" ht="15" thickBot="1" x14ac:dyDescent="0.4">
      <c r="A11" s="43" t="s">
        <v>2430</v>
      </c>
      <c r="B11" s="76" t="s">
        <v>2431</v>
      </c>
      <c r="C11" s="45">
        <v>45443</v>
      </c>
      <c r="D11" s="46">
        <v>87189</v>
      </c>
      <c r="E11" s="47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>
        <v>87189</v>
      </c>
      <c r="AE11" s="3"/>
      <c r="AF11" s="3"/>
      <c r="AG11" s="3"/>
      <c r="AH11" s="3"/>
      <c r="AI11" s="3"/>
      <c r="AK11" s="3">
        <f>SUM($F11:AJ11)</f>
        <v>87189</v>
      </c>
      <c r="AL11" s="22"/>
    </row>
    <row r="12" spans="1:39" x14ac:dyDescent="0.35">
      <c r="A12" s="41" t="s">
        <v>2437</v>
      </c>
      <c r="B12" t="s">
        <v>2438</v>
      </c>
      <c r="C12" s="5">
        <v>45450</v>
      </c>
      <c r="D12" s="3">
        <v>87189</v>
      </c>
      <c r="E12" s="42" t="s">
        <v>2325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>
        <v>87189</v>
      </c>
      <c r="AE12" s="3"/>
      <c r="AF12" s="3"/>
      <c r="AG12" s="3"/>
      <c r="AH12" s="3"/>
      <c r="AI12" s="3"/>
      <c r="AK12" s="3">
        <f>SUM($F12:AJ12)</f>
        <v>87189</v>
      </c>
      <c r="AL12" s="22"/>
    </row>
    <row r="13" spans="1:39" x14ac:dyDescent="0.35">
      <c r="A13" s="41" t="s">
        <v>2440</v>
      </c>
      <c r="B13" t="s">
        <v>2439</v>
      </c>
      <c r="C13" s="5">
        <v>45458</v>
      </c>
      <c r="D13" s="3">
        <v>128522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>
        <v>128522</v>
      </c>
      <c r="AE13" s="3"/>
      <c r="AF13" s="3"/>
      <c r="AG13" s="3"/>
      <c r="AH13" s="3"/>
      <c r="AI13" s="3"/>
      <c r="AK13" s="3">
        <f>SUM($F13:AJ13)</f>
        <v>128522</v>
      </c>
      <c r="AL13" s="22"/>
    </row>
    <row r="14" spans="1:39" ht="15" thickBot="1" x14ac:dyDescent="0.4">
      <c r="A14" s="43" t="s">
        <v>2447</v>
      </c>
      <c r="B14" s="76" t="s">
        <v>2446</v>
      </c>
      <c r="C14" s="45">
        <v>45471</v>
      </c>
      <c r="D14" s="46">
        <v>169856</v>
      </c>
      <c r="E14" s="47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2451</v>
      </c>
      <c r="B15" t="s">
        <v>2452</v>
      </c>
      <c r="C15" s="5">
        <v>45479</v>
      </c>
      <c r="D15" s="3">
        <v>87189</v>
      </c>
      <c r="E15" s="40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2453</v>
      </c>
      <c r="B16" t="s">
        <v>2454</v>
      </c>
      <c r="C16" s="5">
        <v>45486</v>
      </c>
      <c r="D16" s="3">
        <v>128522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x14ac:dyDescent="0.35">
      <c r="A17" s="41" t="s">
        <v>2455</v>
      </c>
      <c r="B17" t="s">
        <v>2456</v>
      </c>
      <c r="C17" s="5">
        <v>45492</v>
      </c>
      <c r="D17" s="3">
        <v>128522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A18" s="41"/>
      <c r="C18" s="5"/>
      <c r="D18" s="3"/>
      <c r="E18" s="4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41" x14ac:dyDescent="0.35">
      <c r="A19" s="41"/>
      <c r="C19" s="5"/>
      <c r="D19" s="3"/>
      <c r="E19" s="4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1" ht="15" thickBot="1" x14ac:dyDescent="0.4">
      <c r="A20" s="43"/>
      <c r="B20" s="76"/>
      <c r="C20" s="45"/>
      <c r="D20" s="46"/>
      <c r="E20" s="4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1" x14ac:dyDescent="0.35"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24" t="s">
        <v>1962</v>
      </c>
      <c r="AL21" s="22" t="s">
        <v>1352</v>
      </c>
    </row>
    <row r="22" spans="1:41" x14ac:dyDescent="0.35">
      <c r="A22" s="2" t="s">
        <v>1676</v>
      </c>
      <c r="D22" s="3">
        <f>SUM(D12:D20)</f>
        <v>729800</v>
      </c>
      <c r="F22" s="3">
        <f t="shared" ref="F22:AJ22" si="1">SUM(F5:F20)</f>
        <v>0</v>
      </c>
      <c r="G22" s="3">
        <f t="shared" si="1"/>
        <v>0</v>
      </c>
      <c r="H22" s="3">
        <f t="shared" si="1"/>
        <v>0</v>
      </c>
      <c r="I22" s="3">
        <f t="shared" si="1"/>
        <v>0</v>
      </c>
      <c r="J22" s="3">
        <f t="shared" si="1"/>
        <v>0</v>
      </c>
      <c r="K22" s="3">
        <f t="shared" si="1"/>
        <v>0</v>
      </c>
      <c r="L22" s="3">
        <f t="shared" si="1"/>
        <v>0</v>
      </c>
      <c r="M22" s="3">
        <f t="shared" si="1"/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0</v>
      </c>
      <c r="S22" s="3">
        <f t="shared" si="1"/>
        <v>0</v>
      </c>
      <c r="T22" s="3">
        <f t="shared" si="1"/>
        <v>0</v>
      </c>
      <c r="U22" s="3">
        <f t="shared" si="1"/>
        <v>0</v>
      </c>
      <c r="V22" s="3">
        <f t="shared" si="1"/>
        <v>0</v>
      </c>
      <c r="W22" s="3">
        <f t="shared" si="1"/>
        <v>0</v>
      </c>
      <c r="X22" s="3">
        <f t="shared" si="1"/>
        <v>0</v>
      </c>
      <c r="Y22" s="3">
        <f t="shared" si="1"/>
        <v>0</v>
      </c>
      <c r="Z22" s="3">
        <f t="shared" si="1"/>
        <v>0</v>
      </c>
      <c r="AA22" s="3">
        <f t="shared" si="1"/>
        <v>0</v>
      </c>
      <c r="AB22" s="3">
        <f t="shared" si="1"/>
        <v>0</v>
      </c>
      <c r="AC22" s="3">
        <f t="shared" si="1"/>
        <v>0</v>
      </c>
      <c r="AD22" s="3">
        <f t="shared" si="1"/>
        <v>583001</v>
      </c>
      <c r="AE22" s="3">
        <f t="shared" si="1"/>
        <v>0</v>
      </c>
      <c r="AF22" s="3">
        <f t="shared" si="1"/>
        <v>87189</v>
      </c>
      <c r="AG22" s="3">
        <f t="shared" si="1"/>
        <v>0</v>
      </c>
      <c r="AH22" s="3">
        <f t="shared" si="1"/>
        <v>0</v>
      </c>
      <c r="AI22" s="3">
        <f t="shared" si="1"/>
        <v>0</v>
      </c>
      <c r="AJ22" s="3">
        <f t="shared" si="1"/>
        <v>0</v>
      </c>
      <c r="AK22" s="72">
        <f>SUM(AK7:AK20)</f>
        <v>583001</v>
      </c>
      <c r="AL22" s="22">
        <f>+D23-AK22</f>
        <v>638479</v>
      </c>
      <c r="AM22" s="6" t="s">
        <v>13</v>
      </c>
    </row>
    <row r="23" spans="1:41" x14ac:dyDescent="0.35">
      <c r="A23" s="2" t="s">
        <v>1780</v>
      </c>
      <c r="B23" t="s">
        <v>13</v>
      </c>
      <c r="C23" s="3" t="s">
        <v>13</v>
      </c>
      <c r="D23" s="3">
        <f>SUM(D7:D20)</f>
        <v>1221480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41" x14ac:dyDescent="0.35">
      <c r="A24" s="2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41" x14ac:dyDescent="0.35">
      <c r="A25" s="2" t="s">
        <v>2</v>
      </c>
      <c r="C25" t="s">
        <v>13</v>
      </c>
      <c r="F25" s="3"/>
      <c r="G25" s="3"/>
      <c r="H25" s="3"/>
      <c r="I25" s="3"/>
      <c r="J25" s="3"/>
      <c r="K25" s="3"/>
      <c r="L25" s="3" t="s">
        <v>13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41" ht="15" thickBot="1" x14ac:dyDescent="0.4">
      <c r="A26" s="404">
        <v>45178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41" x14ac:dyDescent="0.35">
      <c r="A27" s="358" t="s">
        <v>1008</v>
      </c>
      <c r="B27" s="37" t="s">
        <v>337</v>
      </c>
      <c r="C27" s="38"/>
      <c r="D27" s="39">
        <v>1900000</v>
      </c>
      <c r="E27" s="40"/>
      <c r="F27" s="3"/>
      <c r="G27" s="3"/>
      <c r="H27" s="3" t="s">
        <v>13</v>
      </c>
      <c r="I27" s="3" t="s">
        <v>13</v>
      </c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</row>
    <row r="28" spans="1:41" x14ac:dyDescent="0.35">
      <c r="A28" s="41" t="s">
        <v>2443</v>
      </c>
      <c r="B28" s="24"/>
      <c r="C28" s="5"/>
      <c r="D28" s="3">
        <v>81142.36</v>
      </c>
      <c r="E28" s="42"/>
      <c r="F28" s="3"/>
      <c r="G28" s="3"/>
      <c r="H28" s="3"/>
      <c r="I28" s="3"/>
      <c r="J28" s="3"/>
      <c r="K28" s="3"/>
      <c r="L28" s="3"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 t="s">
        <v>13</v>
      </c>
      <c r="AD28" s="3"/>
      <c r="AE28" s="3"/>
      <c r="AF28" s="3"/>
      <c r="AG28" s="3"/>
      <c r="AH28" s="3"/>
      <c r="AI28" s="3"/>
      <c r="AK28" s="3">
        <f>SUM($F28:AJ28)</f>
        <v>0</v>
      </c>
    </row>
    <row r="29" spans="1:41" x14ac:dyDescent="0.35">
      <c r="A29" s="343" t="s">
        <v>1161</v>
      </c>
      <c r="B29" s="24" t="s">
        <v>2441</v>
      </c>
      <c r="C29" s="5">
        <v>45458</v>
      </c>
      <c r="D29" s="3">
        <v>15400</v>
      </c>
      <c r="E29" s="344" t="s">
        <v>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f>SUM($F29:AJ29)</f>
        <v>0</v>
      </c>
      <c r="AN29" s="26"/>
      <c r="AO29" s="3"/>
    </row>
    <row r="30" spans="1:41" ht="15" thickBot="1" x14ac:dyDescent="0.4">
      <c r="A30" s="345" t="s">
        <v>1161</v>
      </c>
      <c r="B30" s="44" t="s">
        <v>2445</v>
      </c>
      <c r="C30" s="45">
        <v>45472</v>
      </c>
      <c r="D30" s="46">
        <v>19780</v>
      </c>
      <c r="E30" s="347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0</v>
      </c>
      <c r="AN30" s="26"/>
      <c r="AO30" s="3"/>
    </row>
    <row r="31" spans="1:41" x14ac:dyDescent="0.35">
      <c r="A31" s="41" t="s">
        <v>2444</v>
      </c>
      <c r="C31" s="5">
        <v>45479</v>
      </c>
      <c r="D31" s="3">
        <v>13905</v>
      </c>
      <c r="E31" s="344" t="s">
        <v>503</v>
      </c>
      <c r="F31" s="3"/>
      <c r="G31" s="3"/>
      <c r="H31" s="3"/>
      <c r="I31" s="3"/>
      <c r="J31" s="3">
        <v>13905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13905</v>
      </c>
      <c r="AN31" s="26"/>
      <c r="AO31" s="3"/>
    </row>
    <row r="32" spans="1:41" x14ac:dyDescent="0.35">
      <c r="A32" s="343" t="s">
        <v>2126</v>
      </c>
      <c r="B32" s="24"/>
      <c r="C32" s="5">
        <v>45480</v>
      </c>
      <c r="D32" s="3">
        <v>6499</v>
      </c>
      <c r="E32" s="344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0</v>
      </c>
      <c r="AN32" s="26"/>
      <c r="AO32" s="3"/>
    </row>
    <row r="33" spans="1:43" x14ac:dyDescent="0.35">
      <c r="A33" s="343" t="s">
        <v>2485</v>
      </c>
      <c r="B33" s="24"/>
      <c r="C33" s="5">
        <v>45491</v>
      </c>
      <c r="D33" s="3">
        <v>54870</v>
      </c>
      <c r="E33" s="344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0</v>
      </c>
      <c r="AN33" s="26"/>
      <c r="AO33" s="3"/>
    </row>
    <row r="34" spans="1:43" x14ac:dyDescent="0.35">
      <c r="A34" s="343" t="s">
        <v>1161</v>
      </c>
      <c r="B34" s="24" t="s">
        <v>2449</v>
      </c>
      <c r="C34" s="5">
        <v>45479</v>
      </c>
      <c r="D34" s="3">
        <v>9680</v>
      </c>
      <c r="E34" s="344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0</v>
      </c>
      <c r="AN34" s="26"/>
      <c r="AO34" s="3"/>
    </row>
    <row r="35" spans="1:43" x14ac:dyDescent="0.35">
      <c r="A35" s="343" t="s">
        <v>1161</v>
      </c>
      <c r="B35" s="24" t="s">
        <v>2448</v>
      </c>
      <c r="C35" s="5">
        <v>45480</v>
      </c>
      <c r="D35" s="3">
        <v>8740</v>
      </c>
      <c r="E35" s="344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0</v>
      </c>
      <c r="AN35" s="26"/>
      <c r="AO35" s="3"/>
    </row>
    <row r="36" spans="1:43" x14ac:dyDescent="0.35">
      <c r="A36" s="343" t="s">
        <v>2450</v>
      </c>
      <c r="B36" s="24"/>
      <c r="C36" s="5">
        <v>45482</v>
      </c>
      <c r="D36" s="3">
        <v>24000</v>
      </c>
      <c r="E36" s="344" t="s">
        <v>503</v>
      </c>
      <c r="F36" s="3"/>
      <c r="G36" s="3"/>
      <c r="H36" s="3"/>
      <c r="I36" s="3"/>
      <c r="J36" s="3"/>
      <c r="K36" s="3"/>
      <c r="L36" s="3"/>
      <c r="M36" s="3"/>
      <c r="N36" s="3">
        <v>24000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24000</v>
      </c>
      <c r="AN36" s="26"/>
      <c r="AO36" s="3"/>
    </row>
    <row r="37" spans="1:43" x14ac:dyDescent="0.35">
      <c r="A37" s="343" t="s">
        <v>2457</v>
      </c>
      <c r="B37" s="24"/>
      <c r="C37" s="5">
        <v>45497</v>
      </c>
      <c r="D37" s="3">
        <v>24920</v>
      </c>
      <c r="E37" s="34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0</v>
      </c>
      <c r="AN37" s="26"/>
      <c r="AO37" s="3"/>
    </row>
    <row r="38" spans="1:43" x14ac:dyDescent="0.35">
      <c r="A38" s="343" t="s">
        <v>1161</v>
      </c>
      <c r="B38" s="24" t="s">
        <v>2469</v>
      </c>
      <c r="C38" s="5">
        <v>45504</v>
      </c>
      <c r="D38" s="3">
        <v>8740</v>
      </c>
      <c r="E38" s="344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0</v>
      </c>
      <c r="AN38" s="26"/>
      <c r="AO38" s="3"/>
    </row>
    <row r="39" spans="1:43" x14ac:dyDescent="0.35">
      <c r="A39" s="343"/>
      <c r="B39" s="24"/>
      <c r="C39" s="5"/>
      <c r="D39" s="3"/>
      <c r="E39" s="34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N39" s="26"/>
      <c r="AO39" s="3"/>
    </row>
    <row r="40" spans="1:43" ht="15" thickBot="1" x14ac:dyDescent="0.4">
      <c r="A40" s="43" t="s">
        <v>2463</v>
      </c>
      <c r="B40" s="76" t="s">
        <v>337</v>
      </c>
      <c r="C40" s="45" t="s">
        <v>13</v>
      </c>
      <c r="D40" s="46">
        <f>+AK22*0.17</f>
        <v>99110.170000000013</v>
      </c>
      <c r="E40" s="47"/>
      <c r="F40" s="3"/>
      <c r="G40" s="3" t="s">
        <v>13</v>
      </c>
      <c r="H40" s="3" t="s">
        <v>13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L40" s="6" t="s">
        <v>1846</v>
      </c>
      <c r="AM40" s="6" t="s">
        <v>13</v>
      </c>
      <c r="AN40" s="26" t="s">
        <v>13</v>
      </c>
      <c r="AO40" s="3"/>
    </row>
    <row r="41" spans="1:43" x14ac:dyDescent="0.35">
      <c r="A41" s="3" t="s">
        <v>13</v>
      </c>
      <c r="B41" s="24"/>
      <c r="C41" s="236" t="s">
        <v>13</v>
      </c>
      <c r="D41" s="3"/>
      <c r="E41" s="15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 t="s">
        <v>13</v>
      </c>
      <c r="AL41" s="22"/>
      <c r="AO41" s="14" t="s">
        <v>1558</v>
      </c>
      <c r="AP41" s="15">
        <f>+SUMIF(AL29:AL40,"CD",D29:D40)/1.19</f>
        <v>0</v>
      </c>
      <c r="AQ41" s="15" t="e">
        <f>+AP41*#REF!/#REF!</f>
        <v>#REF!</v>
      </c>
    </row>
    <row r="42" spans="1:43" x14ac:dyDescent="0.35">
      <c r="A42" s="4"/>
      <c r="B42" s="24"/>
      <c r="C42" s="67"/>
      <c r="D42" s="3"/>
      <c r="E42" s="153"/>
      <c r="F42" s="3" t="s">
        <v>13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13</v>
      </c>
      <c r="AL42" s="22"/>
      <c r="AO42" s="14" t="s">
        <v>1559</v>
      </c>
      <c r="AP42" s="15" t="e">
        <f>+#REF!-AP41</f>
        <v>#REF!</v>
      </c>
      <c r="AQ42" s="15" t="e">
        <f>+#REF!-AQ41</f>
        <v>#REF!</v>
      </c>
    </row>
    <row r="43" spans="1:43" x14ac:dyDescent="0.35">
      <c r="A43" s="4"/>
      <c r="B43" s="24"/>
      <c r="C43" s="67"/>
      <c r="D43" s="3"/>
      <c r="E43" s="15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13</v>
      </c>
      <c r="AL43" s="22"/>
      <c r="AO43" s="14" t="s">
        <v>1560</v>
      </c>
      <c r="AP43" s="327" t="e">
        <f>+AP42/#REF!</f>
        <v>#REF!</v>
      </c>
      <c r="AQ43" s="327" t="e">
        <f>+AQ42/#REF!</f>
        <v>#REF!</v>
      </c>
    </row>
    <row r="44" spans="1:43" x14ac:dyDescent="0.35">
      <c r="A44" s="4"/>
      <c r="B44" s="67"/>
      <c r="C44" s="236"/>
      <c r="E44" s="15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AJ44" s="3"/>
      <c r="AK44" s="3"/>
      <c r="AL44" s="22" t="s">
        <v>1388</v>
      </c>
      <c r="AM44" s="6" t="s">
        <v>1430</v>
      </c>
      <c r="AO44" s="14" t="s">
        <v>81</v>
      </c>
      <c r="AP44" s="15" t="e">
        <f>+SUMIF(AL29:AL40,"GAV",D29:D40)/1.19+SUMIF(#REF!,"REM",#REF!)</f>
        <v>#REF!</v>
      </c>
      <c r="AQ44" s="15" t="e">
        <f>+AP44*#REF!/#REF!</f>
        <v>#REF!</v>
      </c>
    </row>
    <row r="45" spans="1:43" x14ac:dyDescent="0.35">
      <c r="A45" s="2" t="s">
        <v>9</v>
      </c>
      <c r="D45" s="72" t="e">
        <f>SUM(D29:D43)-#REF!</f>
        <v>#REF!</v>
      </c>
      <c r="F45" s="3">
        <f t="shared" ref="F45:AJ45" si="2">SUM(F27:F44)</f>
        <v>0</v>
      </c>
      <c r="G45" s="3">
        <f t="shared" si="2"/>
        <v>0</v>
      </c>
      <c r="H45" s="3">
        <f t="shared" si="2"/>
        <v>0</v>
      </c>
      <c r="I45" s="3">
        <f t="shared" si="2"/>
        <v>0</v>
      </c>
      <c r="J45" s="3">
        <f t="shared" si="2"/>
        <v>13905</v>
      </c>
      <c r="K45" s="3">
        <f t="shared" si="2"/>
        <v>0</v>
      </c>
      <c r="L45" s="3">
        <f t="shared" si="2"/>
        <v>0</v>
      </c>
      <c r="M45" s="3">
        <f t="shared" si="2"/>
        <v>0</v>
      </c>
      <c r="N45" s="3">
        <f t="shared" si="2"/>
        <v>24000</v>
      </c>
      <c r="O45" s="3">
        <f t="shared" si="2"/>
        <v>0</v>
      </c>
      <c r="P45" s="3">
        <f t="shared" si="2"/>
        <v>0</v>
      </c>
      <c r="Q45" s="3">
        <f t="shared" si="2"/>
        <v>0</v>
      </c>
      <c r="R45" s="3">
        <f t="shared" si="2"/>
        <v>0</v>
      </c>
      <c r="S45" s="3">
        <f t="shared" si="2"/>
        <v>0</v>
      </c>
      <c r="T45" s="3">
        <f t="shared" si="2"/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3">
        <f t="shared" si="2"/>
        <v>0</v>
      </c>
      <c r="Y45" s="3">
        <f t="shared" si="2"/>
        <v>0</v>
      </c>
      <c r="Z45" s="3">
        <f t="shared" si="2"/>
        <v>0</v>
      </c>
      <c r="AA45" s="3">
        <f t="shared" si="2"/>
        <v>0</v>
      </c>
      <c r="AB45" s="3">
        <f t="shared" si="2"/>
        <v>0</v>
      </c>
      <c r="AC45" s="3">
        <f t="shared" si="2"/>
        <v>0</v>
      </c>
      <c r="AD45" s="3">
        <f t="shared" si="2"/>
        <v>0</v>
      </c>
      <c r="AE45" s="3">
        <f t="shared" si="2"/>
        <v>0</v>
      </c>
      <c r="AF45" s="3">
        <f t="shared" si="2"/>
        <v>0</v>
      </c>
      <c r="AG45" s="3">
        <f t="shared" si="2"/>
        <v>0</v>
      </c>
      <c r="AH45" s="3">
        <f t="shared" si="2"/>
        <v>0</v>
      </c>
      <c r="AI45" s="3">
        <f t="shared" si="2"/>
        <v>0</v>
      </c>
      <c r="AJ45" s="3">
        <f t="shared" si="2"/>
        <v>0</v>
      </c>
      <c r="AK45" s="72">
        <f>SUM(AK27:AK43)-AK27</f>
        <v>37905</v>
      </c>
      <c r="AL45" s="324" t="e">
        <f>+D45-AK45</f>
        <v>#REF!</v>
      </c>
      <c r="AM45" s="324" t="e">
        <f>+AJ46+AL22-AL45-1200000</f>
        <v>#REF!</v>
      </c>
      <c r="AO45" s="14" t="s">
        <v>1561</v>
      </c>
      <c r="AP45" s="15" t="e">
        <f>+AP42-AP44</f>
        <v>#REF!</v>
      </c>
      <c r="AQ45" s="15" t="e">
        <f>+AQ42-AQ44</f>
        <v>#REF!</v>
      </c>
    </row>
    <row r="46" spans="1:43" x14ac:dyDescent="0.35">
      <c r="A46" t="s">
        <v>8</v>
      </c>
      <c r="F46" s="3">
        <f t="shared" ref="F46:AJ46" si="3">+F22+F3-F45</f>
        <v>1414202.7648390844</v>
      </c>
      <c r="G46" s="3">
        <f t="shared" si="3"/>
        <v>1414202.7648390844</v>
      </c>
      <c r="H46" s="3">
        <f t="shared" si="3"/>
        <v>1414202.7648390844</v>
      </c>
      <c r="I46" s="3">
        <f t="shared" si="3"/>
        <v>1414202.7648390844</v>
      </c>
      <c r="J46" s="3">
        <f t="shared" si="3"/>
        <v>1400297.7648390844</v>
      </c>
      <c r="K46" s="3">
        <f t="shared" si="3"/>
        <v>1400297.7648390844</v>
      </c>
      <c r="L46" s="3">
        <f t="shared" si="3"/>
        <v>1400297.7648390844</v>
      </c>
      <c r="M46" s="3">
        <f t="shared" si="3"/>
        <v>1400297.7648390844</v>
      </c>
      <c r="N46" s="3">
        <f t="shared" si="3"/>
        <v>1376297.7648390844</v>
      </c>
      <c r="O46" s="3">
        <f t="shared" si="3"/>
        <v>1376297.7648390844</v>
      </c>
      <c r="P46" s="3">
        <f t="shared" si="3"/>
        <v>1376297.7648390844</v>
      </c>
      <c r="Q46" s="3">
        <f t="shared" si="3"/>
        <v>1376297.7648390844</v>
      </c>
      <c r="R46" s="3">
        <f t="shared" si="3"/>
        <v>1376297.7648390844</v>
      </c>
      <c r="S46" s="3">
        <f t="shared" si="3"/>
        <v>1376297.7648390844</v>
      </c>
      <c r="T46" s="3">
        <f t="shared" si="3"/>
        <v>1376297.7648390844</v>
      </c>
      <c r="U46" s="3">
        <f t="shared" si="3"/>
        <v>1376297.7648390844</v>
      </c>
      <c r="V46" s="3">
        <f t="shared" si="3"/>
        <v>1376297.7648390844</v>
      </c>
      <c r="W46" s="3">
        <f t="shared" si="3"/>
        <v>1376297.7648390844</v>
      </c>
      <c r="X46" s="3">
        <f t="shared" si="3"/>
        <v>1376297.7648390844</v>
      </c>
      <c r="Y46" s="3">
        <f t="shared" si="3"/>
        <v>1376297.7648390844</v>
      </c>
      <c r="Z46" s="3">
        <f t="shared" si="3"/>
        <v>1376297.7648390844</v>
      </c>
      <c r="AA46" s="3">
        <f t="shared" si="3"/>
        <v>1376297.7648390844</v>
      </c>
      <c r="AB46" s="3">
        <f t="shared" si="3"/>
        <v>1376297.7648390844</v>
      </c>
      <c r="AC46" s="3">
        <f t="shared" si="3"/>
        <v>1376297.7648390844</v>
      </c>
      <c r="AD46" s="3">
        <f t="shared" si="3"/>
        <v>1959298.7648390844</v>
      </c>
      <c r="AE46" s="3">
        <f t="shared" si="3"/>
        <v>1959298.7648390844</v>
      </c>
      <c r="AF46" s="3">
        <f t="shared" si="3"/>
        <v>2046487.7648390844</v>
      </c>
      <c r="AG46" s="3">
        <f t="shared" si="3"/>
        <v>2046487.7648390844</v>
      </c>
      <c r="AH46" s="3">
        <f t="shared" si="3"/>
        <v>2046487.7648390844</v>
      </c>
      <c r="AI46" s="3">
        <f t="shared" si="3"/>
        <v>2046487.7648390844</v>
      </c>
      <c r="AJ46" s="3">
        <f t="shared" si="3"/>
        <v>2046487.7648390844</v>
      </c>
      <c r="AK46" s="3" t="s">
        <v>13</v>
      </c>
      <c r="AM46" s="22" t="s">
        <v>13</v>
      </c>
      <c r="AO46" s="14" t="s">
        <v>1563</v>
      </c>
      <c r="AP46" s="15">
        <f>+SUMIF(AL29:AL40,"GF",D29:D40)</f>
        <v>0</v>
      </c>
      <c r="AQ46" s="15">
        <v>0</v>
      </c>
    </row>
    <row r="47" spans="1:43" x14ac:dyDescent="0.35">
      <c r="F47" s="3"/>
      <c r="G47" s="3"/>
      <c r="H47" s="3"/>
      <c r="I47" s="3" t="s">
        <v>13</v>
      </c>
      <c r="J47" s="3"/>
      <c r="K47" s="3" t="s">
        <v>13</v>
      </c>
      <c r="L47" s="3"/>
      <c r="M47" s="3"/>
      <c r="N47" s="3"/>
      <c r="O47" s="3"/>
      <c r="P47" s="3" t="s">
        <v>13</v>
      </c>
      <c r="Q47" s="3"/>
      <c r="R47" s="3"/>
      <c r="S47" s="3"/>
      <c r="T47" s="3" t="s">
        <v>13</v>
      </c>
      <c r="U47" s="3"/>
      <c r="V47" s="3"/>
      <c r="W47" s="3"/>
      <c r="Y47" s="3" t="s">
        <v>13</v>
      </c>
      <c r="Z47" s="3" t="s">
        <v>13</v>
      </c>
      <c r="AA47" s="3" t="s">
        <v>13</v>
      </c>
      <c r="AB47" s="3" t="s">
        <v>13</v>
      </c>
      <c r="AO47" s="14" t="s">
        <v>82</v>
      </c>
      <c r="AP47" s="15">
        <v>0</v>
      </c>
      <c r="AQ47" s="15">
        <f>+SUMIF(AL29:AL40,"AF",D29:D40)/1.19</f>
        <v>0</v>
      </c>
    </row>
    <row r="48" spans="1:43" ht="15" thickBot="1" x14ac:dyDescent="0.4">
      <c r="F48" s="3" t="s">
        <v>13</v>
      </c>
      <c r="G48" s="3" t="s">
        <v>13</v>
      </c>
      <c r="H48" s="3" t="s">
        <v>13</v>
      </c>
      <c r="I48" s="3"/>
      <c r="J48" s="3"/>
      <c r="K48" s="3"/>
      <c r="L48" s="3"/>
      <c r="M48" s="3"/>
      <c r="N48" s="3"/>
      <c r="O48" s="3"/>
      <c r="P48" s="3" t="s">
        <v>13</v>
      </c>
      <c r="Q48" s="3" t="s">
        <v>13</v>
      </c>
      <c r="R48" s="3" t="s">
        <v>13</v>
      </c>
      <c r="S48" s="3"/>
      <c r="T48" s="3"/>
      <c r="U48" s="3" t="s">
        <v>13</v>
      </c>
      <c r="V48" s="3"/>
      <c r="W48" s="3"/>
      <c r="AB48" s="3" t="s">
        <v>13</v>
      </c>
      <c r="AG48" s="3" t="s">
        <v>13</v>
      </c>
      <c r="AJ48" s="3" t="s">
        <v>13</v>
      </c>
      <c r="AO48" s="16"/>
      <c r="AP48" s="19" t="e">
        <f>+AP45-AP46-AP47</f>
        <v>#REF!</v>
      </c>
      <c r="AQ48" s="19" t="e">
        <f>+AQ45-AQ46-AQ47</f>
        <v>#REF!</v>
      </c>
    </row>
    <row r="49" spans="1:43" x14ac:dyDescent="0.35">
      <c r="A49" t="s">
        <v>2163</v>
      </c>
      <c r="B49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49" s="3" t="e">
        <f>+B49*0.16</f>
        <v>#REF!</v>
      </c>
      <c r="E49" s="6" t="s">
        <v>13</v>
      </c>
      <c r="F49" s="3"/>
      <c r="G49" s="3" t="s">
        <v>13</v>
      </c>
      <c r="H49" s="3" t="s">
        <v>13</v>
      </c>
      <c r="I49" s="3"/>
      <c r="J49" s="3"/>
      <c r="K49" s="3"/>
      <c r="L49" s="3"/>
      <c r="M49" s="3"/>
      <c r="N49" s="3"/>
      <c r="O49" s="3"/>
      <c r="W49" s="3"/>
      <c r="AB49" s="3" t="s">
        <v>13</v>
      </c>
      <c r="AG49" s="3" t="s">
        <v>13</v>
      </c>
      <c r="AJ49" s="3" t="s">
        <v>13</v>
      </c>
      <c r="AO49" t="s">
        <v>1961</v>
      </c>
      <c r="AP49" s="26" t="e">
        <f ca="1">+AP$48+'May-23'!AP82</f>
        <v>#REF!</v>
      </c>
      <c r="AQ49" s="3" t="e">
        <f ca="1">+AQ$48+'May-23'!AQ82</f>
        <v>#REF!</v>
      </c>
    </row>
    <row r="50" spans="1:43" x14ac:dyDescent="0.35">
      <c r="F50" s="3"/>
      <c r="G50" s="3" t="s">
        <v>13</v>
      </c>
      <c r="H50" s="3"/>
      <c r="I50" s="3"/>
      <c r="J50" s="3"/>
      <c r="K50" s="3"/>
      <c r="L50" s="3"/>
      <c r="M50" s="3"/>
      <c r="N50" s="3"/>
      <c r="O50" s="3"/>
      <c r="W50" s="3" t="s">
        <v>13</v>
      </c>
      <c r="AB50" s="3" t="s">
        <v>13</v>
      </c>
      <c r="AD50" t="s">
        <v>13</v>
      </c>
      <c r="AE50" t="s">
        <v>13</v>
      </c>
      <c r="AG50" s="3" t="s">
        <v>13</v>
      </c>
      <c r="AJ50" s="3" t="s">
        <v>13</v>
      </c>
      <c r="AO50" t="s">
        <v>1960</v>
      </c>
      <c r="AP50" s="26" t="e">
        <f ca="1">+AP$48+'May-23'!AP83</f>
        <v>#REF!</v>
      </c>
      <c r="AQ50" s="3" t="e">
        <f ca="1">+AQ$48+'May-23'!AQ83</f>
        <v>#REF!</v>
      </c>
    </row>
    <row r="51" spans="1:43" x14ac:dyDescent="0.35">
      <c r="A51" t="s">
        <v>13</v>
      </c>
      <c r="F51" s="3" t="s">
        <v>13</v>
      </c>
      <c r="G51" s="3" t="s">
        <v>13</v>
      </c>
      <c r="H51" s="3"/>
      <c r="I51" s="3"/>
      <c r="J51" s="3"/>
      <c r="K51" s="3"/>
      <c r="L51" s="3"/>
      <c r="M51" s="3">
        <v>538500</v>
      </c>
      <c r="N51" s="3"/>
      <c r="O51" s="3"/>
      <c r="W51" s="3"/>
      <c r="AB51" s="3" t="s">
        <v>13</v>
      </c>
      <c r="AD51" t="s">
        <v>13</v>
      </c>
      <c r="AG51" s="3" t="s">
        <v>13</v>
      </c>
      <c r="AJ51" s="3" t="s">
        <v>13</v>
      </c>
    </row>
    <row r="52" spans="1:43" x14ac:dyDescent="0.35">
      <c r="B52" t="s">
        <v>13</v>
      </c>
      <c r="F52" s="3" t="s">
        <v>13</v>
      </c>
      <c r="G52" s="3" t="s">
        <v>13</v>
      </c>
      <c r="H52" s="3"/>
      <c r="I52" s="3"/>
      <c r="J52" s="3"/>
      <c r="K52" s="3"/>
      <c r="L52" s="3" t="s">
        <v>13</v>
      </c>
      <c r="M52" s="3">
        <v>682100</v>
      </c>
      <c r="N52" s="3"/>
      <c r="O52" s="3"/>
      <c r="W52" s="3"/>
      <c r="AB52" s="3" t="s">
        <v>13</v>
      </c>
      <c r="AG52" s="3" t="s">
        <v>13</v>
      </c>
      <c r="AJ52" s="3" t="s">
        <v>13</v>
      </c>
      <c r="AL52"/>
      <c r="AM52"/>
    </row>
    <row r="53" spans="1:43" x14ac:dyDescent="0.35">
      <c r="F53" s="3"/>
      <c r="G53" s="3" t="s">
        <v>13</v>
      </c>
      <c r="H53" s="3"/>
      <c r="I53" s="3"/>
      <c r="J53" s="3"/>
      <c r="K53" s="3"/>
      <c r="L53" s="3"/>
      <c r="M53" s="3">
        <f>SUM(M51:M52)</f>
        <v>1220600</v>
      </c>
      <c r="AG53" s="3" t="s">
        <v>13</v>
      </c>
      <c r="AJ53" s="3" t="s">
        <v>13</v>
      </c>
      <c r="AL53"/>
      <c r="AM53"/>
    </row>
    <row r="54" spans="1:43" x14ac:dyDescent="0.35">
      <c r="B54" t="s">
        <v>13</v>
      </c>
      <c r="F54" s="3"/>
      <c r="G54" s="3" t="s">
        <v>13</v>
      </c>
      <c r="H54" s="3"/>
      <c r="I54" s="3"/>
      <c r="J54" s="3"/>
      <c r="K54" s="3"/>
      <c r="L54" s="3"/>
      <c r="AB54" t="s">
        <v>13</v>
      </c>
      <c r="AG54" s="3" t="s">
        <v>13</v>
      </c>
      <c r="AJ54" s="3" t="s">
        <v>13</v>
      </c>
      <c r="AL54"/>
      <c r="AM54"/>
      <c r="AQ54" t="s">
        <v>13</v>
      </c>
    </row>
    <row r="55" spans="1:43" x14ac:dyDescent="0.35">
      <c r="B55" t="s">
        <v>13</v>
      </c>
      <c r="C55" t="s">
        <v>13</v>
      </c>
      <c r="F55" s="3"/>
      <c r="G55" s="3" t="s">
        <v>13</v>
      </c>
      <c r="H55" s="3"/>
      <c r="I55" s="3"/>
      <c r="J55" s="3"/>
      <c r="K55" s="3"/>
      <c r="L55" s="3"/>
      <c r="AG55" s="3" t="s">
        <v>13</v>
      </c>
      <c r="AJ55" s="3" t="s">
        <v>13</v>
      </c>
      <c r="AL55"/>
      <c r="AM55"/>
    </row>
    <row r="56" spans="1:43" x14ac:dyDescent="0.35">
      <c r="B56" t="s">
        <v>13</v>
      </c>
      <c r="C56" t="s">
        <v>13</v>
      </c>
      <c r="F56" s="3"/>
      <c r="G56" s="3" t="s">
        <v>2417</v>
      </c>
      <c r="H56" s="3"/>
      <c r="I56" s="3"/>
      <c r="J56" s="3"/>
      <c r="K56" s="3"/>
      <c r="L56" s="3"/>
      <c r="AG56" s="3" t="s">
        <v>13</v>
      </c>
      <c r="AJ56" s="3" t="s">
        <v>13</v>
      </c>
      <c r="AL56"/>
      <c r="AM56"/>
    </row>
    <row r="57" spans="1:43" x14ac:dyDescent="0.35">
      <c r="F57" s="3"/>
      <c r="G57" s="3" t="s">
        <v>13</v>
      </c>
      <c r="H57" s="3"/>
      <c r="I57" s="3"/>
      <c r="J57" s="3"/>
      <c r="K57" s="3"/>
      <c r="L57" s="3"/>
      <c r="AG57" s="3" t="s">
        <v>13</v>
      </c>
      <c r="AJ57" s="3" t="s">
        <v>13</v>
      </c>
      <c r="AL57"/>
      <c r="AM57"/>
    </row>
    <row r="58" spans="1:43" x14ac:dyDescent="0.35">
      <c r="B58" t="s">
        <v>13</v>
      </c>
      <c r="F58" s="3"/>
      <c r="G58" s="288">
        <f>212-60</f>
        <v>152</v>
      </c>
      <c r="H58" s="288">
        <f>+G58-60</f>
        <v>92</v>
      </c>
      <c r="I58" s="288">
        <f>+H58/3</f>
        <v>30.666666666666668</v>
      </c>
      <c r="J58" s="3"/>
      <c r="K58" s="3"/>
      <c r="L58" s="3"/>
      <c r="AG58" s="3" t="s">
        <v>13</v>
      </c>
      <c r="AJ58" s="3" t="s">
        <v>13</v>
      </c>
      <c r="AL58"/>
      <c r="AM58"/>
    </row>
    <row r="59" spans="1:43" x14ac:dyDescent="0.35">
      <c r="B59" t="s">
        <v>13</v>
      </c>
      <c r="F59" s="3"/>
      <c r="G59" s="288">
        <f>+G58/2</f>
        <v>76</v>
      </c>
      <c r="H59" s="288"/>
      <c r="I59" s="288"/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F60" s="3"/>
      <c r="G60" s="288">
        <f>+G59/2</f>
        <v>38</v>
      </c>
      <c r="H60" s="288"/>
      <c r="I60" s="288">
        <f>I58*3+60</f>
        <v>152</v>
      </c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F61" s="3"/>
      <c r="G61" s="288">
        <f>+G60-15</f>
        <v>23</v>
      </c>
      <c r="H61" s="288"/>
      <c r="I61" s="288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3" t="s">
        <v>13</v>
      </c>
      <c r="H62" s="3"/>
      <c r="I62" s="3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3" t="s">
        <v>13</v>
      </c>
      <c r="H63" s="3"/>
      <c r="I63" s="3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L67"/>
      <c r="AM67"/>
    </row>
    <row r="68" spans="2:39" x14ac:dyDescent="0.35">
      <c r="B68" t="s">
        <v>13</v>
      </c>
      <c r="E68"/>
      <c r="AL68"/>
      <c r="AM68"/>
    </row>
    <row r="69" spans="2:39" x14ac:dyDescent="0.35">
      <c r="B69" t="s">
        <v>13</v>
      </c>
      <c r="E69"/>
      <c r="AL69"/>
      <c r="AM69"/>
    </row>
    <row r="70" spans="2:39" x14ac:dyDescent="0.35">
      <c r="B70" t="s">
        <v>13</v>
      </c>
      <c r="E70"/>
      <c r="AL70"/>
      <c r="AM70"/>
    </row>
    <row r="71" spans="2:39" x14ac:dyDescent="0.35">
      <c r="B71" t="s">
        <v>13</v>
      </c>
      <c r="E71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</sheetData>
  <sortState xmlns:xlrd2="http://schemas.microsoft.com/office/spreadsheetml/2017/richdata2" ref="A34:E35">
    <sortCondition ref="C34:C35"/>
  </sortState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4B7C-A04C-4195-BE1E-FC310130A5C2}">
  <dimension ref="A1:AQ104"/>
  <sheetViews>
    <sheetView zoomScale="63" zoomScaleNormal="63" workbookViewId="0">
      <pane xSplit="5" ySplit="3" topLeftCell="AA7" activePane="bottomRight" state="frozen"/>
      <selection pane="topRight" activeCell="F1" sqref="F1"/>
      <selection pane="bottomLeft" activeCell="A4" sqref="A4"/>
      <selection pane="bottomRight" activeCell="AF19" sqref="AF19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3.54296875" customWidth="1"/>
    <col min="31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45505</v>
      </c>
      <c r="G2" s="1">
        <v>45506</v>
      </c>
      <c r="H2" s="1">
        <v>45507</v>
      </c>
      <c r="I2" s="1">
        <v>45508</v>
      </c>
      <c r="J2" s="1">
        <v>45509</v>
      </c>
      <c r="K2" s="1">
        <v>45510</v>
      </c>
      <c r="L2" s="1">
        <v>45511</v>
      </c>
      <c r="M2" s="1">
        <v>45512</v>
      </c>
      <c r="N2" s="1">
        <v>45513</v>
      </c>
      <c r="O2" s="1">
        <v>45514</v>
      </c>
      <c r="P2" s="1">
        <v>45515</v>
      </c>
      <c r="Q2" s="1">
        <v>45516</v>
      </c>
      <c r="R2" s="1">
        <v>45517</v>
      </c>
      <c r="S2" s="1">
        <v>45518</v>
      </c>
      <c r="T2" s="1">
        <v>45519</v>
      </c>
      <c r="U2" s="1">
        <v>45520</v>
      </c>
      <c r="V2" s="1">
        <v>45521</v>
      </c>
      <c r="W2" s="1">
        <v>45522</v>
      </c>
      <c r="X2" s="1">
        <v>45523</v>
      </c>
      <c r="Y2" s="1">
        <v>45524</v>
      </c>
      <c r="Z2" s="1">
        <v>45525</v>
      </c>
      <c r="AA2" s="1">
        <v>45526</v>
      </c>
      <c r="AB2" s="1">
        <v>45527</v>
      </c>
      <c r="AC2" s="1">
        <v>45528</v>
      </c>
      <c r="AD2" s="1">
        <v>45529</v>
      </c>
      <c r="AE2" s="1">
        <v>45530</v>
      </c>
      <c r="AF2" s="1">
        <v>45531</v>
      </c>
      <c r="AG2" s="1">
        <v>45532</v>
      </c>
      <c r="AH2" s="1">
        <v>45533</v>
      </c>
      <c r="AI2" s="1">
        <v>45534</v>
      </c>
      <c r="AJ2" s="1">
        <v>45535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+'Jul-24'!AJ46</f>
        <v>2046487.7648390844</v>
      </c>
      <c r="G3" s="3">
        <f t="shared" ref="G3:AJ3" si="0">+F50</f>
        <v>2046487.7648390844</v>
      </c>
      <c r="H3" s="3">
        <f t="shared" si="0"/>
        <v>2046487.7648390844</v>
      </c>
      <c r="I3" s="3">
        <f t="shared" si="0"/>
        <v>2046487.7648390844</v>
      </c>
      <c r="J3" s="3">
        <f t="shared" si="0"/>
        <v>2046487.7648390844</v>
      </c>
      <c r="K3" s="3">
        <f t="shared" si="0"/>
        <v>2020582.7648390844</v>
      </c>
      <c r="L3" s="3">
        <f t="shared" si="0"/>
        <v>2020582.7648390844</v>
      </c>
      <c r="M3" s="3">
        <f t="shared" si="0"/>
        <v>2020582.7648390844</v>
      </c>
      <c r="N3" s="3">
        <f t="shared" si="0"/>
        <v>2020582.7648390844</v>
      </c>
      <c r="O3" s="3">
        <f t="shared" si="0"/>
        <v>2020582.7648390844</v>
      </c>
      <c r="P3" s="3">
        <f t="shared" si="0"/>
        <v>2020582.7648390844</v>
      </c>
      <c r="Q3" s="3">
        <f t="shared" si="0"/>
        <v>2020582.7648390844</v>
      </c>
      <c r="R3" s="3">
        <f t="shared" si="0"/>
        <v>2020582.7648390844</v>
      </c>
      <c r="S3" s="3">
        <f t="shared" si="0"/>
        <v>2020582.7648390844</v>
      </c>
      <c r="T3" s="3">
        <f t="shared" si="0"/>
        <v>2020582.7648390844</v>
      </c>
      <c r="U3" s="3">
        <f t="shared" si="0"/>
        <v>2020582.7648390844</v>
      </c>
      <c r="V3" s="3">
        <f t="shared" si="0"/>
        <v>1896822.7648390844</v>
      </c>
      <c r="W3" s="3">
        <f t="shared" si="0"/>
        <v>1896822.7648390844</v>
      </c>
      <c r="X3" s="3">
        <f t="shared" si="0"/>
        <v>1896822.7648390844</v>
      </c>
      <c r="Y3" s="3">
        <f t="shared" si="0"/>
        <v>1896822.7648390844</v>
      </c>
      <c r="Z3" s="3">
        <f t="shared" si="0"/>
        <v>1896822.7648390844</v>
      </c>
      <c r="AA3" s="3">
        <f t="shared" si="0"/>
        <v>1896822.7648390844</v>
      </c>
      <c r="AB3" s="3">
        <f t="shared" si="0"/>
        <v>2153867.7648390844</v>
      </c>
      <c r="AC3" s="3">
        <f t="shared" si="0"/>
        <v>2153867.7648390844</v>
      </c>
      <c r="AD3" s="3">
        <f t="shared" si="0"/>
        <v>2153867.7648390844</v>
      </c>
      <c r="AE3" s="3">
        <f t="shared" si="0"/>
        <v>1760704.2348390843</v>
      </c>
      <c r="AF3" s="3">
        <f t="shared" si="0"/>
        <v>1760704.2348390843</v>
      </c>
      <c r="AG3" s="3">
        <f t="shared" si="0"/>
        <v>1889226.2348390843</v>
      </c>
      <c r="AH3" s="3">
        <f t="shared" si="0"/>
        <v>1889226.2348390843</v>
      </c>
      <c r="AI3" s="3">
        <f t="shared" si="0"/>
        <v>1889226.2348390843</v>
      </c>
      <c r="AJ3" s="3">
        <f t="shared" si="0"/>
        <v>1889226.2348390843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2404</v>
      </c>
      <c r="B6" s="66" t="s">
        <v>2403</v>
      </c>
      <c r="C6" s="38">
        <v>45386</v>
      </c>
      <c r="D6" s="39">
        <v>124390</v>
      </c>
      <c r="E6" s="40" t="s">
        <v>2402</v>
      </c>
      <c r="F6" s="3"/>
      <c r="G6" s="3"/>
      <c r="H6" s="3"/>
      <c r="I6" s="3"/>
      <c r="J6" s="3"/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ht="15" thickBot="1" x14ac:dyDescent="0.4">
      <c r="A7" s="43" t="s">
        <v>2447</v>
      </c>
      <c r="B7" s="76" t="s">
        <v>2446</v>
      </c>
      <c r="C7" s="45">
        <v>45471</v>
      </c>
      <c r="D7" s="46">
        <v>169856</v>
      </c>
      <c r="E7" s="47" t="s">
        <v>2325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>
        <v>169856</v>
      </c>
      <c r="AB7" s="3"/>
      <c r="AC7" s="3"/>
      <c r="AD7" s="3"/>
      <c r="AF7" s="3"/>
      <c r="AG7" s="3"/>
      <c r="AH7" s="3"/>
      <c r="AI7" s="3"/>
      <c r="AK7" s="3">
        <f>SUM($F7:AJ7)</f>
        <v>169856</v>
      </c>
      <c r="AL7" s="22"/>
    </row>
    <row r="8" spans="1:39" x14ac:dyDescent="0.35">
      <c r="A8" s="36" t="s">
        <v>2451</v>
      </c>
      <c r="B8" s="66" t="s">
        <v>2452</v>
      </c>
      <c r="C8" s="38">
        <v>45479</v>
      </c>
      <c r="D8" s="39">
        <v>87189</v>
      </c>
      <c r="E8" s="40" t="s">
        <v>2325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>
        <v>87189</v>
      </c>
      <c r="AB8" s="3"/>
      <c r="AC8" s="3"/>
      <c r="AD8" s="3"/>
      <c r="AF8" s="3"/>
      <c r="AG8" s="3"/>
      <c r="AH8" s="3"/>
      <c r="AI8" s="3"/>
      <c r="AK8" s="3">
        <f>SUM($F8:AJ8)</f>
        <v>87189</v>
      </c>
      <c r="AL8" s="22"/>
    </row>
    <row r="9" spans="1:39" x14ac:dyDescent="0.35">
      <c r="A9" s="41" t="s">
        <v>2453</v>
      </c>
      <c r="B9" t="s">
        <v>2454</v>
      </c>
      <c r="C9" s="5">
        <v>45486</v>
      </c>
      <c r="D9" s="3">
        <v>128522</v>
      </c>
      <c r="E9" s="42" t="s">
        <v>2325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>
        <v>128522</v>
      </c>
      <c r="AG9" s="3"/>
      <c r="AH9" s="3"/>
      <c r="AI9" s="3"/>
      <c r="AK9" s="3">
        <f>SUM($F9:AJ9)</f>
        <v>128522</v>
      </c>
      <c r="AL9" s="22"/>
    </row>
    <row r="10" spans="1:39" ht="15" thickBot="1" x14ac:dyDescent="0.4">
      <c r="A10" s="43" t="s">
        <v>2455</v>
      </c>
      <c r="B10" s="76" t="s">
        <v>2456</v>
      </c>
      <c r="C10" s="45">
        <v>45492</v>
      </c>
      <c r="D10" s="46">
        <v>128522</v>
      </c>
      <c r="E10" s="47" t="s">
        <v>2325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0</v>
      </c>
      <c r="AL10" s="22"/>
    </row>
    <row r="11" spans="1:39" x14ac:dyDescent="0.35">
      <c r="A11" s="41" t="s">
        <v>2465</v>
      </c>
      <c r="B11" t="s">
        <v>2466</v>
      </c>
      <c r="C11" s="5">
        <v>45506</v>
      </c>
      <c r="D11" s="3">
        <v>128522</v>
      </c>
      <c r="E11" s="42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2468</v>
      </c>
      <c r="B12" t="s">
        <v>2467</v>
      </c>
      <c r="C12" s="5">
        <v>45515</v>
      </c>
      <c r="D12" s="3">
        <v>128522</v>
      </c>
      <c r="E12" s="42" t="s">
        <v>2325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2479</v>
      </c>
      <c r="B13" t="s">
        <v>2480</v>
      </c>
      <c r="C13" s="5">
        <v>45532</v>
      </c>
      <c r="D13" s="3">
        <v>122015</v>
      </c>
      <c r="E13" s="42" t="s">
        <v>2481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x14ac:dyDescent="0.35">
      <c r="A14" s="41" t="s">
        <v>2482</v>
      </c>
      <c r="B14" t="s">
        <v>2483</v>
      </c>
      <c r="C14" s="5">
        <v>45533</v>
      </c>
      <c r="D14" s="3">
        <v>128522</v>
      </c>
      <c r="E14" s="42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2484</v>
      </c>
      <c r="B15" t="s">
        <v>2480</v>
      </c>
      <c r="C15" s="5">
        <v>45535</v>
      </c>
      <c r="D15" s="3">
        <v>45855</v>
      </c>
      <c r="E15" s="42" t="s">
        <v>2481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ht="15" thickBot="1" x14ac:dyDescent="0.4">
      <c r="A16" s="43"/>
      <c r="B16" s="76"/>
      <c r="C16" s="45"/>
      <c r="D16" s="46"/>
      <c r="E16" s="4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x14ac:dyDescent="0.35">
      <c r="D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24" t="s">
        <v>1962</v>
      </c>
      <c r="AL17" s="22" t="s">
        <v>1352</v>
      </c>
    </row>
    <row r="18" spans="1:41" x14ac:dyDescent="0.35">
      <c r="A18" s="2" t="s">
        <v>1676</v>
      </c>
      <c r="D18" s="3">
        <f>SUM(D7:D16)</f>
        <v>1067525</v>
      </c>
      <c r="F18" s="3">
        <f t="shared" ref="F18:AJ18" si="1">SUM(F5:F16)</f>
        <v>0</v>
      </c>
      <c r="G18" s="3">
        <f t="shared" si="1"/>
        <v>0</v>
      </c>
      <c r="H18" s="3">
        <f t="shared" si="1"/>
        <v>0</v>
      </c>
      <c r="I18" s="3">
        <f t="shared" si="1"/>
        <v>0</v>
      </c>
      <c r="J18" s="3">
        <f t="shared" si="1"/>
        <v>0</v>
      </c>
      <c r="K18" s="3">
        <f t="shared" si="1"/>
        <v>0</v>
      </c>
      <c r="L18" s="3">
        <f t="shared" si="1"/>
        <v>0</v>
      </c>
      <c r="M18" s="3">
        <f t="shared" si="1"/>
        <v>0</v>
      </c>
      <c r="N18" s="3">
        <f t="shared" si="1"/>
        <v>0</v>
      </c>
      <c r="O18" s="3">
        <f t="shared" si="1"/>
        <v>0</v>
      </c>
      <c r="P18" s="3">
        <f t="shared" si="1"/>
        <v>0</v>
      </c>
      <c r="Q18" s="3">
        <f t="shared" si="1"/>
        <v>0</v>
      </c>
      <c r="R18" s="3">
        <f t="shared" si="1"/>
        <v>0</v>
      </c>
      <c r="S18" s="3">
        <f t="shared" si="1"/>
        <v>0</v>
      </c>
      <c r="T18" s="3">
        <f t="shared" si="1"/>
        <v>0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3">
        <f t="shared" si="1"/>
        <v>0</v>
      </c>
      <c r="Y18" s="3">
        <f t="shared" si="1"/>
        <v>0</v>
      </c>
      <c r="Z18" s="3">
        <f t="shared" si="1"/>
        <v>0</v>
      </c>
      <c r="AA18" s="3">
        <f t="shared" si="1"/>
        <v>257045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128522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72">
        <f>SUM(AK6:AK16)</f>
        <v>385567</v>
      </c>
      <c r="AL18" s="22">
        <f>+D19-AK18</f>
        <v>806348</v>
      </c>
      <c r="AM18" s="6" t="s">
        <v>13</v>
      </c>
    </row>
    <row r="19" spans="1:41" x14ac:dyDescent="0.35">
      <c r="A19" s="2" t="s">
        <v>1780</v>
      </c>
      <c r="B19" t="s">
        <v>13</v>
      </c>
      <c r="C19" s="3" t="s">
        <v>13</v>
      </c>
      <c r="D19" s="3">
        <f>SUM(D6:D16)</f>
        <v>1191915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41" x14ac:dyDescent="0.35">
      <c r="A20" s="2"/>
      <c r="C20" s="3"/>
      <c r="D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41" x14ac:dyDescent="0.35">
      <c r="A21" s="2" t="s">
        <v>2</v>
      </c>
      <c r="C21" t="s">
        <v>13</v>
      </c>
      <c r="F21" s="3"/>
      <c r="G21" s="3"/>
      <c r="H21" s="3"/>
      <c r="I21" s="3"/>
      <c r="J21" s="3"/>
      <c r="K21" s="3"/>
      <c r="L21" s="3" t="s">
        <v>13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41" ht="15" thickBot="1" x14ac:dyDescent="0.4">
      <c r="A22" s="404">
        <v>45178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41" x14ac:dyDescent="0.35">
      <c r="A23" s="358" t="s">
        <v>1008</v>
      </c>
      <c r="B23" s="37" t="s">
        <v>337</v>
      </c>
      <c r="C23" s="38"/>
      <c r="D23" s="39">
        <v>1900000</v>
      </c>
      <c r="E23" s="40"/>
      <c r="F23" s="3"/>
      <c r="G23" s="3"/>
      <c r="H23" s="3" t="s">
        <v>13</v>
      </c>
      <c r="I23" s="3" t="s">
        <v>13</v>
      </c>
      <c r="J23" s="3"/>
      <c r="K23" s="3"/>
      <c r="L23" s="3"/>
      <c r="M23" s="3"/>
      <c r="N23" s="3"/>
      <c r="O23" s="3"/>
      <c r="P23" s="3" t="s">
        <v>13</v>
      </c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 t="s">
        <v>13</v>
      </c>
      <c r="AE23" s="3"/>
      <c r="AF23" s="3"/>
      <c r="AG23" s="3"/>
      <c r="AH23" s="3"/>
      <c r="AI23" s="3"/>
      <c r="AK23" s="3">
        <f>SUM($F23:AJ23)</f>
        <v>0</v>
      </c>
    </row>
    <row r="24" spans="1:41" x14ac:dyDescent="0.35">
      <c r="A24" s="41" t="s">
        <v>2443</v>
      </c>
      <c r="B24" s="24"/>
      <c r="C24" s="5"/>
      <c r="D24" s="3">
        <v>81142.36</v>
      </c>
      <c r="E24" s="4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>
        <v>81142.36</v>
      </c>
      <c r="AE24" s="3"/>
      <c r="AF24" s="3"/>
      <c r="AG24" s="3"/>
      <c r="AH24" s="3" t="s">
        <v>13</v>
      </c>
      <c r="AI24" s="3"/>
      <c r="AK24" s="3">
        <f>SUM($F24:AJ24)</f>
        <v>81142.36</v>
      </c>
    </row>
    <row r="25" spans="1:41" x14ac:dyDescent="0.35">
      <c r="A25" s="41" t="s">
        <v>2463</v>
      </c>
      <c r="B25" s="24"/>
      <c r="C25" s="5"/>
      <c r="D25" s="3">
        <v>99110.170000000013</v>
      </c>
      <c r="E25" s="42"/>
      <c r="F25" s="3"/>
      <c r="G25" s="3"/>
      <c r="H25" s="3"/>
      <c r="I25" s="3"/>
      <c r="J25" s="3"/>
      <c r="K25" s="3"/>
      <c r="L25" s="3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 t="s">
        <v>13</v>
      </c>
      <c r="AD25" s="3">
        <v>99110.170000000013</v>
      </c>
      <c r="AE25" s="3"/>
      <c r="AF25" s="3"/>
      <c r="AG25" s="3"/>
      <c r="AH25" s="3"/>
      <c r="AI25" s="3"/>
      <c r="AK25" s="3">
        <f>SUM($F25:AJ25)</f>
        <v>99110.170000000013</v>
      </c>
    </row>
    <row r="26" spans="1:41" x14ac:dyDescent="0.35">
      <c r="A26" s="343" t="s">
        <v>1161</v>
      </c>
      <c r="B26" s="24" t="s">
        <v>2441</v>
      </c>
      <c r="C26" s="5">
        <v>45458</v>
      </c>
      <c r="D26" s="3">
        <v>15400</v>
      </c>
      <c r="E26" s="344" t="s">
        <v>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15400</v>
      </c>
      <c r="AE26" s="3"/>
      <c r="AF26" s="3"/>
      <c r="AG26" s="3"/>
      <c r="AH26" s="3"/>
      <c r="AI26" s="3"/>
      <c r="AJ26" s="3"/>
      <c r="AK26" s="3">
        <f>SUM($F26:AJ26)</f>
        <v>15400</v>
      </c>
      <c r="AN26" s="26"/>
      <c r="AO26" s="3"/>
    </row>
    <row r="27" spans="1:41" ht="15" thickBot="1" x14ac:dyDescent="0.4">
      <c r="A27" s="345" t="s">
        <v>1161</v>
      </c>
      <c r="B27" s="44" t="s">
        <v>2445</v>
      </c>
      <c r="C27" s="45">
        <v>45472</v>
      </c>
      <c r="D27" s="46">
        <v>19780</v>
      </c>
      <c r="E27" s="347" t="s">
        <v>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19780</v>
      </c>
      <c r="AE27" s="3"/>
      <c r="AF27" s="3"/>
      <c r="AG27" s="3"/>
      <c r="AH27" s="3"/>
      <c r="AI27" s="3"/>
      <c r="AJ27" s="3"/>
      <c r="AK27" s="3">
        <f>SUM($F27:AJ27)</f>
        <v>19780</v>
      </c>
      <c r="AN27" s="26"/>
      <c r="AO27" s="3"/>
    </row>
    <row r="28" spans="1:41" x14ac:dyDescent="0.35">
      <c r="A28" s="343" t="s">
        <v>1161</v>
      </c>
      <c r="B28" s="24" t="s">
        <v>2449</v>
      </c>
      <c r="C28" s="5">
        <v>45479</v>
      </c>
      <c r="D28" s="3">
        <v>9680</v>
      </c>
      <c r="E28" s="344" t="s">
        <v>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9680</v>
      </c>
      <c r="AE28" s="3"/>
      <c r="AF28" s="3"/>
      <c r="AG28" s="3"/>
      <c r="AH28" s="3"/>
      <c r="AI28" s="3"/>
      <c r="AJ28" s="3"/>
      <c r="AK28" s="3">
        <f>SUM($F28:AJ28)</f>
        <v>9680</v>
      </c>
      <c r="AN28" s="26"/>
      <c r="AO28" s="3"/>
    </row>
    <row r="29" spans="1:41" x14ac:dyDescent="0.35">
      <c r="A29" s="343" t="s">
        <v>2126</v>
      </c>
      <c r="B29" s="24"/>
      <c r="C29" s="5">
        <v>45480</v>
      </c>
      <c r="D29" s="3">
        <v>6499</v>
      </c>
      <c r="E29" s="344" t="s">
        <v>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6499</v>
      </c>
      <c r="AE29" s="3"/>
      <c r="AF29" s="3"/>
      <c r="AG29" s="3"/>
      <c r="AH29" s="3"/>
      <c r="AI29" s="3"/>
      <c r="AJ29" s="3"/>
      <c r="AK29" s="3">
        <f>SUM($F29:AJ29)</f>
        <v>6499</v>
      </c>
      <c r="AN29" s="26"/>
      <c r="AO29" s="3"/>
    </row>
    <row r="30" spans="1:41" x14ac:dyDescent="0.35">
      <c r="A30" s="343" t="s">
        <v>1161</v>
      </c>
      <c r="B30" s="24" t="s">
        <v>2448</v>
      </c>
      <c r="C30" s="5">
        <v>45480</v>
      </c>
      <c r="D30" s="3">
        <v>8740</v>
      </c>
      <c r="E30" s="344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8740</v>
      </c>
      <c r="AE30" s="3"/>
      <c r="AF30" s="3"/>
      <c r="AG30" s="3"/>
      <c r="AH30" s="3"/>
      <c r="AI30" s="3"/>
      <c r="AJ30" s="3"/>
      <c r="AK30" s="3">
        <f>SUM($F30:AJ30)</f>
        <v>8740</v>
      </c>
      <c r="AN30" s="26"/>
      <c r="AO30" s="3"/>
    </row>
    <row r="31" spans="1:41" x14ac:dyDescent="0.35">
      <c r="A31" s="343" t="s">
        <v>2457</v>
      </c>
      <c r="B31" s="24"/>
      <c r="C31" s="5">
        <v>45497</v>
      </c>
      <c r="D31" s="3">
        <v>24920</v>
      </c>
      <c r="E31" s="344" t="s">
        <v>2474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24920</v>
      </c>
      <c r="AE31" s="3"/>
      <c r="AF31" s="3"/>
      <c r="AG31" s="3"/>
      <c r="AH31" s="3"/>
      <c r="AI31" s="3"/>
      <c r="AJ31" s="3"/>
      <c r="AK31" s="3">
        <f>SUM($F31:AJ31)</f>
        <v>24920</v>
      </c>
      <c r="AN31" s="26"/>
      <c r="AO31" s="3"/>
    </row>
    <row r="32" spans="1:41" x14ac:dyDescent="0.35">
      <c r="A32" s="343" t="s">
        <v>1161</v>
      </c>
      <c r="B32" s="24" t="s">
        <v>2469</v>
      </c>
      <c r="C32" s="5">
        <v>45504</v>
      </c>
      <c r="D32" s="3">
        <v>8740</v>
      </c>
      <c r="E32" s="344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8740</v>
      </c>
      <c r="AE32" s="3"/>
      <c r="AF32" s="3"/>
      <c r="AG32" s="3"/>
      <c r="AH32" s="3"/>
      <c r="AI32" s="3"/>
      <c r="AJ32" s="3"/>
      <c r="AK32" s="3">
        <f>SUM($F32:AJ32)</f>
        <v>8740</v>
      </c>
      <c r="AN32" s="26"/>
      <c r="AO32" s="3"/>
    </row>
    <row r="33" spans="1:43" x14ac:dyDescent="0.35">
      <c r="A33" s="343" t="s">
        <v>2470</v>
      </c>
      <c r="B33" s="24" t="s">
        <v>2471</v>
      </c>
      <c r="C33" s="5">
        <v>45506</v>
      </c>
      <c r="D33" s="3">
        <v>3960</v>
      </c>
      <c r="E33" s="344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3960</v>
      </c>
      <c r="AE33" s="3"/>
      <c r="AF33" s="3"/>
      <c r="AG33" s="3"/>
      <c r="AH33" s="3"/>
      <c r="AI33" s="3"/>
      <c r="AJ33" s="3"/>
      <c r="AK33" s="3">
        <f>SUM($F33:AJ33)</f>
        <v>3960</v>
      </c>
      <c r="AN33" s="26"/>
      <c r="AO33" s="3"/>
    </row>
    <row r="34" spans="1:43" x14ac:dyDescent="0.35">
      <c r="A34" s="41" t="s">
        <v>2462</v>
      </c>
      <c r="C34" s="5">
        <v>45509</v>
      </c>
      <c r="D34" s="3">
        <v>13905</v>
      </c>
      <c r="E34" s="344" t="s">
        <v>503</v>
      </c>
      <c r="F34" s="3"/>
      <c r="G34" s="3"/>
      <c r="H34" s="3"/>
      <c r="I34" s="3"/>
      <c r="J34" s="3">
        <v>13905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13905</v>
      </c>
      <c r="AN34" s="26"/>
      <c r="AO34" s="3"/>
    </row>
    <row r="35" spans="1:43" x14ac:dyDescent="0.35">
      <c r="A35" s="343" t="s">
        <v>2461</v>
      </c>
      <c r="B35" s="24"/>
      <c r="C35" s="5">
        <v>45509</v>
      </c>
      <c r="D35" s="3">
        <v>12000</v>
      </c>
      <c r="E35" s="344" t="s">
        <v>503</v>
      </c>
      <c r="F35" s="3"/>
      <c r="G35" s="3"/>
      <c r="H35" s="3"/>
      <c r="I35" s="3"/>
      <c r="J35" s="3">
        <v>12000</v>
      </c>
      <c r="K35" s="3"/>
      <c r="L35" s="3"/>
      <c r="M35" s="3"/>
      <c r="N35" s="3" t="s">
        <v>13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12000</v>
      </c>
      <c r="AN35" s="26"/>
      <c r="AO35" s="3"/>
    </row>
    <row r="36" spans="1:43" x14ac:dyDescent="0.35">
      <c r="A36" s="343" t="s">
        <v>2126</v>
      </c>
      <c r="B36" s="24"/>
      <c r="C36" s="5">
        <v>45511</v>
      </c>
      <c r="D36" s="3">
        <v>6499</v>
      </c>
      <c r="E36" s="344" t="s">
        <v>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6499</v>
      </c>
      <c r="AE36" s="3"/>
      <c r="AF36" s="3"/>
      <c r="AG36" s="3"/>
      <c r="AH36" s="3"/>
      <c r="AI36" s="3"/>
      <c r="AJ36" s="3"/>
      <c r="AK36" s="3">
        <f>SUM($F36:AJ36)</f>
        <v>6499</v>
      </c>
      <c r="AN36" s="26"/>
      <c r="AO36" s="3"/>
    </row>
    <row r="37" spans="1:43" x14ac:dyDescent="0.35">
      <c r="A37" s="343" t="s">
        <v>2472</v>
      </c>
      <c r="B37" s="24" t="s">
        <v>2015</v>
      </c>
      <c r="C37" s="5">
        <v>45520</v>
      </c>
      <c r="D37" s="3">
        <v>123760</v>
      </c>
      <c r="E37" s="344" t="s">
        <v>503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v>123760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>
        <f>SUM($F37:AJ37)</f>
        <v>123760</v>
      </c>
      <c r="AN37" s="26"/>
      <c r="AO37" s="3"/>
    </row>
    <row r="38" spans="1:43" x14ac:dyDescent="0.35">
      <c r="A38" s="343" t="s">
        <v>2486</v>
      </c>
      <c r="B38" s="24"/>
      <c r="C38" s="5">
        <v>45522</v>
      </c>
      <c r="D38" s="3">
        <v>49312</v>
      </c>
      <c r="E38" s="344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Z38" s="3"/>
      <c r="AA38" s="3"/>
      <c r="AB38" s="3"/>
      <c r="AC38" s="3"/>
      <c r="AD38" s="3">
        <v>49312</v>
      </c>
      <c r="AE38" s="3"/>
      <c r="AF38" s="3"/>
      <c r="AG38" s="3"/>
      <c r="AH38" s="3"/>
      <c r="AI38" s="3"/>
      <c r="AJ38" s="3"/>
      <c r="AK38" s="3">
        <f>SUM($F38:AJ38)</f>
        <v>49312</v>
      </c>
      <c r="AN38" s="26"/>
      <c r="AO38" s="3"/>
    </row>
    <row r="39" spans="1:43" x14ac:dyDescent="0.35">
      <c r="A39" s="343" t="s">
        <v>2477</v>
      </c>
      <c r="B39" s="24" t="s">
        <v>2478</v>
      </c>
      <c r="C39" s="5">
        <v>45525</v>
      </c>
      <c r="D39" s="3">
        <v>47951</v>
      </c>
      <c r="E39" s="344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N39" s="26"/>
      <c r="AO39" s="3"/>
    </row>
    <row r="40" spans="1:43" x14ac:dyDescent="0.35">
      <c r="A40" s="343" t="s">
        <v>1161</v>
      </c>
      <c r="B40" s="24" t="s">
        <v>2473</v>
      </c>
      <c r="C40" s="5">
        <v>45526</v>
      </c>
      <c r="D40" s="3">
        <v>17400</v>
      </c>
      <c r="E40" s="344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17400</v>
      </c>
      <c r="AE40" s="3"/>
      <c r="AF40" s="3"/>
      <c r="AG40" s="3"/>
      <c r="AH40" s="3"/>
      <c r="AI40" s="3"/>
      <c r="AJ40" s="3"/>
      <c r="AK40" s="3">
        <f>SUM($F40:AJ40)</f>
        <v>17400</v>
      </c>
      <c r="AN40" s="26"/>
      <c r="AO40" s="3"/>
    </row>
    <row r="41" spans="1:43" x14ac:dyDescent="0.35">
      <c r="A41" s="343" t="s">
        <v>2475</v>
      </c>
      <c r="B41" s="24" t="s">
        <v>2476</v>
      </c>
      <c r="C41" s="5">
        <v>45528</v>
      </c>
      <c r="D41" s="3">
        <v>41981</v>
      </c>
      <c r="E41" s="344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41981</v>
      </c>
      <c r="AE41" s="3"/>
      <c r="AF41" s="3"/>
      <c r="AG41" s="3"/>
      <c r="AH41" s="3"/>
      <c r="AI41" s="3"/>
      <c r="AJ41" s="3"/>
      <c r="AK41" s="3">
        <f>SUM($F41:AJ41)</f>
        <v>41981</v>
      </c>
      <c r="AN41" s="26"/>
      <c r="AO41" s="3"/>
    </row>
    <row r="42" spans="1:43" x14ac:dyDescent="0.35">
      <c r="A42" s="343"/>
      <c r="B42" s="24"/>
      <c r="C42" s="5"/>
      <c r="D42" s="3"/>
      <c r="E42" s="34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0</v>
      </c>
      <c r="AN42" s="26"/>
      <c r="AO42" s="3"/>
    </row>
    <row r="43" spans="1:43" x14ac:dyDescent="0.35">
      <c r="A43" s="343"/>
      <c r="B43" s="24"/>
      <c r="C43" s="5"/>
      <c r="D43" s="3"/>
      <c r="E43" s="34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0</v>
      </c>
      <c r="AN43" s="26"/>
      <c r="AO43" s="3"/>
    </row>
    <row r="44" spans="1:43" ht="15" thickBot="1" x14ac:dyDescent="0.4">
      <c r="A44" s="43" t="s">
        <v>2464</v>
      </c>
      <c r="B44" s="76" t="s">
        <v>337</v>
      </c>
      <c r="C44" s="45" t="s">
        <v>13</v>
      </c>
      <c r="D44" s="46">
        <f>+AK18*0.17</f>
        <v>65546.39</v>
      </c>
      <c r="E44" s="47"/>
      <c r="F44" s="3"/>
      <c r="G44" s="3" t="s">
        <v>13</v>
      </c>
      <c r="H44" s="3" t="s">
        <v>13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0</v>
      </c>
      <c r="AL44" s="6" t="s">
        <v>1846</v>
      </c>
      <c r="AM44" s="6" t="s">
        <v>13</v>
      </c>
      <c r="AN44" s="26" t="s">
        <v>13</v>
      </c>
      <c r="AO44" s="3"/>
    </row>
    <row r="45" spans="1:43" x14ac:dyDescent="0.35">
      <c r="A45" s="3" t="s">
        <v>13</v>
      </c>
      <c r="B45" s="24"/>
      <c r="C45" s="236" t="s">
        <v>13</v>
      </c>
      <c r="D45" s="3"/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13</v>
      </c>
      <c r="AL45" s="22"/>
      <c r="AO45" s="14" t="s">
        <v>1558</v>
      </c>
      <c r="AP45" s="15">
        <f>+SUMIF(AL26:AL44,"CD",D26:D44)/1.19</f>
        <v>0</v>
      </c>
      <c r="AQ45" s="15" t="e">
        <f>+AP45*#REF!/#REF!</f>
        <v>#REF!</v>
      </c>
    </row>
    <row r="46" spans="1:43" x14ac:dyDescent="0.35">
      <c r="A46" s="4"/>
      <c r="B46" s="24"/>
      <c r="C46" s="67"/>
      <c r="D46" s="3"/>
      <c r="E46" s="153"/>
      <c r="F46" s="3" t="s">
        <v>13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 t="s">
        <v>13</v>
      </c>
      <c r="AL46" s="22"/>
      <c r="AO46" s="14" t="s">
        <v>1559</v>
      </c>
      <c r="AP46" s="15" t="e">
        <f>+#REF!-AP45</f>
        <v>#REF!</v>
      </c>
      <c r="AQ46" s="15" t="e">
        <f>+#REF!-AQ45</f>
        <v>#REF!</v>
      </c>
    </row>
    <row r="47" spans="1:43" x14ac:dyDescent="0.35">
      <c r="A47" s="4"/>
      <c r="B47" s="24"/>
      <c r="C47" s="67"/>
      <c r="D47" s="3"/>
      <c r="E47" s="15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 t="s">
        <v>13</v>
      </c>
      <c r="AL47" s="22"/>
      <c r="AO47" s="14" t="s">
        <v>1560</v>
      </c>
      <c r="AP47" s="327" t="e">
        <f>+AP46/#REF!</f>
        <v>#REF!</v>
      </c>
      <c r="AQ47" s="327" t="e">
        <f>+AQ46/#REF!</f>
        <v>#REF!</v>
      </c>
    </row>
    <row r="48" spans="1:43" x14ac:dyDescent="0.35">
      <c r="A48" s="4"/>
      <c r="B48" s="67"/>
      <c r="C48" s="236"/>
      <c r="E48" s="15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AJ48" s="3"/>
      <c r="AK48" s="3"/>
      <c r="AL48" s="22" t="s">
        <v>1388</v>
      </c>
      <c r="AM48" s="6" t="s">
        <v>1430</v>
      </c>
      <c r="AO48" s="14" t="s">
        <v>81</v>
      </c>
      <c r="AP48" s="15" t="e">
        <f>+SUMIF(AL26:AL44,"GAV",D26:D44)/1.19+SUMIF(#REF!,"REM",#REF!)</f>
        <v>#REF!</v>
      </c>
      <c r="AQ48" s="15" t="e">
        <f>+AP48*#REF!/#REF!</f>
        <v>#REF!</v>
      </c>
    </row>
    <row r="49" spans="1:43" x14ac:dyDescent="0.35">
      <c r="A49" s="2" t="s">
        <v>9</v>
      </c>
      <c r="D49" s="72" t="e">
        <f>SUM(D26:D47)-#REF!</f>
        <v>#REF!</v>
      </c>
      <c r="F49" s="3">
        <f t="shared" ref="F49:AJ49" si="2">SUM(F23:F48)</f>
        <v>0</v>
      </c>
      <c r="G49" s="3">
        <f t="shared" si="2"/>
        <v>0</v>
      </c>
      <c r="H49" s="3">
        <f t="shared" si="2"/>
        <v>0</v>
      </c>
      <c r="I49" s="3">
        <f t="shared" si="2"/>
        <v>0</v>
      </c>
      <c r="J49" s="3">
        <f t="shared" si="2"/>
        <v>25905</v>
      </c>
      <c r="K49" s="3">
        <f t="shared" si="2"/>
        <v>0</v>
      </c>
      <c r="L49" s="3">
        <f t="shared" si="2"/>
        <v>0</v>
      </c>
      <c r="M49" s="3">
        <f t="shared" si="2"/>
        <v>0</v>
      </c>
      <c r="N49" s="3">
        <f t="shared" si="2"/>
        <v>0</v>
      </c>
      <c r="O49" s="3">
        <f t="shared" si="2"/>
        <v>0</v>
      </c>
      <c r="P49" s="3">
        <f t="shared" si="2"/>
        <v>0</v>
      </c>
      <c r="Q49" s="3">
        <f t="shared" si="2"/>
        <v>0</v>
      </c>
      <c r="R49" s="3">
        <f t="shared" si="2"/>
        <v>0</v>
      </c>
      <c r="S49" s="3">
        <f t="shared" si="2"/>
        <v>0</v>
      </c>
      <c r="T49" s="3">
        <f t="shared" si="2"/>
        <v>0</v>
      </c>
      <c r="U49" s="3">
        <f t="shared" si="2"/>
        <v>123760</v>
      </c>
      <c r="V49" s="3">
        <f t="shared" si="2"/>
        <v>0</v>
      </c>
      <c r="W49" s="3">
        <f t="shared" si="2"/>
        <v>0</v>
      </c>
      <c r="X49" s="3">
        <f t="shared" si="2"/>
        <v>0</v>
      </c>
      <c r="Y49" s="3">
        <f t="shared" si="2"/>
        <v>0</v>
      </c>
      <c r="Z49" s="3">
        <f t="shared" si="2"/>
        <v>0</v>
      </c>
      <c r="AA49" s="3">
        <f t="shared" si="2"/>
        <v>0</v>
      </c>
      <c r="AB49" s="3">
        <f t="shared" si="2"/>
        <v>0</v>
      </c>
      <c r="AC49" s="3">
        <f t="shared" si="2"/>
        <v>0</v>
      </c>
      <c r="AD49" s="3">
        <f t="shared" si="2"/>
        <v>393163.53</v>
      </c>
      <c r="AE49" s="3">
        <f t="shared" si="2"/>
        <v>0</v>
      </c>
      <c r="AF49" s="3">
        <f t="shared" si="2"/>
        <v>0</v>
      </c>
      <c r="AG49" s="3">
        <f t="shared" si="2"/>
        <v>0</v>
      </c>
      <c r="AH49" s="3">
        <f t="shared" si="2"/>
        <v>0</v>
      </c>
      <c r="AI49" s="3">
        <f t="shared" si="2"/>
        <v>0</v>
      </c>
      <c r="AJ49" s="3">
        <f t="shared" si="2"/>
        <v>0</v>
      </c>
      <c r="AK49" s="72">
        <f>SUM(AK23:AK47)-AK23</f>
        <v>542828.53</v>
      </c>
      <c r="AL49" s="324" t="e">
        <f>+D49-AK49</f>
        <v>#REF!</v>
      </c>
      <c r="AM49" s="324" t="e">
        <f>+AJ50+AL18-AL49-1200000</f>
        <v>#REF!</v>
      </c>
      <c r="AO49" s="14" t="s">
        <v>1561</v>
      </c>
      <c r="AP49" s="15" t="e">
        <f>+AP46-AP48</f>
        <v>#REF!</v>
      </c>
      <c r="AQ49" s="15" t="e">
        <f>+AQ46-AQ48</f>
        <v>#REF!</v>
      </c>
    </row>
    <row r="50" spans="1:43" x14ac:dyDescent="0.35">
      <c r="A50" t="s">
        <v>8</v>
      </c>
      <c r="F50" s="3">
        <f t="shared" ref="F50:AJ50" si="3">+F18+F3-F49</f>
        <v>2046487.7648390844</v>
      </c>
      <c r="G50" s="3">
        <f t="shared" si="3"/>
        <v>2046487.7648390844</v>
      </c>
      <c r="H50" s="3">
        <f t="shared" si="3"/>
        <v>2046487.7648390844</v>
      </c>
      <c r="I50" s="3">
        <f t="shared" si="3"/>
        <v>2046487.7648390844</v>
      </c>
      <c r="J50" s="3">
        <f t="shared" si="3"/>
        <v>2020582.7648390844</v>
      </c>
      <c r="K50" s="3">
        <f t="shared" si="3"/>
        <v>2020582.7648390844</v>
      </c>
      <c r="L50" s="3">
        <f t="shared" si="3"/>
        <v>2020582.7648390844</v>
      </c>
      <c r="M50" s="3">
        <f t="shared" si="3"/>
        <v>2020582.7648390844</v>
      </c>
      <c r="N50" s="3">
        <f t="shared" si="3"/>
        <v>2020582.7648390844</v>
      </c>
      <c r="O50" s="3">
        <f t="shared" si="3"/>
        <v>2020582.7648390844</v>
      </c>
      <c r="P50" s="3">
        <f t="shared" si="3"/>
        <v>2020582.7648390844</v>
      </c>
      <c r="Q50" s="3">
        <f t="shared" si="3"/>
        <v>2020582.7648390844</v>
      </c>
      <c r="R50" s="3">
        <f t="shared" si="3"/>
        <v>2020582.7648390844</v>
      </c>
      <c r="S50" s="3">
        <f t="shared" si="3"/>
        <v>2020582.7648390844</v>
      </c>
      <c r="T50" s="3">
        <f t="shared" si="3"/>
        <v>2020582.7648390844</v>
      </c>
      <c r="U50" s="3">
        <f t="shared" si="3"/>
        <v>1896822.7648390844</v>
      </c>
      <c r="V50" s="3">
        <f t="shared" si="3"/>
        <v>1896822.7648390844</v>
      </c>
      <c r="W50" s="3">
        <f t="shared" si="3"/>
        <v>1896822.7648390844</v>
      </c>
      <c r="X50" s="3">
        <f t="shared" si="3"/>
        <v>1896822.7648390844</v>
      </c>
      <c r="Y50" s="3">
        <f t="shared" si="3"/>
        <v>1896822.7648390844</v>
      </c>
      <c r="Z50" s="3">
        <f t="shared" si="3"/>
        <v>1896822.7648390844</v>
      </c>
      <c r="AA50" s="3">
        <f t="shared" si="3"/>
        <v>2153867.7648390844</v>
      </c>
      <c r="AB50" s="3">
        <f t="shared" si="3"/>
        <v>2153867.7648390844</v>
      </c>
      <c r="AC50" s="3">
        <f t="shared" si="3"/>
        <v>2153867.7648390844</v>
      </c>
      <c r="AD50" s="3">
        <f t="shared" si="3"/>
        <v>1760704.2348390843</v>
      </c>
      <c r="AE50" s="3">
        <f t="shared" si="3"/>
        <v>1760704.2348390843</v>
      </c>
      <c r="AF50" s="3">
        <f t="shared" si="3"/>
        <v>1889226.2348390843</v>
      </c>
      <c r="AG50" s="3">
        <f t="shared" si="3"/>
        <v>1889226.2348390843</v>
      </c>
      <c r="AH50" s="3">
        <f t="shared" si="3"/>
        <v>1889226.2348390843</v>
      </c>
      <c r="AI50" s="3">
        <f t="shared" si="3"/>
        <v>1889226.2348390843</v>
      </c>
      <c r="AJ50" s="3">
        <f t="shared" si="3"/>
        <v>1889226.2348390843</v>
      </c>
      <c r="AK50" s="3" t="s">
        <v>13</v>
      </c>
      <c r="AM50" s="22" t="s">
        <v>13</v>
      </c>
      <c r="AO50" s="14" t="s">
        <v>1563</v>
      </c>
      <c r="AP50" s="15">
        <f>+SUMIF(AL26:AL44,"GF",D26:D44)</f>
        <v>0</v>
      </c>
      <c r="AQ50" s="15">
        <v>0</v>
      </c>
    </row>
    <row r="51" spans="1:43" x14ac:dyDescent="0.35">
      <c r="F51" s="3"/>
      <c r="G51" s="3"/>
      <c r="H51" s="3"/>
      <c r="I51" s="3" t="s">
        <v>13</v>
      </c>
      <c r="J51" s="3"/>
      <c r="K51" s="3" t="s">
        <v>13</v>
      </c>
      <c r="L51" s="3"/>
      <c r="M51" s="3"/>
      <c r="N51" s="3"/>
      <c r="O51" s="3"/>
      <c r="P51" s="3" t="s">
        <v>13</v>
      </c>
      <c r="Q51" s="3"/>
      <c r="R51" s="3"/>
      <c r="S51" s="3"/>
      <c r="T51" s="3" t="s">
        <v>13</v>
      </c>
      <c r="U51" s="3"/>
      <c r="V51" s="3"/>
      <c r="W51" s="3"/>
      <c r="Y51" s="3" t="s">
        <v>13</v>
      </c>
      <c r="Z51" s="3" t="s">
        <v>13</v>
      </c>
      <c r="AA51" s="3" t="s">
        <v>13</v>
      </c>
      <c r="AB51" s="3" t="s">
        <v>13</v>
      </c>
      <c r="AO51" s="14" t="s">
        <v>82</v>
      </c>
      <c r="AP51" s="15">
        <v>0</v>
      </c>
      <c r="AQ51" s="15">
        <f>+SUMIF(AL26:AL44,"AF",D26:D44)/1.19</f>
        <v>0</v>
      </c>
    </row>
    <row r="52" spans="1:43" ht="15" thickBot="1" x14ac:dyDescent="0.4">
      <c r="F52" s="3" t="s">
        <v>13</v>
      </c>
      <c r="G52" s="3" t="s">
        <v>13</v>
      </c>
      <c r="H52" s="3" t="s">
        <v>13</v>
      </c>
      <c r="I52" s="3"/>
      <c r="J52" s="3"/>
      <c r="K52" s="3"/>
      <c r="L52" s="3"/>
      <c r="M52" s="3"/>
      <c r="N52" s="3"/>
      <c r="O52" s="3"/>
      <c r="P52" s="3" t="s">
        <v>13</v>
      </c>
      <c r="Q52" s="3" t="s">
        <v>13</v>
      </c>
      <c r="R52" s="3" t="s">
        <v>13</v>
      </c>
      <c r="S52" s="3"/>
      <c r="T52" s="3"/>
      <c r="U52" s="3" t="s">
        <v>13</v>
      </c>
      <c r="V52" s="3"/>
      <c r="W52" s="3"/>
      <c r="AB52" s="3" t="s">
        <v>13</v>
      </c>
      <c r="AG52" s="3" t="s">
        <v>13</v>
      </c>
      <c r="AJ52" s="3" t="s">
        <v>13</v>
      </c>
      <c r="AO52" s="16"/>
      <c r="AP52" s="19" t="e">
        <f>+AP49-AP50-AP51</f>
        <v>#REF!</v>
      </c>
      <c r="AQ52" s="19" t="e">
        <f>+AQ49-AQ50-AQ51</f>
        <v>#REF!</v>
      </c>
    </row>
    <row r="53" spans="1:43" x14ac:dyDescent="0.35">
      <c r="A53" t="s">
        <v>2163</v>
      </c>
      <c r="B53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3" s="3" t="e">
        <f>+B53*0.16</f>
        <v>#REF!</v>
      </c>
      <c r="E53" s="6" t="s">
        <v>13</v>
      </c>
      <c r="F53" s="3"/>
      <c r="G53" s="3" t="s">
        <v>13</v>
      </c>
      <c r="H53" s="3" t="s">
        <v>13</v>
      </c>
      <c r="I53" s="3"/>
      <c r="J53" s="3"/>
      <c r="K53" s="3"/>
      <c r="L53" s="3"/>
      <c r="M53" s="3"/>
      <c r="N53" s="3"/>
      <c r="O53" s="3"/>
      <c r="W53" s="3"/>
      <c r="AB53" s="3" t="s">
        <v>13</v>
      </c>
      <c r="AG53" s="3" t="s">
        <v>13</v>
      </c>
      <c r="AJ53" s="3" t="s">
        <v>13</v>
      </c>
      <c r="AO53" t="s">
        <v>1961</v>
      </c>
      <c r="AP53" s="26" t="e">
        <f ca="1">+AP$52+'May-23'!AP82</f>
        <v>#REF!</v>
      </c>
      <c r="AQ53" s="3" t="e">
        <f ca="1">+AQ$52+'May-23'!AQ82</f>
        <v>#REF!</v>
      </c>
    </row>
    <row r="54" spans="1:43" x14ac:dyDescent="0.35">
      <c r="F54" s="3"/>
      <c r="G54" s="3" t="s">
        <v>13</v>
      </c>
      <c r="H54" s="3"/>
      <c r="I54" s="3"/>
      <c r="J54" s="3"/>
      <c r="K54" s="3"/>
      <c r="L54" s="3"/>
      <c r="M54" s="3"/>
      <c r="N54" s="3"/>
      <c r="O54" s="3"/>
      <c r="W54" s="3" t="s">
        <v>13</v>
      </c>
      <c r="AB54" s="3" t="s">
        <v>13</v>
      </c>
      <c r="AD54" t="s">
        <v>13</v>
      </c>
      <c r="AE54" t="s">
        <v>13</v>
      </c>
      <c r="AG54" s="3" t="s">
        <v>13</v>
      </c>
      <c r="AJ54" s="3" t="s">
        <v>13</v>
      </c>
      <c r="AO54" t="s">
        <v>1960</v>
      </c>
      <c r="AP54" s="26" t="e">
        <f ca="1">+AP$52+'May-23'!AP83</f>
        <v>#REF!</v>
      </c>
      <c r="AQ54" s="3" t="e">
        <f ca="1">+AQ$52+'May-23'!AQ83</f>
        <v>#REF!</v>
      </c>
    </row>
    <row r="55" spans="1:43" x14ac:dyDescent="0.35">
      <c r="A55" t="s">
        <v>13</v>
      </c>
      <c r="F55" s="3" t="s">
        <v>13</v>
      </c>
      <c r="G55" s="3" t="s">
        <v>13</v>
      </c>
      <c r="H55" s="3"/>
      <c r="I55" s="3"/>
      <c r="J55" s="3"/>
      <c r="K55" s="3"/>
      <c r="L55" s="3"/>
      <c r="M55" s="3">
        <v>538500</v>
      </c>
      <c r="N55" s="3"/>
      <c r="O55" s="3"/>
      <c r="W55" s="3"/>
      <c r="AB55" s="3" t="s">
        <v>13</v>
      </c>
      <c r="AD55" t="s">
        <v>13</v>
      </c>
      <c r="AG55" s="3" t="s">
        <v>13</v>
      </c>
      <c r="AJ55" s="3" t="s">
        <v>13</v>
      </c>
    </row>
    <row r="56" spans="1:43" x14ac:dyDescent="0.35">
      <c r="B56" t="s">
        <v>13</v>
      </c>
      <c r="F56" s="3" t="s">
        <v>13</v>
      </c>
      <c r="G56" s="3" t="s">
        <v>13</v>
      </c>
      <c r="H56" s="3"/>
      <c r="I56" s="3"/>
      <c r="J56" s="3"/>
      <c r="K56" s="3"/>
      <c r="L56" s="3" t="s">
        <v>13</v>
      </c>
      <c r="M56" s="3">
        <v>682100</v>
      </c>
      <c r="N56" s="3"/>
      <c r="O56" s="3"/>
      <c r="W56" s="3"/>
      <c r="AB56" s="3" t="s">
        <v>13</v>
      </c>
      <c r="AG56" s="3" t="s">
        <v>13</v>
      </c>
      <c r="AJ56" s="3" t="s">
        <v>13</v>
      </c>
      <c r="AL56"/>
      <c r="AM56"/>
    </row>
    <row r="57" spans="1:43" x14ac:dyDescent="0.35">
      <c r="F57" s="3"/>
      <c r="G57" s="3" t="s">
        <v>13</v>
      </c>
      <c r="H57" s="3"/>
      <c r="I57" s="3"/>
      <c r="J57" s="3"/>
      <c r="K57" s="3"/>
      <c r="L57" s="3"/>
      <c r="M57" s="3">
        <f>SUM(M55:M56)</f>
        <v>1220600</v>
      </c>
      <c r="AG57" s="3" t="s">
        <v>13</v>
      </c>
      <c r="AJ57" s="3" t="s">
        <v>13</v>
      </c>
      <c r="AL57"/>
      <c r="AM57"/>
    </row>
    <row r="58" spans="1:43" x14ac:dyDescent="0.35">
      <c r="B58" t="s">
        <v>13</v>
      </c>
      <c r="F58" s="3"/>
      <c r="G58" s="3" t="s">
        <v>13</v>
      </c>
      <c r="H58" s="3"/>
      <c r="I58" s="3"/>
      <c r="J58" s="3"/>
      <c r="K58" s="3"/>
      <c r="L58" s="3"/>
      <c r="AB58" t="s">
        <v>13</v>
      </c>
      <c r="AG58" s="3" t="s">
        <v>13</v>
      </c>
      <c r="AJ58" s="3" t="s">
        <v>13</v>
      </c>
      <c r="AL58"/>
      <c r="AM58"/>
      <c r="AQ58" t="s">
        <v>13</v>
      </c>
    </row>
    <row r="59" spans="1:43" x14ac:dyDescent="0.35">
      <c r="B59" t="s">
        <v>13</v>
      </c>
      <c r="C59" t="s">
        <v>13</v>
      </c>
      <c r="F59" s="3"/>
      <c r="G59" s="3" t="s">
        <v>13</v>
      </c>
      <c r="H59" s="3"/>
      <c r="I59" s="3"/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C60" t="s">
        <v>13</v>
      </c>
      <c r="F60" s="3"/>
      <c r="G60" s="3" t="s">
        <v>2417</v>
      </c>
      <c r="H60" s="3"/>
      <c r="I60" s="3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F61" s="3"/>
      <c r="G61" s="3" t="s">
        <v>13</v>
      </c>
      <c r="H61" s="3"/>
      <c r="I61" s="3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288">
        <f>212-60</f>
        <v>152</v>
      </c>
      <c r="H62" s="288">
        <f>+G62-60</f>
        <v>92</v>
      </c>
      <c r="I62" s="288">
        <f>+H62/3</f>
        <v>30.666666666666668</v>
      </c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288">
        <f>+G62/2</f>
        <v>76</v>
      </c>
      <c r="H63" s="288"/>
      <c r="I63" s="288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288">
        <f>+G63/2</f>
        <v>38</v>
      </c>
      <c r="H64" s="288"/>
      <c r="I64" s="288">
        <f>I62*3+60</f>
        <v>152</v>
      </c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288">
        <f>+G64-15</f>
        <v>23</v>
      </c>
      <c r="H65" s="288"/>
      <c r="I65" s="288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G68" s="3" t="s">
        <v>13</v>
      </c>
      <c r="AJ68" s="3" t="s">
        <v>13</v>
      </c>
      <c r="AL68"/>
      <c r="AM68"/>
    </row>
    <row r="69" spans="2:39" x14ac:dyDescent="0.35">
      <c r="B69" t="s">
        <v>13</v>
      </c>
      <c r="F69" s="3"/>
      <c r="G69" s="3" t="s">
        <v>13</v>
      </c>
      <c r="H69" s="3"/>
      <c r="I69" s="3"/>
      <c r="J69" s="3"/>
      <c r="K69" s="3"/>
      <c r="L69" s="3"/>
      <c r="AG69" s="3" t="s">
        <v>13</v>
      </c>
      <c r="AJ69" s="3" t="s">
        <v>13</v>
      </c>
      <c r="AL69"/>
      <c r="AM69"/>
    </row>
    <row r="70" spans="2:39" x14ac:dyDescent="0.35">
      <c r="B70" t="s">
        <v>13</v>
      </c>
      <c r="F70" s="3"/>
      <c r="G70" s="3" t="s">
        <v>13</v>
      </c>
      <c r="H70" s="3"/>
      <c r="I70" s="3"/>
      <c r="J70" s="3"/>
      <c r="K70" s="3"/>
      <c r="L70" s="3"/>
      <c r="AL70"/>
      <c r="AM70"/>
    </row>
    <row r="71" spans="2:39" x14ac:dyDescent="0.35">
      <c r="B71" t="s">
        <v>13</v>
      </c>
      <c r="F71" s="3"/>
      <c r="G71" s="3" t="s">
        <v>13</v>
      </c>
      <c r="H71" s="3"/>
      <c r="I71" s="3"/>
      <c r="J71" s="3"/>
      <c r="K71" s="3"/>
      <c r="L71" s="3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</sheetData>
  <sortState xmlns:xlrd2="http://schemas.microsoft.com/office/spreadsheetml/2017/richdata2" ref="A28:AQ41">
    <sortCondition ref="C28:C41"/>
  </sortState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ABF3-BD43-4A43-881E-147BA7EA444C}">
  <dimension ref="A1:AQ103"/>
  <sheetViews>
    <sheetView zoomScale="60" zoomScaleNormal="60" workbookViewId="0">
      <pane xSplit="5" ySplit="3" topLeftCell="Z5" activePane="bottomRight" state="frozen"/>
      <selection pane="topRight" activeCell="F1" sqref="F1"/>
      <selection pane="bottomLeft" activeCell="A4" sqref="A4"/>
      <selection pane="bottomRight" activeCell="AK31" sqref="AK31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1.6328125" customWidth="1"/>
    <col min="31" max="31" width="11.26953125" customWidth="1"/>
    <col min="32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45536</v>
      </c>
      <c r="G2" s="1">
        <v>45537</v>
      </c>
      <c r="H2" s="1">
        <v>45538</v>
      </c>
      <c r="I2" s="1">
        <v>45539</v>
      </c>
      <c r="J2" s="1">
        <v>45540</v>
      </c>
      <c r="K2" s="1">
        <v>45541</v>
      </c>
      <c r="L2" s="1">
        <v>45542</v>
      </c>
      <c r="M2" s="1">
        <v>45543</v>
      </c>
      <c r="N2" s="1">
        <v>45544</v>
      </c>
      <c r="O2" s="1">
        <v>45545</v>
      </c>
      <c r="P2" s="1">
        <v>45546</v>
      </c>
      <c r="Q2" s="1">
        <v>45547</v>
      </c>
      <c r="R2" s="1">
        <v>45548</v>
      </c>
      <c r="S2" s="1">
        <v>45549</v>
      </c>
      <c r="T2" s="1">
        <v>45550</v>
      </c>
      <c r="U2" s="1">
        <v>45551</v>
      </c>
      <c r="V2" s="1">
        <v>45552</v>
      </c>
      <c r="W2" s="1">
        <v>45553</v>
      </c>
      <c r="X2" s="1">
        <v>45554</v>
      </c>
      <c r="Y2" s="1">
        <v>45555</v>
      </c>
      <c r="Z2" s="1">
        <v>45556</v>
      </c>
      <c r="AA2" s="1">
        <v>45557</v>
      </c>
      <c r="AB2" s="1">
        <v>45558</v>
      </c>
      <c r="AC2" s="1">
        <v>45559</v>
      </c>
      <c r="AD2" s="1">
        <v>45560</v>
      </c>
      <c r="AE2" s="1">
        <v>45561</v>
      </c>
      <c r="AF2" s="1">
        <v>45562</v>
      </c>
      <c r="AG2" s="1">
        <v>45563</v>
      </c>
      <c r="AH2" s="1">
        <v>45564</v>
      </c>
      <c r="AI2" s="1">
        <v>45565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+'Ago-24'!AJ50</f>
        <v>1889226.2348390843</v>
      </c>
      <c r="G3" s="3">
        <f t="shared" ref="G3:AJ3" si="0">+F49</f>
        <v>1889226.2348390843</v>
      </c>
      <c r="H3" s="3">
        <f t="shared" si="0"/>
        <v>1889226.2348390843</v>
      </c>
      <c r="I3" s="3">
        <f t="shared" si="0"/>
        <v>1868226.2348390843</v>
      </c>
      <c r="J3" s="3">
        <f t="shared" si="0"/>
        <v>1990241.2348390843</v>
      </c>
      <c r="K3" s="3">
        <f t="shared" si="0"/>
        <v>1976336.2348390843</v>
      </c>
      <c r="L3" s="3">
        <f t="shared" si="0"/>
        <v>2233380.2348390846</v>
      </c>
      <c r="M3" s="3">
        <f t="shared" si="0"/>
        <v>2233380.2348390846</v>
      </c>
      <c r="N3" s="3">
        <f t="shared" si="0"/>
        <v>2233380.2348390846</v>
      </c>
      <c r="O3" s="3">
        <f t="shared" si="0"/>
        <v>2233380.2348390846</v>
      </c>
      <c r="P3" s="3">
        <f t="shared" si="0"/>
        <v>2233380.2348390846</v>
      </c>
      <c r="Q3" s="3">
        <f t="shared" si="0"/>
        <v>2114380.2348390846</v>
      </c>
      <c r="R3" s="3">
        <f t="shared" si="0"/>
        <v>2114380.2348390846</v>
      </c>
      <c r="S3" s="3">
        <f t="shared" si="0"/>
        <v>2093352.2348390846</v>
      </c>
      <c r="T3" s="3">
        <f t="shared" si="0"/>
        <v>2093352.2348390846</v>
      </c>
      <c r="U3" s="3">
        <f t="shared" si="0"/>
        <v>2093352.2348390846</v>
      </c>
      <c r="V3" s="3">
        <f t="shared" si="0"/>
        <v>2093352.2348390846</v>
      </c>
      <c r="W3" s="3">
        <f t="shared" si="0"/>
        <v>2093352.2348390846</v>
      </c>
      <c r="X3" s="3">
        <f t="shared" si="0"/>
        <v>2093352.2348390846</v>
      </c>
      <c r="Y3" s="3">
        <f t="shared" si="0"/>
        <v>2093352.2348390846</v>
      </c>
      <c r="Z3" s="3">
        <f t="shared" si="0"/>
        <v>2093352.2348390846</v>
      </c>
      <c r="AA3" s="3">
        <f t="shared" si="0"/>
        <v>2093352.2348390846</v>
      </c>
      <c r="AB3" s="3">
        <f t="shared" si="0"/>
        <v>2093352.2348390846</v>
      </c>
      <c r="AC3" s="3">
        <f t="shared" si="0"/>
        <v>2093352.2348390846</v>
      </c>
      <c r="AD3" s="3">
        <f t="shared" si="0"/>
        <v>2093352.2348390846</v>
      </c>
      <c r="AE3" s="3">
        <f t="shared" si="0"/>
        <v>2139207.2348390846</v>
      </c>
      <c r="AF3" s="3">
        <f t="shared" si="0"/>
        <v>2139207.2348390846</v>
      </c>
      <c r="AG3" s="3">
        <f t="shared" si="0"/>
        <v>2139207.2348390846</v>
      </c>
      <c r="AH3" s="3">
        <f t="shared" si="0"/>
        <v>1934748.8448390844</v>
      </c>
      <c r="AI3" s="3">
        <f t="shared" si="0"/>
        <v>1934748.8448390844</v>
      </c>
      <c r="AJ3" s="3">
        <f t="shared" si="0"/>
        <v>1934748.8448390844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2404</v>
      </c>
      <c r="B6" s="66" t="s">
        <v>2403</v>
      </c>
      <c r="C6" s="38">
        <v>45386</v>
      </c>
      <c r="D6" s="39">
        <v>124390</v>
      </c>
      <c r="E6" s="40" t="s">
        <v>2402</v>
      </c>
      <c r="F6" s="3"/>
      <c r="G6" s="3"/>
      <c r="H6" s="3"/>
      <c r="I6" s="3"/>
      <c r="J6" s="3"/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ht="15" thickBot="1" x14ac:dyDescent="0.4">
      <c r="A7" s="43" t="s">
        <v>2455</v>
      </c>
      <c r="B7" s="76" t="s">
        <v>2456</v>
      </c>
      <c r="C7" s="45">
        <v>45492</v>
      </c>
      <c r="D7" s="46">
        <v>128522</v>
      </c>
      <c r="E7" s="47" t="s">
        <v>2325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0</v>
      </c>
      <c r="AL7" s="22"/>
    </row>
    <row r="8" spans="1:39" x14ac:dyDescent="0.35">
      <c r="A8" s="36" t="s">
        <v>2465</v>
      </c>
      <c r="B8" s="66" t="s">
        <v>2466</v>
      </c>
      <c r="C8" s="38">
        <v>45506</v>
      </c>
      <c r="D8" s="39">
        <v>128522</v>
      </c>
      <c r="E8" s="40" t="s">
        <v>2325</v>
      </c>
      <c r="F8" s="3"/>
      <c r="G8" s="3"/>
      <c r="H8" s="3"/>
      <c r="I8" s="3"/>
      <c r="J8" s="3"/>
      <c r="K8" s="3">
        <v>128522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128522</v>
      </c>
      <c r="AL8" s="22"/>
    </row>
    <row r="9" spans="1:39" x14ac:dyDescent="0.35">
      <c r="A9" s="41" t="s">
        <v>2468</v>
      </c>
      <c r="B9" t="s">
        <v>2467</v>
      </c>
      <c r="C9" s="5">
        <v>45515</v>
      </c>
      <c r="D9" s="3">
        <v>128522</v>
      </c>
      <c r="E9" s="42" t="s">
        <v>2325</v>
      </c>
      <c r="F9" s="3"/>
      <c r="G9" s="3"/>
      <c r="H9" s="3"/>
      <c r="I9" s="3"/>
      <c r="J9" s="3"/>
      <c r="K9" s="3">
        <v>128522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128522</v>
      </c>
      <c r="AL9" s="22"/>
    </row>
    <row r="10" spans="1:39" x14ac:dyDescent="0.35">
      <c r="A10" s="41" t="s">
        <v>2479</v>
      </c>
      <c r="B10" t="s">
        <v>2480</v>
      </c>
      <c r="C10" s="5">
        <v>45532</v>
      </c>
      <c r="D10" s="3">
        <v>122015</v>
      </c>
      <c r="E10" s="42" t="s">
        <v>2481</v>
      </c>
      <c r="F10" s="3"/>
      <c r="G10" s="3"/>
      <c r="H10" s="3"/>
      <c r="I10" s="3">
        <v>122015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122015</v>
      </c>
      <c r="AL10" s="22"/>
    </row>
    <row r="11" spans="1:39" x14ac:dyDescent="0.35">
      <c r="A11" s="41" t="s">
        <v>2482</v>
      </c>
      <c r="B11" t="s">
        <v>2483</v>
      </c>
      <c r="C11" s="5">
        <v>45533</v>
      </c>
      <c r="D11" s="3">
        <v>128522</v>
      </c>
      <c r="E11" s="42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2484</v>
      </c>
      <c r="B12" t="s">
        <v>2496</v>
      </c>
      <c r="C12" s="5">
        <v>45535</v>
      </c>
      <c r="D12" s="3">
        <v>45855</v>
      </c>
      <c r="E12" s="42" t="s">
        <v>2481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>
        <v>45855</v>
      </c>
      <c r="AE12" s="3"/>
      <c r="AF12" s="3"/>
      <c r="AG12" s="3"/>
      <c r="AH12" s="3"/>
      <c r="AI12" s="3"/>
      <c r="AK12" s="3">
        <f>SUM($F12:AJ12)</f>
        <v>45855</v>
      </c>
      <c r="AL12" s="22"/>
      <c r="AM12" s="22" t="s">
        <v>13</v>
      </c>
    </row>
    <row r="13" spans="1:39" ht="15" thickBot="1" x14ac:dyDescent="0.4">
      <c r="A13" s="43" t="s">
        <v>2497</v>
      </c>
      <c r="B13" s="76" t="s">
        <v>1147</v>
      </c>
      <c r="C13" s="45">
        <v>45535</v>
      </c>
      <c r="D13" s="46">
        <v>87189</v>
      </c>
      <c r="E13" s="47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x14ac:dyDescent="0.35">
      <c r="A14" s="41" t="s">
        <v>2500</v>
      </c>
      <c r="B14" t="s">
        <v>2492</v>
      </c>
      <c r="C14" s="5">
        <v>45542</v>
      </c>
      <c r="D14" s="3">
        <v>163349</v>
      </c>
      <c r="E14" s="42" t="s">
        <v>2481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2498</v>
      </c>
      <c r="B15" t="s">
        <v>2493</v>
      </c>
      <c r="C15" s="5">
        <v>45542</v>
      </c>
      <c r="D15" s="3">
        <v>87189</v>
      </c>
      <c r="E15" s="42" t="s">
        <v>2481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2499</v>
      </c>
      <c r="B16" t="s">
        <v>2494</v>
      </c>
      <c r="C16" s="5">
        <v>45548</v>
      </c>
      <c r="D16" s="3">
        <v>119200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39" x14ac:dyDescent="0.35">
      <c r="A17" s="41" t="s">
        <v>2501</v>
      </c>
      <c r="B17" t="s">
        <v>2495</v>
      </c>
      <c r="C17" s="5">
        <v>45555</v>
      </c>
      <c r="D17" s="3">
        <v>105623</v>
      </c>
      <c r="E17" s="42" t="s">
        <v>2481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39" x14ac:dyDescent="0.35">
      <c r="A18" s="41" t="s">
        <v>2503</v>
      </c>
      <c r="B18" t="s">
        <v>2504</v>
      </c>
      <c r="C18" s="5">
        <v>45560</v>
      </c>
      <c r="D18" s="3">
        <v>87189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39" x14ac:dyDescent="0.35">
      <c r="A19" s="41" t="s">
        <v>2505</v>
      </c>
      <c r="B19" t="s">
        <v>2506</v>
      </c>
      <c r="C19" s="5">
        <v>45562</v>
      </c>
      <c r="D19" s="3">
        <v>80682</v>
      </c>
      <c r="E19" s="42" t="s">
        <v>2481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39" x14ac:dyDescent="0.35">
      <c r="A20" s="41"/>
      <c r="C20" s="5"/>
      <c r="D20" s="3"/>
      <c r="E20" s="4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39" x14ac:dyDescent="0.35">
      <c r="A21" s="41"/>
      <c r="C21" s="5"/>
      <c r="D21" s="3"/>
      <c r="E21" s="4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9" x14ac:dyDescent="0.35">
      <c r="A22" s="41"/>
      <c r="C22" s="5"/>
      <c r="D22" s="3"/>
      <c r="E22" s="4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9" ht="15" thickBot="1" x14ac:dyDescent="0.4">
      <c r="A23" s="43"/>
      <c r="B23" s="76"/>
      <c r="C23" s="45"/>
      <c r="D23" s="46"/>
      <c r="E23" s="4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9" x14ac:dyDescent="0.35"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24" t="s">
        <v>1962</v>
      </c>
      <c r="AL24" s="22" t="s">
        <v>1352</v>
      </c>
    </row>
    <row r="25" spans="1:39" x14ac:dyDescent="0.35">
      <c r="A25" s="2" t="s">
        <v>1676</v>
      </c>
      <c r="D25" s="3">
        <f>SUM(D7:D23)</f>
        <v>1412379</v>
      </c>
      <c r="F25" s="3">
        <f t="shared" ref="F25:AJ25" si="1">SUM(F5:F23)</f>
        <v>0</v>
      </c>
      <c r="G25" s="3">
        <f t="shared" si="1"/>
        <v>0</v>
      </c>
      <c r="H25" s="3">
        <f t="shared" si="1"/>
        <v>0</v>
      </c>
      <c r="I25" s="3">
        <f t="shared" si="1"/>
        <v>122015</v>
      </c>
      <c r="J25" s="3">
        <f t="shared" si="1"/>
        <v>0</v>
      </c>
      <c r="K25" s="3">
        <f t="shared" si="1"/>
        <v>257044</v>
      </c>
      <c r="L25" s="3">
        <f t="shared" si="1"/>
        <v>0</v>
      </c>
      <c r="M25" s="3">
        <f t="shared" si="1"/>
        <v>0</v>
      </c>
      <c r="N25" s="3">
        <f t="shared" si="1"/>
        <v>0</v>
      </c>
      <c r="O25" s="3">
        <f t="shared" si="1"/>
        <v>0</v>
      </c>
      <c r="P25" s="3">
        <f t="shared" si="1"/>
        <v>0</v>
      </c>
      <c r="Q25" s="3">
        <f t="shared" si="1"/>
        <v>0</v>
      </c>
      <c r="R25" s="3">
        <f t="shared" si="1"/>
        <v>0</v>
      </c>
      <c r="S25" s="3">
        <f t="shared" si="1"/>
        <v>0</v>
      </c>
      <c r="T25" s="3">
        <f t="shared" si="1"/>
        <v>0</v>
      </c>
      <c r="U25" s="3">
        <f t="shared" si="1"/>
        <v>0</v>
      </c>
      <c r="V25" s="3">
        <f t="shared" si="1"/>
        <v>0</v>
      </c>
      <c r="W25" s="3">
        <f t="shared" si="1"/>
        <v>0</v>
      </c>
      <c r="X25" s="3">
        <f t="shared" si="1"/>
        <v>0</v>
      </c>
      <c r="Y25" s="3">
        <f t="shared" si="1"/>
        <v>0</v>
      </c>
      <c r="Z25" s="3">
        <f t="shared" si="1"/>
        <v>0</v>
      </c>
      <c r="AA25" s="3">
        <f t="shared" si="1"/>
        <v>0</v>
      </c>
      <c r="AB25" s="3">
        <f t="shared" si="1"/>
        <v>0</v>
      </c>
      <c r="AC25" s="3">
        <f t="shared" si="1"/>
        <v>0</v>
      </c>
      <c r="AD25" s="3">
        <f t="shared" si="1"/>
        <v>45855</v>
      </c>
      <c r="AE25" s="3">
        <f t="shared" si="1"/>
        <v>0</v>
      </c>
      <c r="AF25" s="3">
        <f t="shared" si="1"/>
        <v>0</v>
      </c>
      <c r="AG25" s="3">
        <f t="shared" si="1"/>
        <v>0</v>
      </c>
      <c r="AH25" s="3">
        <f t="shared" si="1"/>
        <v>0</v>
      </c>
      <c r="AI25" s="3">
        <f t="shared" si="1"/>
        <v>0</v>
      </c>
      <c r="AJ25" s="3">
        <f t="shared" si="1"/>
        <v>0</v>
      </c>
      <c r="AK25" s="72">
        <f>SUM(AK6:AK23)</f>
        <v>424914</v>
      </c>
      <c r="AL25" s="22">
        <f>+D26-AK25</f>
        <v>1111855</v>
      </c>
      <c r="AM25" s="6" t="s">
        <v>13</v>
      </c>
    </row>
    <row r="26" spans="1:39" x14ac:dyDescent="0.35">
      <c r="A26" s="2" t="s">
        <v>1780</v>
      </c>
      <c r="B26" t="s">
        <v>13</v>
      </c>
      <c r="C26" s="3" t="s">
        <v>13</v>
      </c>
      <c r="D26" s="3">
        <f>SUM(D6:D23)</f>
        <v>1536769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9" x14ac:dyDescent="0.35">
      <c r="A27" s="2"/>
      <c r="C27" s="3"/>
      <c r="D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9" x14ac:dyDescent="0.35">
      <c r="A28" s="2" t="s">
        <v>2</v>
      </c>
      <c r="C28" t="s">
        <v>13</v>
      </c>
      <c r="F28" s="3"/>
      <c r="G28" s="3"/>
      <c r="H28" s="3"/>
      <c r="I28" s="3"/>
      <c r="J28" s="3"/>
      <c r="K28" s="3"/>
      <c r="L28" s="3" t="s">
        <v>13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9" ht="15" thickBot="1" x14ac:dyDescent="0.4">
      <c r="A29" s="404">
        <v>45178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9" x14ac:dyDescent="0.35">
      <c r="A30" s="358" t="s">
        <v>1008</v>
      </c>
      <c r="B30" s="37" t="s">
        <v>337</v>
      </c>
      <c r="C30" s="38"/>
      <c r="D30" s="39">
        <v>1900000</v>
      </c>
      <c r="E30" s="40"/>
      <c r="F30" s="3"/>
      <c r="G30" s="3"/>
      <c r="H30" s="3" t="s">
        <v>13</v>
      </c>
      <c r="I30" s="3" t="s">
        <v>13</v>
      </c>
      <c r="J30" s="3"/>
      <c r="K30" s="3"/>
      <c r="L30" s="3"/>
      <c r="M30" s="3"/>
      <c r="N30" s="3"/>
      <c r="O30" s="3"/>
      <c r="P30" s="3" t="s">
        <v>13</v>
      </c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 t="s">
        <v>13</v>
      </c>
      <c r="AE30" s="3"/>
      <c r="AF30" s="3"/>
      <c r="AG30" s="3"/>
      <c r="AH30" s="3"/>
      <c r="AI30" s="3"/>
      <c r="AK30" s="3">
        <f>SUM($F30:AJ30)</f>
        <v>0</v>
      </c>
    </row>
    <row r="31" spans="1:39" x14ac:dyDescent="0.35">
      <c r="A31" s="41" t="s">
        <v>2464</v>
      </c>
      <c r="B31" s="24"/>
      <c r="C31" s="5"/>
      <c r="D31" s="3">
        <v>65546.39</v>
      </c>
      <c r="E31" s="42"/>
      <c r="F31" s="3"/>
      <c r="G31" s="3"/>
      <c r="H31" s="3"/>
      <c r="I31" s="3"/>
      <c r="J31" s="3"/>
      <c r="K31" s="3"/>
      <c r="L31" s="3"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 t="s">
        <v>13</v>
      </c>
      <c r="AD31" s="3">
        <v>0</v>
      </c>
      <c r="AE31" s="3"/>
      <c r="AF31" s="3"/>
      <c r="AG31" s="3">
        <v>65546.39</v>
      </c>
      <c r="AH31" s="3"/>
      <c r="AI31" s="3"/>
      <c r="AK31" s="3">
        <f>SUM($F31:AJ31)</f>
        <v>65546.39</v>
      </c>
    </row>
    <row r="32" spans="1:39" x14ac:dyDescent="0.35">
      <c r="A32" s="41" t="s">
        <v>2489</v>
      </c>
      <c r="C32" s="5">
        <v>45540</v>
      </c>
      <c r="D32" s="3">
        <v>13905</v>
      </c>
      <c r="E32" s="42"/>
      <c r="F32" s="3"/>
      <c r="G32" s="3"/>
      <c r="H32" s="3"/>
      <c r="I32" s="3"/>
      <c r="J32" s="3">
        <v>13905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K32" s="3">
        <f>SUM($F32:AJ32)</f>
        <v>13905</v>
      </c>
    </row>
    <row r="33" spans="1:43" x14ac:dyDescent="0.35">
      <c r="A33" s="343" t="s">
        <v>2126</v>
      </c>
      <c r="B33" s="24"/>
      <c r="C33" s="5">
        <v>45542</v>
      </c>
      <c r="D33" s="3">
        <v>6499</v>
      </c>
      <c r="E33" s="344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0</v>
      </c>
      <c r="AE33" s="3"/>
      <c r="AF33" s="3"/>
      <c r="AG33" s="3"/>
      <c r="AH33" s="3"/>
      <c r="AI33" s="3"/>
      <c r="AJ33" s="3"/>
      <c r="AK33" s="3">
        <f>SUM($F33:AJ33)</f>
        <v>0</v>
      </c>
      <c r="AN33" s="26"/>
      <c r="AO33" s="3"/>
    </row>
    <row r="34" spans="1:43" x14ac:dyDescent="0.35">
      <c r="A34" s="343" t="s">
        <v>2487</v>
      </c>
      <c r="B34" s="24"/>
      <c r="C34" s="5">
        <v>45522</v>
      </c>
      <c r="D34" s="3">
        <v>56811</v>
      </c>
      <c r="E34" s="344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Z34" s="3"/>
      <c r="AA34" s="3"/>
      <c r="AB34" s="3"/>
      <c r="AC34" s="3"/>
      <c r="AD34" s="3">
        <v>0</v>
      </c>
      <c r="AE34" s="3"/>
      <c r="AF34" s="3"/>
      <c r="AG34" s="3">
        <v>56811</v>
      </c>
      <c r="AH34" s="3"/>
      <c r="AI34" s="3"/>
      <c r="AJ34" s="3"/>
      <c r="AK34" s="3">
        <f>SUM($F34:AJ34)</f>
        <v>56811</v>
      </c>
      <c r="AN34" s="26"/>
      <c r="AO34" s="3"/>
    </row>
    <row r="35" spans="1:43" x14ac:dyDescent="0.35">
      <c r="A35" s="343" t="s">
        <v>2477</v>
      </c>
      <c r="B35" s="24" t="s">
        <v>2478</v>
      </c>
      <c r="C35" s="5">
        <v>45525</v>
      </c>
      <c r="D35" s="3">
        <v>47951</v>
      </c>
      <c r="E35" s="344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>
        <v>47951</v>
      </c>
      <c r="AH35" s="3"/>
      <c r="AI35" s="3"/>
      <c r="AJ35" s="3"/>
      <c r="AK35" s="3">
        <f>SUM($F35:AJ35)</f>
        <v>47951</v>
      </c>
      <c r="AN35" s="26"/>
      <c r="AO35" s="3"/>
    </row>
    <row r="36" spans="1:43" x14ac:dyDescent="0.35">
      <c r="A36" s="343" t="s">
        <v>2488</v>
      </c>
      <c r="B36" s="24"/>
      <c r="C36" s="5">
        <v>45538</v>
      </c>
      <c r="D36" s="3">
        <v>21000</v>
      </c>
      <c r="E36" s="344"/>
      <c r="F36" s="3"/>
      <c r="G36" s="3"/>
      <c r="H36" s="3">
        <v>21000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21000</v>
      </c>
      <c r="AN36" s="26"/>
      <c r="AO36" s="3"/>
    </row>
    <row r="37" spans="1:43" x14ac:dyDescent="0.35">
      <c r="A37" s="343" t="s">
        <v>1161</v>
      </c>
      <c r="B37" s="24" t="s">
        <v>2490</v>
      </c>
      <c r="C37" s="5">
        <v>45541</v>
      </c>
      <c r="D37" s="3">
        <v>20500</v>
      </c>
      <c r="E37" s="344" t="s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>
        <v>20500</v>
      </c>
      <c r="AH37" s="3"/>
      <c r="AI37" s="3"/>
      <c r="AJ37" s="3"/>
      <c r="AK37" s="3">
        <f>SUM($F37:AJ37)</f>
        <v>20500</v>
      </c>
      <c r="AN37" s="26"/>
      <c r="AO37" s="3"/>
    </row>
    <row r="38" spans="1:43" x14ac:dyDescent="0.35">
      <c r="A38" s="343" t="s">
        <v>2491</v>
      </c>
      <c r="B38" s="24" t="s">
        <v>2038</v>
      </c>
      <c r="C38" s="5">
        <v>45546</v>
      </c>
      <c r="D38" s="3">
        <v>119000</v>
      </c>
      <c r="E38" s="344" t="s">
        <v>503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v>119000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119000</v>
      </c>
      <c r="AN38" s="26"/>
      <c r="AO38" s="3"/>
    </row>
    <row r="39" spans="1:43" x14ac:dyDescent="0.35">
      <c r="A39" s="343" t="s">
        <v>2502</v>
      </c>
      <c r="B39" s="24"/>
      <c r="C39" s="5">
        <v>45548</v>
      </c>
      <c r="D39" s="3">
        <v>21028</v>
      </c>
      <c r="E39" s="344" t="s">
        <v>503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v>21028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21028</v>
      </c>
      <c r="AN39" s="26"/>
      <c r="AO39" s="3"/>
    </row>
    <row r="40" spans="1:43" x14ac:dyDescent="0.35">
      <c r="A40" s="343" t="s">
        <v>1161</v>
      </c>
      <c r="B40" s="24" t="s">
        <v>2507</v>
      </c>
      <c r="C40" s="5">
        <v>45560</v>
      </c>
      <c r="D40" s="3">
        <v>13650</v>
      </c>
      <c r="E40" s="344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v>13650</v>
      </c>
      <c r="AH40" s="3"/>
      <c r="AI40" s="3"/>
      <c r="AJ40" s="3"/>
      <c r="AK40" s="3">
        <f>SUM($F40:AJ40)</f>
        <v>13650</v>
      </c>
      <c r="AN40" s="26"/>
      <c r="AO40" s="3"/>
    </row>
    <row r="41" spans="1:43" x14ac:dyDescent="0.35">
      <c r="A41" s="343"/>
      <c r="B41" s="24"/>
      <c r="C41" s="5"/>
      <c r="D41" s="3"/>
      <c r="E41" s="34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N41" s="26"/>
      <c r="AO41" s="3"/>
    </row>
    <row r="42" spans="1:43" x14ac:dyDescent="0.35">
      <c r="A42" s="343"/>
      <c r="B42" s="24"/>
      <c r="C42" s="5"/>
      <c r="D42" s="3"/>
      <c r="E42" s="34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0</v>
      </c>
      <c r="AN42" s="26"/>
      <c r="AO42" s="3"/>
    </row>
    <row r="43" spans="1:43" ht="15" thickBot="1" x14ac:dyDescent="0.4">
      <c r="A43" s="43" t="s">
        <v>2530</v>
      </c>
      <c r="B43" s="76" t="s">
        <v>337</v>
      </c>
      <c r="C43" s="45" t="s">
        <v>13</v>
      </c>
      <c r="D43" s="46">
        <f>+AK25*0.17</f>
        <v>72235.38</v>
      </c>
      <c r="E43" s="47"/>
      <c r="F43" s="3"/>
      <c r="G43" s="3" t="s">
        <v>13</v>
      </c>
      <c r="H43" s="3" t="s">
        <v>13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0</v>
      </c>
      <c r="AL43" s="6" t="s">
        <v>1846</v>
      </c>
      <c r="AM43" s="6" t="s">
        <v>13</v>
      </c>
      <c r="AN43" s="26" t="s">
        <v>13</v>
      </c>
      <c r="AO43" s="3"/>
    </row>
    <row r="44" spans="1:43" x14ac:dyDescent="0.35">
      <c r="A44" s="3" t="s">
        <v>13</v>
      </c>
      <c r="B44" s="24"/>
      <c r="C44" s="236" t="s">
        <v>13</v>
      </c>
      <c r="D44" s="3"/>
      <c r="E44" s="15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13</v>
      </c>
      <c r="AL44" s="22"/>
      <c r="AO44" s="14" t="s">
        <v>1558</v>
      </c>
      <c r="AP44" s="15">
        <f>+SUMIF(AL34:AL43,"CD",D34:D43)/1.19</f>
        <v>0</v>
      </c>
      <c r="AQ44" s="15" t="e">
        <f>+AP44*#REF!/#REF!</f>
        <v>#REF!</v>
      </c>
    </row>
    <row r="45" spans="1:43" x14ac:dyDescent="0.35">
      <c r="A45" s="4"/>
      <c r="B45" s="24"/>
      <c r="C45" s="67"/>
      <c r="D45" s="3"/>
      <c r="E45" s="153"/>
      <c r="F45" s="3" t="s">
        <v>13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13</v>
      </c>
      <c r="AL45" s="22"/>
      <c r="AO45" s="14" t="s">
        <v>1559</v>
      </c>
      <c r="AP45" s="15" t="e">
        <f>+#REF!-AP44</f>
        <v>#REF!</v>
      </c>
      <c r="AQ45" s="15" t="e">
        <f>+#REF!-AQ44</f>
        <v>#REF!</v>
      </c>
    </row>
    <row r="46" spans="1:43" x14ac:dyDescent="0.35">
      <c r="A46" s="4"/>
      <c r="B46" s="24"/>
      <c r="C46" s="67"/>
      <c r="D46" s="3"/>
      <c r="E46" s="15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 t="s">
        <v>13</v>
      </c>
      <c r="AL46" s="22"/>
      <c r="AO46" s="14" t="s">
        <v>1560</v>
      </c>
      <c r="AP46" s="327" t="e">
        <f>+AP45/#REF!</f>
        <v>#REF!</v>
      </c>
      <c r="AQ46" s="327" t="e">
        <f>+AQ45/#REF!</f>
        <v>#REF!</v>
      </c>
    </row>
    <row r="47" spans="1:43" x14ac:dyDescent="0.35">
      <c r="A47" s="4"/>
      <c r="B47" s="67"/>
      <c r="C47" s="236"/>
      <c r="E47" s="15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AJ47" s="3"/>
      <c r="AK47" s="3"/>
      <c r="AL47" s="22" t="s">
        <v>1388</v>
      </c>
      <c r="AM47" s="6" t="s">
        <v>1430</v>
      </c>
      <c r="AO47" s="14" t="s">
        <v>81</v>
      </c>
      <c r="AP47" s="15" t="e">
        <f>+SUMIF(AL34:AL43,"GAV",D34:D43)/1.19+SUMIF(#REF!,"REM",#REF!)</f>
        <v>#REF!</v>
      </c>
      <c r="AQ47" s="15" t="e">
        <f>+AP47*#REF!/#REF!</f>
        <v>#REF!</v>
      </c>
    </row>
    <row r="48" spans="1:43" x14ac:dyDescent="0.35">
      <c r="A48" s="2" t="s">
        <v>9</v>
      </c>
      <c r="D48" s="72" t="e">
        <f>SUM(D34:D46)-#REF!</f>
        <v>#REF!</v>
      </c>
      <c r="F48" s="3">
        <f t="shared" ref="F48:AJ48" si="2">SUM(F30:F47)</f>
        <v>0</v>
      </c>
      <c r="G48" s="3">
        <f t="shared" si="2"/>
        <v>0</v>
      </c>
      <c r="H48" s="3">
        <f t="shared" si="2"/>
        <v>21000</v>
      </c>
      <c r="I48" s="3">
        <f t="shared" si="2"/>
        <v>0</v>
      </c>
      <c r="J48" s="3">
        <f t="shared" si="2"/>
        <v>13905</v>
      </c>
      <c r="K48" s="3">
        <f t="shared" si="2"/>
        <v>0</v>
      </c>
      <c r="L48" s="3">
        <f t="shared" si="2"/>
        <v>0</v>
      </c>
      <c r="M48" s="3">
        <f t="shared" si="2"/>
        <v>0</v>
      </c>
      <c r="N48" s="3">
        <f t="shared" si="2"/>
        <v>0</v>
      </c>
      <c r="O48" s="3">
        <f t="shared" si="2"/>
        <v>0</v>
      </c>
      <c r="P48" s="3">
        <f t="shared" si="2"/>
        <v>119000</v>
      </c>
      <c r="Q48" s="3">
        <f t="shared" si="2"/>
        <v>0</v>
      </c>
      <c r="R48" s="3">
        <f t="shared" si="2"/>
        <v>21028</v>
      </c>
      <c r="S48" s="3">
        <f t="shared" si="2"/>
        <v>0</v>
      </c>
      <c r="T48" s="3">
        <f t="shared" si="2"/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3">
        <f t="shared" si="2"/>
        <v>0</v>
      </c>
      <c r="Y48" s="3">
        <f t="shared" si="2"/>
        <v>0</v>
      </c>
      <c r="Z48" s="3">
        <f t="shared" si="2"/>
        <v>0</v>
      </c>
      <c r="AA48" s="3">
        <f t="shared" si="2"/>
        <v>0</v>
      </c>
      <c r="AB48" s="3">
        <f t="shared" si="2"/>
        <v>0</v>
      </c>
      <c r="AC48" s="3">
        <f t="shared" si="2"/>
        <v>0</v>
      </c>
      <c r="AD48" s="3">
        <f t="shared" si="2"/>
        <v>0</v>
      </c>
      <c r="AE48" s="3">
        <f t="shared" si="2"/>
        <v>0</v>
      </c>
      <c r="AF48" s="3">
        <f t="shared" si="2"/>
        <v>0</v>
      </c>
      <c r="AG48" s="3">
        <f t="shared" si="2"/>
        <v>204458.39</v>
      </c>
      <c r="AH48" s="3">
        <f t="shared" si="2"/>
        <v>0</v>
      </c>
      <c r="AI48" s="3">
        <f t="shared" si="2"/>
        <v>0</v>
      </c>
      <c r="AJ48" s="3">
        <f t="shared" si="2"/>
        <v>0</v>
      </c>
      <c r="AK48" s="72">
        <f>SUM(AK30:AK46)-AK30</f>
        <v>379391.39</v>
      </c>
      <c r="AL48" s="324" t="e">
        <f>+D48-AK48</f>
        <v>#REF!</v>
      </c>
      <c r="AM48" s="324" t="e">
        <f>+AJ49+AL25-AL48-1200000</f>
        <v>#REF!</v>
      </c>
      <c r="AO48" s="14" t="s">
        <v>1561</v>
      </c>
      <c r="AP48" s="15" t="e">
        <f>+AP45-AP47</f>
        <v>#REF!</v>
      </c>
      <c r="AQ48" s="15" t="e">
        <f>+AQ45-AQ47</f>
        <v>#REF!</v>
      </c>
    </row>
    <row r="49" spans="1:43" x14ac:dyDescent="0.35">
      <c r="A49" t="s">
        <v>8</v>
      </c>
      <c r="F49" s="3">
        <f t="shared" ref="F49:AJ49" si="3">+F25+F3-F48</f>
        <v>1889226.2348390843</v>
      </c>
      <c r="G49" s="3">
        <f t="shared" si="3"/>
        <v>1889226.2348390843</v>
      </c>
      <c r="H49" s="3">
        <f t="shared" si="3"/>
        <v>1868226.2348390843</v>
      </c>
      <c r="I49" s="3">
        <f t="shared" si="3"/>
        <v>1990241.2348390843</v>
      </c>
      <c r="J49" s="3">
        <f t="shared" si="3"/>
        <v>1976336.2348390843</v>
      </c>
      <c r="K49" s="3">
        <f t="shared" si="3"/>
        <v>2233380.2348390846</v>
      </c>
      <c r="L49" s="3">
        <f t="shared" si="3"/>
        <v>2233380.2348390846</v>
      </c>
      <c r="M49" s="3">
        <f t="shared" si="3"/>
        <v>2233380.2348390846</v>
      </c>
      <c r="N49" s="3">
        <f t="shared" si="3"/>
        <v>2233380.2348390846</v>
      </c>
      <c r="O49" s="3">
        <f t="shared" si="3"/>
        <v>2233380.2348390846</v>
      </c>
      <c r="P49" s="3">
        <f t="shared" si="3"/>
        <v>2114380.2348390846</v>
      </c>
      <c r="Q49" s="3">
        <f t="shared" si="3"/>
        <v>2114380.2348390846</v>
      </c>
      <c r="R49" s="3">
        <f t="shared" si="3"/>
        <v>2093352.2348390846</v>
      </c>
      <c r="S49" s="3">
        <f t="shared" si="3"/>
        <v>2093352.2348390846</v>
      </c>
      <c r="T49" s="3">
        <f t="shared" si="3"/>
        <v>2093352.2348390846</v>
      </c>
      <c r="U49" s="3">
        <f t="shared" si="3"/>
        <v>2093352.2348390846</v>
      </c>
      <c r="V49" s="3">
        <f t="shared" si="3"/>
        <v>2093352.2348390846</v>
      </c>
      <c r="W49" s="3">
        <f t="shared" si="3"/>
        <v>2093352.2348390846</v>
      </c>
      <c r="X49" s="3">
        <f t="shared" si="3"/>
        <v>2093352.2348390846</v>
      </c>
      <c r="Y49" s="3">
        <f t="shared" si="3"/>
        <v>2093352.2348390846</v>
      </c>
      <c r="Z49" s="3">
        <f t="shared" si="3"/>
        <v>2093352.2348390846</v>
      </c>
      <c r="AA49" s="3">
        <f t="shared" si="3"/>
        <v>2093352.2348390846</v>
      </c>
      <c r="AB49" s="3">
        <f t="shared" si="3"/>
        <v>2093352.2348390846</v>
      </c>
      <c r="AC49" s="3">
        <f t="shared" si="3"/>
        <v>2093352.2348390846</v>
      </c>
      <c r="AD49" s="3">
        <f t="shared" si="3"/>
        <v>2139207.2348390846</v>
      </c>
      <c r="AE49" s="3">
        <f t="shared" si="3"/>
        <v>2139207.2348390846</v>
      </c>
      <c r="AF49" s="3">
        <f t="shared" si="3"/>
        <v>2139207.2348390846</v>
      </c>
      <c r="AG49" s="3">
        <f t="shared" si="3"/>
        <v>1934748.8448390844</v>
      </c>
      <c r="AH49" s="3">
        <f t="shared" si="3"/>
        <v>1934748.8448390844</v>
      </c>
      <c r="AI49" s="3">
        <f t="shared" si="3"/>
        <v>1934748.8448390844</v>
      </c>
      <c r="AJ49" s="3">
        <f t="shared" si="3"/>
        <v>1934748.8448390844</v>
      </c>
      <c r="AK49" s="3" t="s">
        <v>13</v>
      </c>
      <c r="AM49" s="22" t="s">
        <v>13</v>
      </c>
      <c r="AO49" s="14" t="s">
        <v>1563</v>
      </c>
      <c r="AP49" s="15">
        <f>+SUMIF(AL34:AL43,"GF",D34:D43)</f>
        <v>0</v>
      </c>
      <c r="AQ49" s="15">
        <v>0</v>
      </c>
    </row>
    <row r="50" spans="1:43" x14ac:dyDescent="0.35">
      <c r="F50" s="3"/>
      <c r="G50" s="3"/>
      <c r="H50" s="3"/>
      <c r="I50" s="3" t="s">
        <v>13</v>
      </c>
      <c r="J50" s="3"/>
      <c r="K50" s="3" t="s">
        <v>13</v>
      </c>
      <c r="L50" s="3"/>
      <c r="M50" s="3"/>
      <c r="N50" s="3"/>
      <c r="O50" s="3"/>
      <c r="P50" s="3" t="s">
        <v>13</v>
      </c>
      <c r="Q50" s="3"/>
      <c r="R50" s="3"/>
      <c r="S50" s="3"/>
      <c r="T50" s="3" t="s">
        <v>13</v>
      </c>
      <c r="U50" s="3"/>
      <c r="V50" s="3"/>
      <c r="W50" s="3"/>
      <c r="Y50" s="3" t="s">
        <v>13</v>
      </c>
      <c r="Z50" s="3" t="s">
        <v>13</v>
      </c>
      <c r="AA50" s="3" t="s">
        <v>13</v>
      </c>
      <c r="AB50" s="3" t="s">
        <v>13</v>
      </c>
      <c r="AO50" s="14" t="s">
        <v>82</v>
      </c>
      <c r="AP50" s="15">
        <v>0</v>
      </c>
      <c r="AQ50" s="15">
        <f>+SUMIF(AL34:AL43,"AF",D34:D43)/1.19</f>
        <v>0</v>
      </c>
    </row>
    <row r="51" spans="1:43" ht="15" thickBot="1" x14ac:dyDescent="0.4">
      <c r="F51" s="3" t="s">
        <v>13</v>
      </c>
      <c r="G51" s="3" t="s">
        <v>13</v>
      </c>
      <c r="H51" s="3" t="s">
        <v>13</v>
      </c>
      <c r="I51" s="3"/>
      <c r="J51" s="3"/>
      <c r="K51" s="3"/>
      <c r="L51" s="3"/>
      <c r="M51" s="3"/>
      <c r="N51" s="3"/>
      <c r="O51" s="3"/>
      <c r="P51" s="3" t="s">
        <v>13</v>
      </c>
      <c r="Q51" s="3" t="s">
        <v>13</v>
      </c>
      <c r="R51" s="3" t="s">
        <v>13</v>
      </c>
      <c r="S51" s="3"/>
      <c r="T51" s="3"/>
      <c r="U51" s="3" t="s">
        <v>13</v>
      </c>
      <c r="V51" s="3"/>
      <c r="W51" s="3"/>
      <c r="AB51" s="3" t="s">
        <v>13</v>
      </c>
      <c r="AG51" s="3" t="s">
        <v>13</v>
      </c>
      <c r="AJ51" s="3" t="s">
        <v>13</v>
      </c>
      <c r="AO51" s="16"/>
      <c r="AP51" s="19" t="e">
        <f>+AP48-AP49-AP50</f>
        <v>#REF!</v>
      </c>
      <c r="AQ51" s="19" t="e">
        <f>+AQ48-AQ49-AQ50</f>
        <v>#REF!</v>
      </c>
    </row>
    <row r="52" spans="1:43" x14ac:dyDescent="0.35">
      <c r="A52" t="s">
        <v>2163</v>
      </c>
      <c r="B52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2" s="3" t="e">
        <f>+B52*0.16</f>
        <v>#REF!</v>
      </c>
      <c r="E52" s="6" t="s">
        <v>13</v>
      </c>
      <c r="F52" s="3"/>
      <c r="G52" s="3" t="s">
        <v>13</v>
      </c>
      <c r="H52" s="3" t="s">
        <v>13</v>
      </c>
      <c r="I52" s="3"/>
      <c r="J52" s="3"/>
      <c r="K52" s="3"/>
      <c r="L52" s="3"/>
      <c r="M52" s="3"/>
      <c r="N52" s="3"/>
      <c r="O52" s="3"/>
      <c r="W52" s="3"/>
      <c r="AB52" s="3" t="s">
        <v>13</v>
      </c>
      <c r="AG52" s="3" t="s">
        <v>13</v>
      </c>
      <c r="AJ52" s="3" t="s">
        <v>13</v>
      </c>
      <c r="AO52" t="s">
        <v>1961</v>
      </c>
      <c r="AP52" s="26" t="e">
        <f ca="1">+AP$51+'May-23'!AP82</f>
        <v>#REF!</v>
      </c>
      <c r="AQ52" s="3" t="e">
        <f ca="1">+AQ$51+'May-23'!AQ82</f>
        <v>#REF!</v>
      </c>
    </row>
    <row r="53" spans="1:43" x14ac:dyDescent="0.35">
      <c r="F53" s="3"/>
      <c r="G53" s="3" t="s">
        <v>13</v>
      </c>
      <c r="H53" s="3"/>
      <c r="I53" s="3"/>
      <c r="J53" s="3"/>
      <c r="K53" s="3"/>
      <c r="L53" s="3"/>
      <c r="M53" s="3"/>
      <c r="N53" s="3"/>
      <c r="O53" s="3"/>
      <c r="W53" s="3" t="s">
        <v>13</v>
      </c>
      <c r="AB53" s="3" t="s">
        <v>13</v>
      </c>
      <c r="AD53" t="s">
        <v>13</v>
      </c>
      <c r="AE53" t="s">
        <v>13</v>
      </c>
      <c r="AG53" s="3" t="s">
        <v>13</v>
      </c>
      <c r="AJ53" s="3" t="s">
        <v>13</v>
      </c>
      <c r="AO53" t="s">
        <v>1960</v>
      </c>
      <c r="AP53" s="26" t="e">
        <f ca="1">+AP$51+'May-23'!AP83</f>
        <v>#REF!</v>
      </c>
      <c r="AQ53" s="3" t="e">
        <f ca="1">+AQ$51+'May-23'!AQ83</f>
        <v>#REF!</v>
      </c>
    </row>
    <row r="54" spans="1:43" x14ac:dyDescent="0.35">
      <c r="A54" t="s">
        <v>13</v>
      </c>
      <c r="F54" s="3" t="s">
        <v>13</v>
      </c>
      <c r="G54" s="3" t="s">
        <v>13</v>
      </c>
      <c r="H54" s="3"/>
      <c r="I54" s="3"/>
      <c r="J54" s="3"/>
      <c r="K54" s="3"/>
      <c r="L54" s="3"/>
      <c r="M54" s="3">
        <v>538500</v>
      </c>
      <c r="N54" s="3"/>
      <c r="O54" s="3"/>
      <c r="W54" s="3"/>
      <c r="AB54" s="3" t="s">
        <v>13</v>
      </c>
      <c r="AD54" t="s">
        <v>13</v>
      </c>
      <c r="AG54" s="3" t="s">
        <v>13</v>
      </c>
      <c r="AJ54" s="3" t="s">
        <v>13</v>
      </c>
    </row>
    <row r="55" spans="1:43" x14ac:dyDescent="0.35">
      <c r="B55" t="s">
        <v>13</v>
      </c>
      <c r="F55" s="3" t="s">
        <v>13</v>
      </c>
      <c r="G55" s="3" t="s">
        <v>13</v>
      </c>
      <c r="H55" s="3"/>
      <c r="I55" s="3"/>
      <c r="J55" s="3"/>
      <c r="K55" s="3"/>
      <c r="L55" s="3" t="s">
        <v>13</v>
      </c>
      <c r="M55" s="3">
        <v>682100</v>
      </c>
      <c r="N55" s="3"/>
      <c r="O55" s="3"/>
      <c r="W55" s="3"/>
      <c r="AB55" s="3" t="s">
        <v>13</v>
      </c>
      <c r="AG55" s="3" t="s">
        <v>13</v>
      </c>
      <c r="AJ55" s="3" t="s">
        <v>13</v>
      </c>
      <c r="AL55"/>
      <c r="AM55"/>
    </row>
    <row r="56" spans="1:43" x14ac:dyDescent="0.35">
      <c r="F56" s="3"/>
      <c r="G56" s="3" t="s">
        <v>13</v>
      </c>
      <c r="H56" s="3"/>
      <c r="I56" s="3"/>
      <c r="J56" s="3"/>
      <c r="K56" s="3"/>
      <c r="L56" s="3"/>
      <c r="M56" s="3">
        <f>SUM(M54:M55)</f>
        <v>1220600</v>
      </c>
      <c r="AG56" s="3" t="s">
        <v>13</v>
      </c>
      <c r="AJ56" s="3" t="s">
        <v>13</v>
      </c>
      <c r="AL56"/>
      <c r="AM56"/>
    </row>
    <row r="57" spans="1:43" x14ac:dyDescent="0.35">
      <c r="B57" t="s">
        <v>13</v>
      </c>
      <c r="F57" s="3"/>
      <c r="G57" s="3" t="s">
        <v>13</v>
      </c>
      <c r="H57" s="3"/>
      <c r="I57" s="3"/>
      <c r="J57" s="3"/>
      <c r="K57" s="3"/>
      <c r="L57" s="3"/>
      <c r="AB57" t="s">
        <v>13</v>
      </c>
      <c r="AG57" s="3" t="s">
        <v>13</v>
      </c>
      <c r="AJ57" s="3" t="s">
        <v>13</v>
      </c>
      <c r="AL57"/>
      <c r="AM57"/>
      <c r="AQ57" t="s">
        <v>13</v>
      </c>
    </row>
    <row r="58" spans="1:43" x14ac:dyDescent="0.35">
      <c r="B58" t="s">
        <v>13</v>
      </c>
      <c r="C58" t="s">
        <v>13</v>
      </c>
      <c r="F58" s="3"/>
      <c r="G58" s="3" t="s">
        <v>13</v>
      </c>
      <c r="H58" s="3"/>
      <c r="I58" s="3"/>
      <c r="J58" s="3"/>
      <c r="K58" s="3"/>
      <c r="L58" s="3"/>
      <c r="AG58" s="3" t="s">
        <v>13</v>
      </c>
      <c r="AJ58" s="3" t="s">
        <v>13</v>
      </c>
      <c r="AL58"/>
      <c r="AM58"/>
    </row>
    <row r="59" spans="1:43" x14ac:dyDescent="0.35">
      <c r="B59" t="s">
        <v>13</v>
      </c>
      <c r="C59" t="s">
        <v>13</v>
      </c>
      <c r="F59" s="3"/>
      <c r="G59" s="3" t="s">
        <v>2417</v>
      </c>
      <c r="H59" s="3"/>
      <c r="I59" s="3"/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F60" s="3"/>
      <c r="G60" s="3" t="s">
        <v>13</v>
      </c>
      <c r="H60" s="3"/>
      <c r="I60" s="3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F61" s="3"/>
      <c r="G61" s="288">
        <f>212-60</f>
        <v>152</v>
      </c>
      <c r="H61" s="288">
        <f>+G61-60</f>
        <v>92</v>
      </c>
      <c r="I61" s="288">
        <f>+H61/3</f>
        <v>30.666666666666668</v>
      </c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288">
        <f>+G61/2</f>
        <v>76</v>
      </c>
      <c r="H62" s="288"/>
      <c r="I62" s="288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288">
        <f>+G62/2</f>
        <v>38</v>
      </c>
      <c r="H63" s="288"/>
      <c r="I63" s="288">
        <f>I61*3+60</f>
        <v>152</v>
      </c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288">
        <f>+G63-15</f>
        <v>23</v>
      </c>
      <c r="H64" s="288"/>
      <c r="I64" s="288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G68" s="3" t="s">
        <v>13</v>
      </c>
      <c r="AJ68" s="3" t="s">
        <v>13</v>
      </c>
      <c r="AL68"/>
      <c r="AM68"/>
    </row>
    <row r="69" spans="2:39" x14ac:dyDescent="0.35">
      <c r="B69" t="s">
        <v>13</v>
      </c>
      <c r="F69" s="3"/>
      <c r="G69" s="3" t="s">
        <v>13</v>
      </c>
      <c r="H69" s="3"/>
      <c r="I69" s="3"/>
      <c r="J69" s="3"/>
      <c r="K69" s="3"/>
      <c r="L69" s="3"/>
      <c r="AL69"/>
      <c r="AM69"/>
    </row>
    <row r="70" spans="2:39" x14ac:dyDescent="0.35">
      <c r="B70" t="s">
        <v>13</v>
      </c>
      <c r="F70" s="3"/>
      <c r="G70" s="3" t="s">
        <v>13</v>
      </c>
      <c r="H70" s="3"/>
      <c r="I70" s="3"/>
      <c r="J70" s="3"/>
      <c r="K70" s="3"/>
      <c r="L70" s="3"/>
      <c r="AL70"/>
      <c r="AM70"/>
    </row>
    <row r="71" spans="2:39" x14ac:dyDescent="0.35">
      <c r="B71" t="s">
        <v>13</v>
      </c>
      <c r="E71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</sheetData>
  <phoneticPr fontId="20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CAB2-285B-47BC-9BBA-77932D81F8E8}">
  <dimension ref="A1:AQ105"/>
  <sheetViews>
    <sheetView zoomScale="83" zoomScaleNormal="83" workbookViewId="0">
      <pane xSplit="5" ySplit="3" topLeftCell="AG9" activePane="bottomRight" state="frozen"/>
      <selection pane="topRight" activeCell="F1" sqref="F1"/>
      <selection pane="bottomLeft" activeCell="A4" sqref="A4"/>
      <selection pane="bottomRight" activeCell="D45" sqref="D45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1.6328125" customWidth="1"/>
    <col min="31" max="31" width="11.26953125" customWidth="1"/>
    <col min="32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45566</v>
      </c>
      <c r="G2" s="1">
        <v>45567</v>
      </c>
      <c r="H2" s="1">
        <v>45568</v>
      </c>
      <c r="I2" s="1">
        <v>45569</v>
      </c>
      <c r="J2" s="1">
        <v>45570</v>
      </c>
      <c r="K2" s="1">
        <v>45571</v>
      </c>
      <c r="L2" s="1">
        <v>45572</v>
      </c>
      <c r="M2" s="1">
        <v>45573</v>
      </c>
      <c r="N2" s="1">
        <v>45574</v>
      </c>
      <c r="O2" s="1">
        <v>45575</v>
      </c>
      <c r="P2" s="1">
        <v>45576</v>
      </c>
      <c r="Q2" s="1">
        <v>45577</v>
      </c>
      <c r="R2" s="1">
        <v>45578</v>
      </c>
      <c r="S2" s="1">
        <v>45579</v>
      </c>
      <c r="T2" s="1">
        <v>45580</v>
      </c>
      <c r="U2" s="1">
        <v>45581</v>
      </c>
      <c r="V2" s="1">
        <v>45582</v>
      </c>
      <c r="W2" s="1">
        <v>45583</v>
      </c>
      <c r="X2" s="1">
        <v>45584</v>
      </c>
      <c r="Y2" s="1">
        <v>45585</v>
      </c>
      <c r="Z2" s="1">
        <v>45586</v>
      </c>
      <c r="AA2" s="1">
        <v>45587</v>
      </c>
      <c r="AB2" s="1">
        <v>45588</v>
      </c>
      <c r="AC2" s="1">
        <v>45589</v>
      </c>
      <c r="AD2" s="1">
        <v>45590</v>
      </c>
      <c r="AE2" s="1">
        <v>45591</v>
      </c>
      <c r="AF2" s="1">
        <v>45592</v>
      </c>
      <c r="AG2" s="1">
        <v>45593</v>
      </c>
      <c r="AH2" s="1">
        <v>45594</v>
      </c>
      <c r="AI2" s="1">
        <v>45595</v>
      </c>
      <c r="AJ2" s="1">
        <v>45596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+'Sep-24'!AJ49</f>
        <v>1934748.8448390844</v>
      </c>
      <c r="G3" s="3">
        <f t="shared" ref="G3:AJ3" si="0">+F51</f>
        <v>1934748.8448390844</v>
      </c>
      <c r="H3" s="3">
        <f t="shared" si="0"/>
        <v>1934748.8448390844</v>
      </c>
      <c r="I3" s="3">
        <f t="shared" si="0"/>
        <v>1934748.8448390844</v>
      </c>
      <c r="J3" s="3">
        <f t="shared" si="0"/>
        <v>1934748.8448390844</v>
      </c>
      <c r="K3" s="3">
        <f t="shared" si="0"/>
        <v>1934748.8448390844</v>
      </c>
      <c r="L3" s="3">
        <f t="shared" si="0"/>
        <v>1934748.8448390844</v>
      </c>
      <c r="M3" s="3">
        <f t="shared" si="0"/>
        <v>1920843.8448390844</v>
      </c>
      <c r="N3" s="3">
        <f t="shared" si="0"/>
        <v>1920843.8448390844</v>
      </c>
      <c r="O3" s="3">
        <f t="shared" si="0"/>
        <v>2049365.8448390844</v>
      </c>
      <c r="P3" s="3">
        <f t="shared" si="0"/>
        <v>2049365.8448390844</v>
      </c>
      <c r="Q3" s="3">
        <f t="shared" si="0"/>
        <v>2049365.8448390844</v>
      </c>
      <c r="R3" s="3">
        <f t="shared" si="0"/>
        <v>2049365.8448390844</v>
      </c>
      <c r="S3" s="3">
        <f t="shared" si="0"/>
        <v>2049365.8448390844</v>
      </c>
      <c r="T3" s="3">
        <f t="shared" si="0"/>
        <v>2049365.8448390844</v>
      </c>
      <c r="U3" s="3">
        <f t="shared" si="0"/>
        <v>2049365.8448390844</v>
      </c>
      <c r="V3" s="3">
        <f t="shared" si="0"/>
        <v>2049365.8448390844</v>
      </c>
      <c r="W3" s="3">
        <f t="shared" si="0"/>
        <v>2212714.8448390844</v>
      </c>
      <c r="X3" s="3">
        <f t="shared" si="0"/>
        <v>2212714.8448390844</v>
      </c>
      <c r="Y3" s="3">
        <f t="shared" si="0"/>
        <v>2212714.8448390844</v>
      </c>
      <c r="Z3" s="3">
        <f t="shared" si="0"/>
        <v>2212714.8448390844</v>
      </c>
      <c r="AA3" s="3">
        <f t="shared" si="0"/>
        <v>2212714.8448390844</v>
      </c>
      <c r="AB3" s="3">
        <f t="shared" si="0"/>
        <v>2137461.8448390844</v>
      </c>
      <c r="AC3" s="3">
        <f t="shared" si="0"/>
        <v>2137461.8448390844</v>
      </c>
      <c r="AD3" s="3">
        <f t="shared" si="0"/>
        <v>2137461.8448390844</v>
      </c>
      <c r="AE3" s="3">
        <f t="shared" si="0"/>
        <v>2243084.8448390844</v>
      </c>
      <c r="AF3" s="3">
        <f t="shared" si="0"/>
        <v>2243084.8448390844</v>
      </c>
      <c r="AG3" s="3">
        <f t="shared" si="0"/>
        <v>2243084.8448390844</v>
      </c>
      <c r="AH3" s="3">
        <f t="shared" si="0"/>
        <v>2243084.8448390844</v>
      </c>
      <c r="AI3" s="3">
        <f t="shared" si="0"/>
        <v>3014217.8448390844</v>
      </c>
      <c r="AJ3" s="3">
        <f t="shared" si="0"/>
        <v>3014217.8448390844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2404</v>
      </c>
      <c r="B6" s="66" t="s">
        <v>2403</v>
      </c>
      <c r="C6" s="38">
        <v>45386</v>
      </c>
      <c r="D6" s="39">
        <v>124390</v>
      </c>
      <c r="E6" s="40" t="s">
        <v>2402</v>
      </c>
      <c r="F6" s="3"/>
      <c r="G6" s="3"/>
      <c r="H6" s="3"/>
      <c r="I6" s="3"/>
      <c r="J6" s="3"/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ht="15" thickBot="1" x14ac:dyDescent="0.4">
      <c r="A7" s="43" t="s">
        <v>2455</v>
      </c>
      <c r="B7" s="76" t="s">
        <v>2456</v>
      </c>
      <c r="C7" s="45">
        <v>45492</v>
      </c>
      <c r="D7" s="46">
        <v>128522</v>
      </c>
      <c r="E7" s="47" t="s">
        <v>2325</v>
      </c>
      <c r="F7" s="3"/>
      <c r="G7" s="3"/>
      <c r="H7" s="3"/>
      <c r="I7" s="3"/>
      <c r="J7" s="3"/>
      <c r="K7" s="3"/>
      <c r="L7" s="3"/>
      <c r="M7" s="3"/>
      <c r="N7" s="3">
        <v>128522</v>
      </c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128522</v>
      </c>
      <c r="AL7" s="22"/>
    </row>
    <row r="8" spans="1:39" x14ac:dyDescent="0.35">
      <c r="A8" s="41" t="s">
        <v>2482</v>
      </c>
      <c r="B8" t="s">
        <v>2483</v>
      </c>
      <c r="C8" s="5">
        <v>45533</v>
      </c>
      <c r="D8" s="3">
        <v>128522</v>
      </c>
      <c r="E8" s="42" t="s">
        <v>2325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>
        <v>128522</v>
      </c>
      <c r="AI8" s="3"/>
      <c r="AK8" s="3">
        <f>SUM($F8:AJ8)</f>
        <v>128522</v>
      </c>
      <c r="AL8" s="22"/>
    </row>
    <row r="9" spans="1:39" ht="15" thickBot="1" x14ac:dyDescent="0.4">
      <c r="A9" s="43" t="s">
        <v>2497</v>
      </c>
      <c r="B9" s="76" t="s">
        <v>1147</v>
      </c>
      <c r="C9" s="45">
        <v>45535</v>
      </c>
      <c r="D9" s="46">
        <v>87189</v>
      </c>
      <c r="E9" s="47" t="s">
        <v>2325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>
        <v>87189</v>
      </c>
      <c r="AI9" s="3"/>
      <c r="AK9" s="3">
        <f>SUM($F9:AJ9)</f>
        <v>87189</v>
      </c>
      <c r="AL9" s="22"/>
    </row>
    <row r="10" spans="1:39" x14ac:dyDescent="0.35">
      <c r="A10" s="41" t="s">
        <v>2500</v>
      </c>
      <c r="B10" t="s">
        <v>2492</v>
      </c>
      <c r="C10" s="5">
        <v>45542</v>
      </c>
      <c r="D10" s="3">
        <v>163349</v>
      </c>
      <c r="E10" s="42" t="s">
        <v>2481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163349</v>
      </c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163349</v>
      </c>
      <c r="AL10" s="22"/>
    </row>
    <row r="11" spans="1:39" x14ac:dyDescent="0.35">
      <c r="A11" s="41" t="s">
        <v>2498</v>
      </c>
      <c r="B11" t="s">
        <v>2493</v>
      </c>
      <c r="C11" s="5">
        <v>45542</v>
      </c>
      <c r="D11" s="3">
        <v>87189</v>
      </c>
      <c r="E11" s="42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>
        <v>87189</v>
      </c>
      <c r="AI11" s="3"/>
      <c r="AK11" s="3">
        <f>SUM($F11:AJ11)</f>
        <v>87189</v>
      </c>
      <c r="AL11" s="22"/>
    </row>
    <row r="12" spans="1:39" x14ac:dyDescent="0.35">
      <c r="A12" s="41" t="s">
        <v>2499</v>
      </c>
      <c r="B12" t="s">
        <v>2494</v>
      </c>
      <c r="C12" s="5">
        <v>45548</v>
      </c>
      <c r="D12" s="3">
        <v>119200</v>
      </c>
      <c r="E12" s="42" t="s">
        <v>2325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>
        <v>119200</v>
      </c>
      <c r="AI12" s="3"/>
      <c r="AK12" s="3">
        <f>SUM($F12:AJ12)</f>
        <v>119200</v>
      </c>
      <c r="AL12" s="22"/>
    </row>
    <row r="13" spans="1:39" x14ac:dyDescent="0.35">
      <c r="A13" s="41" t="s">
        <v>2501</v>
      </c>
      <c r="B13" t="s">
        <v>2495</v>
      </c>
      <c r="C13" s="5">
        <v>45555</v>
      </c>
      <c r="D13" s="3">
        <v>105623</v>
      </c>
      <c r="E13" s="42" t="s">
        <v>2481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>
        <v>105623</v>
      </c>
      <c r="AE13" s="3"/>
      <c r="AF13" s="3"/>
      <c r="AG13" s="3"/>
      <c r="AH13" s="3"/>
      <c r="AI13" s="3"/>
      <c r="AK13" s="3">
        <f>SUM($F13:AJ13)</f>
        <v>105623</v>
      </c>
      <c r="AL13" s="22"/>
    </row>
    <row r="14" spans="1:39" x14ac:dyDescent="0.35">
      <c r="A14" s="41" t="s">
        <v>2503</v>
      </c>
      <c r="B14" t="s">
        <v>2504</v>
      </c>
      <c r="C14" s="5">
        <v>45560</v>
      </c>
      <c r="D14" s="3">
        <v>87189</v>
      </c>
      <c r="E14" s="42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>
        <v>87189</v>
      </c>
      <c r="AI14" s="3"/>
      <c r="AK14" s="3">
        <f>SUM($F14:AJ14)</f>
        <v>87189</v>
      </c>
      <c r="AL14" s="22"/>
    </row>
    <row r="15" spans="1:39" x14ac:dyDescent="0.35">
      <c r="A15" s="41" t="s">
        <v>2505</v>
      </c>
      <c r="B15" t="s">
        <v>2506</v>
      </c>
      <c r="C15" s="5">
        <v>45562</v>
      </c>
      <c r="D15" s="3">
        <v>80682</v>
      </c>
      <c r="E15" s="42" t="s">
        <v>2481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2514</v>
      </c>
      <c r="B16" t="s">
        <v>2510</v>
      </c>
      <c r="C16" s="5">
        <v>45567</v>
      </c>
      <c r="D16" s="3">
        <v>119200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>
        <v>119200</v>
      </c>
      <c r="AI16" s="3"/>
      <c r="AK16" s="3">
        <f>SUM($F16:AJ16)</f>
        <v>119200</v>
      </c>
      <c r="AL16" s="22"/>
    </row>
    <row r="17" spans="1:39" x14ac:dyDescent="0.35">
      <c r="A17" s="41" t="s">
        <v>2515</v>
      </c>
      <c r="B17" t="s">
        <v>2511</v>
      </c>
      <c r="C17" s="5">
        <v>45570</v>
      </c>
      <c r="D17" s="3">
        <v>87189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>
        <v>87189</v>
      </c>
      <c r="AI17" s="3"/>
      <c r="AK17" s="3">
        <f>SUM($F17:AJ17)</f>
        <v>87189</v>
      </c>
      <c r="AL17" s="22"/>
    </row>
    <row r="18" spans="1:39" x14ac:dyDescent="0.35">
      <c r="A18" s="41" t="s">
        <v>2516</v>
      </c>
      <c r="B18" t="s">
        <v>2512</v>
      </c>
      <c r="C18" s="5">
        <v>45576</v>
      </c>
      <c r="D18" s="3">
        <v>119200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 t="s">
        <v>13</v>
      </c>
      <c r="AH18" s="3">
        <f>771133-SUM(AH8:AH17)</f>
        <v>55455</v>
      </c>
      <c r="AI18" s="3"/>
      <c r="AK18" s="3">
        <f>SUM($F18:AJ18)</f>
        <v>55455</v>
      </c>
      <c r="AL18" s="22"/>
    </row>
    <row r="19" spans="1:39" x14ac:dyDescent="0.35">
      <c r="A19" s="41" t="s">
        <v>2517</v>
      </c>
      <c r="B19" t="s">
        <v>2513</v>
      </c>
      <c r="C19" s="5">
        <v>45576</v>
      </c>
      <c r="D19" s="3">
        <v>163349</v>
      </c>
      <c r="E19" s="42" t="s">
        <v>2481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 t="s">
        <v>13</v>
      </c>
      <c r="AH19" s="3" t="s">
        <v>13</v>
      </c>
      <c r="AI19" s="3"/>
      <c r="AK19" s="3">
        <f>SUM($F19:AJ19)</f>
        <v>0</v>
      </c>
      <c r="AL19" s="22"/>
    </row>
    <row r="20" spans="1:39" x14ac:dyDescent="0.35">
      <c r="A20" s="41" t="s">
        <v>2518</v>
      </c>
      <c r="B20" t="s">
        <v>2519</v>
      </c>
      <c r="C20" s="5">
        <v>45583</v>
      </c>
      <c r="D20" s="3">
        <v>106824</v>
      </c>
      <c r="E20" s="42" t="s">
        <v>2325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 t="s">
        <v>13</v>
      </c>
      <c r="AI20" s="3"/>
      <c r="AK20" s="3">
        <f>SUM($F20:AJ20)</f>
        <v>0</v>
      </c>
      <c r="AL20" s="22"/>
    </row>
    <row r="21" spans="1:39" x14ac:dyDescent="0.35">
      <c r="A21" s="41" t="s">
        <v>2521</v>
      </c>
      <c r="B21" t="s">
        <v>2522</v>
      </c>
      <c r="C21" s="5">
        <v>45590</v>
      </c>
      <c r="D21" s="3">
        <v>163349</v>
      </c>
      <c r="E21" s="42" t="s">
        <v>2481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9" x14ac:dyDescent="0.35">
      <c r="A22" s="41" t="s">
        <v>2523</v>
      </c>
      <c r="B22" t="s">
        <v>2524</v>
      </c>
      <c r="C22" s="5">
        <v>45590</v>
      </c>
      <c r="D22" s="3">
        <v>87189</v>
      </c>
      <c r="E22" s="42" t="s">
        <v>2325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9" x14ac:dyDescent="0.35">
      <c r="A23" s="41"/>
      <c r="C23" s="5"/>
      <c r="D23" s="3"/>
      <c r="E23" s="4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9" x14ac:dyDescent="0.35">
      <c r="A24" s="41"/>
      <c r="C24" s="5"/>
      <c r="D24" s="3"/>
      <c r="E24" s="4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39" ht="15" thickBot="1" x14ac:dyDescent="0.4">
      <c r="A25" s="43"/>
      <c r="B25" s="76"/>
      <c r="C25" s="45"/>
      <c r="D25" s="46"/>
      <c r="E25" s="4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39" x14ac:dyDescent="0.35">
      <c r="D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24" t="s">
        <v>1962</v>
      </c>
      <c r="AL26" s="22" t="s">
        <v>1352</v>
      </c>
    </row>
    <row r="27" spans="1:39" x14ac:dyDescent="0.35">
      <c r="A27" s="2" t="s">
        <v>1676</v>
      </c>
      <c r="D27" s="3">
        <f>SUM(D7:D25)</f>
        <v>1833765</v>
      </c>
      <c r="F27" s="3">
        <f t="shared" ref="F27:AJ27" si="1">SUM(F5:F25)</f>
        <v>0</v>
      </c>
      <c r="G27" s="3">
        <f t="shared" si="1"/>
        <v>0</v>
      </c>
      <c r="H27" s="3">
        <f t="shared" si="1"/>
        <v>0</v>
      </c>
      <c r="I27" s="3">
        <f t="shared" si="1"/>
        <v>0</v>
      </c>
      <c r="J27" s="3">
        <f t="shared" si="1"/>
        <v>0</v>
      </c>
      <c r="K27" s="3">
        <f t="shared" si="1"/>
        <v>0</v>
      </c>
      <c r="L27" s="3">
        <f t="shared" si="1"/>
        <v>0</v>
      </c>
      <c r="M27" s="3">
        <f t="shared" si="1"/>
        <v>0</v>
      </c>
      <c r="N27" s="3">
        <f t="shared" si="1"/>
        <v>128522</v>
      </c>
      <c r="O27" s="3">
        <f t="shared" si="1"/>
        <v>0</v>
      </c>
      <c r="P27" s="3">
        <f t="shared" si="1"/>
        <v>0</v>
      </c>
      <c r="Q27" s="3">
        <f t="shared" si="1"/>
        <v>0</v>
      </c>
      <c r="R27" s="3">
        <f t="shared" si="1"/>
        <v>0</v>
      </c>
      <c r="S27" s="3">
        <f t="shared" si="1"/>
        <v>0</v>
      </c>
      <c r="T27" s="3">
        <f t="shared" si="1"/>
        <v>0</v>
      </c>
      <c r="U27" s="3">
        <f t="shared" si="1"/>
        <v>0</v>
      </c>
      <c r="V27" s="3">
        <f t="shared" si="1"/>
        <v>163349</v>
      </c>
      <c r="W27" s="3">
        <f t="shared" si="1"/>
        <v>0</v>
      </c>
      <c r="X27" s="3">
        <f t="shared" si="1"/>
        <v>0</v>
      </c>
      <c r="Y27" s="3">
        <f t="shared" si="1"/>
        <v>0</v>
      </c>
      <c r="Z27" s="3">
        <f t="shared" si="1"/>
        <v>0</v>
      </c>
      <c r="AA27" s="3">
        <f t="shared" si="1"/>
        <v>0</v>
      </c>
      <c r="AB27" s="3">
        <f t="shared" si="1"/>
        <v>0</v>
      </c>
      <c r="AC27" s="3">
        <f t="shared" si="1"/>
        <v>0</v>
      </c>
      <c r="AD27" s="3">
        <f t="shared" si="1"/>
        <v>105623</v>
      </c>
      <c r="AE27" s="3">
        <f t="shared" si="1"/>
        <v>0</v>
      </c>
      <c r="AF27" s="3">
        <f t="shared" si="1"/>
        <v>0</v>
      </c>
      <c r="AG27" s="3">
        <f t="shared" si="1"/>
        <v>0</v>
      </c>
      <c r="AH27" s="3">
        <f t="shared" si="1"/>
        <v>771133</v>
      </c>
      <c r="AI27" s="3">
        <f t="shared" si="1"/>
        <v>0</v>
      </c>
      <c r="AJ27" s="3">
        <f t="shared" si="1"/>
        <v>0</v>
      </c>
      <c r="AK27" s="72">
        <f>SUM(AK6:AK25)</f>
        <v>1168627</v>
      </c>
      <c r="AL27" s="22">
        <f>+D28-AK27</f>
        <v>789528</v>
      </c>
      <c r="AM27" s="6" t="s">
        <v>13</v>
      </c>
    </row>
    <row r="28" spans="1:39" x14ac:dyDescent="0.35">
      <c r="A28" s="2" t="s">
        <v>1780</v>
      </c>
      <c r="B28" t="s">
        <v>13</v>
      </c>
      <c r="C28" s="3" t="s">
        <v>13</v>
      </c>
      <c r="D28" s="3">
        <f>SUM(D6:D25)</f>
        <v>1958155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9" x14ac:dyDescent="0.35">
      <c r="A29" s="2"/>
      <c r="C29" s="3"/>
      <c r="D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9" x14ac:dyDescent="0.35">
      <c r="A30" s="2" t="s">
        <v>2</v>
      </c>
      <c r="C30" t="s">
        <v>13</v>
      </c>
      <c r="F30" s="3"/>
      <c r="G30" s="3"/>
      <c r="H30" s="3"/>
      <c r="I30" s="3"/>
      <c r="J30" s="3"/>
      <c r="K30" s="3"/>
      <c r="L30" s="3" t="s">
        <v>13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9" ht="15" thickBot="1" x14ac:dyDescent="0.4">
      <c r="A31" s="404">
        <v>45178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9" x14ac:dyDescent="0.35">
      <c r="A32" s="358" t="s">
        <v>1008</v>
      </c>
      <c r="B32" s="37" t="s">
        <v>337</v>
      </c>
      <c r="C32" s="38"/>
      <c r="D32" s="39">
        <v>1900000</v>
      </c>
      <c r="E32" s="40"/>
      <c r="F32" s="3"/>
      <c r="G32" s="3"/>
      <c r="H32" s="3" t="s">
        <v>13</v>
      </c>
      <c r="I32" s="3" t="s">
        <v>13</v>
      </c>
      <c r="J32" s="3"/>
      <c r="K32" s="3"/>
      <c r="L32" s="3"/>
      <c r="M32" s="3"/>
      <c r="N32" s="3"/>
      <c r="O32" s="3"/>
      <c r="P32" s="3" t="s">
        <v>13</v>
      </c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 t="s">
        <v>13</v>
      </c>
      <c r="AE32" s="3"/>
      <c r="AF32" s="3"/>
      <c r="AG32" s="3"/>
      <c r="AH32" s="3"/>
      <c r="AI32" s="3"/>
      <c r="AK32" s="3">
        <f>SUM($F32:AJ32)</f>
        <v>0</v>
      </c>
    </row>
    <row r="33" spans="1:43" x14ac:dyDescent="0.35">
      <c r="A33" s="41" t="s">
        <v>2509</v>
      </c>
      <c r="B33" s="24"/>
      <c r="C33" s="5"/>
      <c r="D33" s="3">
        <v>72235</v>
      </c>
      <c r="E33" s="42"/>
      <c r="F33" s="3"/>
      <c r="G33" s="3"/>
      <c r="H33" s="3"/>
      <c r="I33" s="3"/>
      <c r="J33" s="3"/>
      <c r="K33" s="3"/>
      <c r="L33" s="3" t="s">
        <v>13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 t="s">
        <v>13</v>
      </c>
      <c r="AD33" s="3">
        <v>0</v>
      </c>
      <c r="AE33" s="3"/>
      <c r="AF33" s="3"/>
      <c r="AG33" s="3"/>
      <c r="AH33" s="3"/>
      <c r="AI33" s="3"/>
      <c r="AK33" s="3">
        <f>SUM($F33:AJ33)</f>
        <v>0</v>
      </c>
    </row>
    <row r="34" spans="1:43" x14ac:dyDescent="0.35">
      <c r="A34" s="41" t="s">
        <v>2508</v>
      </c>
      <c r="C34" s="5">
        <v>45570</v>
      </c>
      <c r="D34" s="3">
        <v>13905</v>
      </c>
      <c r="E34" s="42"/>
      <c r="F34" s="3"/>
      <c r="G34" s="3"/>
      <c r="H34" s="3"/>
      <c r="I34" s="3"/>
      <c r="J34" s="3" t="s">
        <v>13</v>
      </c>
      <c r="K34" s="3"/>
      <c r="L34" s="3">
        <v>13905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>
        <f>SUM($F34:AJ34)</f>
        <v>13905</v>
      </c>
    </row>
    <row r="35" spans="1:43" x14ac:dyDescent="0.35">
      <c r="A35" s="343" t="s">
        <v>2126</v>
      </c>
      <c r="B35" s="24"/>
      <c r="C35" s="5">
        <v>45542</v>
      </c>
      <c r="D35" s="3">
        <v>6499</v>
      </c>
      <c r="E35" s="344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0</v>
      </c>
      <c r="AE35" s="3"/>
      <c r="AF35" s="3"/>
      <c r="AG35" s="3"/>
      <c r="AH35" s="3"/>
      <c r="AI35" s="3"/>
      <c r="AJ35" s="3"/>
      <c r="AK35" s="3">
        <f>SUM($F35:AJ35)</f>
        <v>0</v>
      </c>
      <c r="AN35" s="26"/>
      <c r="AO35" s="3"/>
    </row>
    <row r="36" spans="1:43" x14ac:dyDescent="0.35">
      <c r="A36" s="343" t="s">
        <v>2126</v>
      </c>
      <c r="B36" s="24"/>
      <c r="C36" s="5">
        <v>45572</v>
      </c>
      <c r="D36" s="3">
        <v>6499</v>
      </c>
      <c r="E36" s="344" t="s">
        <v>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0</v>
      </c>
      <c r="AE36" s="3"/>
      <c r="AF36" s="3"/>
      <c r="AG36" s="3"/>
      <c r="AH36" s="3"/>
      <c r="AI36" s="3"/>
      <c r="AJ36" s="3"/>
      <c r="AK36" s="3">
        <f>SUM($F36:AJ36)</f>
        <v>0</v>
      </c>
      <c r="AN36" s="26"/>
      <c r="AO36" s="3"/>
    </row>
    <row r="37" spans="1:43" x14ac:dyDescent="0.35">
      <c r="A37" s="343" t="s">
        <v>1328</v>
      </c>
      <c r="B37" s="24"/>
      <c r="C37" s="5">
        <v>45584</v>
      </c>
      <c r="D37" s="3">
        <v>81104</v>
      </c>
      <c r="E37" s="344" t="s">
        <v>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Z37" s="3"/>
      <c r="AA37" s="3"/>
      <c r="AB37" s="3"/>
      <c r="AC37" s="3"/>
      <c r="AD37" s="3">
        <v>0</v>
      </c>
      <c r="AE37" s="3"/>
      <c r="AF37" s="3"/>
      <c r="AG37" s="3"/>
      <c r="AH37" s="3"/>
      <c r="AI37" s="3"/>
      <c r="AJ37" s="3"/>
      <c r="AK37" s="3">
        <f>SUM($F37:AJ37)</f>
        <v>0</v>
      </c>
      <c r="AN37" s="26"/>
      <c r="AO37" s="3"/>
    </row>
    <row r="38" spans="1:43" x14ac:dyDescent="0.35">
      <c r="A38" s="343" t="s">
        <v>2477</v>
      </c>
      <c r="B38" s="24" t="s">
        <v>2478</v>
      </c>
      <c r="C38" s="5">
        <v>45525</v>
      </c>
      <c r="D38" s="3">
        <v>47951</v>
      </c>
      <c r="E38" s="344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0</v>
      </c>
      <c r="AN38" s="26"/>
      <c r="AO38" s="3"/>
    </row>
    <row r="39" spans="1:43" x14ac:dyDescent="0.35">
      <c r="A39" s="343" t="s">
        <v>1161</v>
      </c>
      <c r="B39" s="24" t="s">
        <v>2490</v>
      </c>
      <c r="C39" s="5">
        <v>45541</v>
      </c>
      <c r="D39" s="3">
        <v>20500</v>
      </c>
      <c r="E39" s="344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N39" s="26"/>
      <c r="AO39" s="3"/>
    </row>
    <row r="40" spans="1:43" x14ac:dyDescent="0.35">
      <c r="A40" s="343" t="s">
        <v>1161</v>
      </c>
      <c r="B40" s="24" t="s">
        <v>2507</v>
      </c>
      <c r="C40" s="5">
        <v>45560</v>
      </c>
      <c r="D40" s="3">
        <v>13650</v>
      </c>
      <c r="E40" s="344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N40" s="26"/>
      <c r="AO40" s="3"/>
    </row>
    <row r="41" spans="1:43" x14ac:dyDescent="0.35">
      <c r="A41" s="343" t="s">
        <v>1161</v>
      </c>
      <c r="B41" s="24" t="s">
        <v>2520</v>
      </c>
      <c r="C41" s="5">
        <v>45576</v>
      </c>
      <c r="D41" s="3">
        <v>17800</v>
      </c>
      <c r="E41" s="344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N41" s="26"/>
      <c r="AO41" s="3"/>
    </row>
    <row r="42" spans="1:43" x14ac:dyDescent="0.35">
      <c r="A42" s="343" t="s">
        <v>2525</v>
      </c>
      <c r="B42" s="24" t="s">
        <v>2526</v>
      </c>
      <c r="C42" s="5">
        <v>45588</v>
      </c>
      <c r="D42" s="3">
        <v>75253</v>
      </c>
      <c r="E42" s="344" t="s">
        <v>401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75253</v>
      </c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75253</v>
      </c>
      <c r="AN42" s="26"/>
      <c r="AO42" s="3"/>
    </row>
    <row r="43" spans="1:43" x14ac:dyDescent="0.35">
      <c r="A43" s="343"/>
      <c r="B43" s="24"/>
      <c r="C43" s="5"/>
      <c r="D43" s="3"/>
      <c r="E43" s="34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0</v>
      </c>
      <c r="AN43" s="26"/>
      <c r="AO43" s="3"/>
    </row>
    <row r="44" spans="1:43" x14ac:dyDescent="0.35">
      <c r="A44" s="343"/>
      <c r="B44" s="24"/>
      <c r="C44" s="5"/>
      <c r="D44" s="3"/>
      <c r="E44" s="34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0</v>
      </c>
      <c r="AN44" s="26"/>
      <c r="AO44" s="3"/>
    </row>
    <row r="45" spans="1:43" ht="15" thickBot="1" x14ac:dyDescent="0.4">
      <c r="A45" s="43" t="s">
        <v>2528</v>
      </c>
      <c r="B45" s="76" t="s">
        <v>337</v>
      </c>
      <c r="C45" s="45" t="s">
        <v>13</v>
      </c>
      <c r="D45" s="46">
        <f>+AK27*0.17</f>
        <v>198666.59000000003</v>
      </c>
      <c r="E45" s="47"/>
      <c r="F45" s="3"/>
      <c r="G45" s="3" t="s">
        <v>13</v>
      </c>
      <c r="H45" s="3" t="s">
        <v>13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0</v>
      </c>
      <c r="AL45" s="6" t="s">
        <v>1846</v>
      </c>
      <c r="AM45" s="6" t="s">
        <v>13</v>
      </c>
      <c r="AN45" s="26" t="s">
        <v>13</v>
      </c>
      <c r="AO45" s="3"/>
    </row>
    <row r="46" spans="1:43" x14ac:dyDescent="0.35">
      <c r="A46" s="3" t="s">
        <v>13</v>
      </c>
      <c r="B46" s="24"/>
      <c r="C46" s="236" t="s">
        <v>13</v>
      </c>
      <c r="D46" s="3"/>
      <c r="E46" s="15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 t="s">
        <v>13</v>
      </c>
      <c r="AL46" s="22"/>
      <c r="AO46" s="14" t="s">
        <v>1558</v>
      </c>
      <c r="AP46" s="15">
        <f>+SUMIF(AL37:AL45,"CD",D37:D45)/1.19</f>
        <v>0</v>
      </c>
      <c r="AQ46" s="15" t="e">
        <f>+AP46*#REF!/#REF!</f>
        <v>#REF!</v>
      </c>
    </row>
    <row r="47" spans="1:43" x14ac:dyDescent="0.35">
      <c r="A47" s="4"/>
      <c r="B47" s="24"/>
      <c r="C47" s="67"/>
      <c r="D47" s="3"/>
      <c r="E47" s="153"/>
      <c r="F47" s="3" t="s">
        <v>13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 t="s">
        <v>13</v>
      </c>
      <c r="AL47" s="22"/>
      <c r="AO47" s="14" t="s">
        <v>1559</v>
      </c>
      <c r="AP47" s="15" t="e">
        <f>+#REF!-AP46</f>
        <v>#REF!</v>
      </c>
      <c r="AQ47" s="15" t="e">
        <f>+#REF!-AQ46</f>
        <v>#REF!</v>
      </c>
    </row>
    <row r="48" spans="1:43" x14ac:dyDescent="0.35">
      <c r="A48" s="4"/>
      <c r="B48" s="24"/>
      <c r="C48" s="67"/>
      <c r="D48" s="3"/>
      <c r="E48" s="15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 t="s">
        <v>13</v>
      </c>
      <c r="AL48" s="22"/>
      <c r="AO48" s="14" t="s">
        <v>1560</v>
      </c>
      <c r="AP48" s="327" t="e">
        <f>+AP47/#REF!</f>
        <v>#REF!</v>
      </c>
      <c r="AQ48" s="327" t="e">
        <f>+AQ47/#REF!</f>
        <v>#REF!</v>
      </c>
    </row>
    <row r="49" spans="1:43" x14ac:dyDescent="0.35">
      <c r="A49" s="4"/>
      <c r="B49" s="67"/>
      <c r="C49" s="236"/>
      <c r="E49" s="15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AJ49" s="3"/>
      <c r="AK49" s="3"/>
      <c r="AL49" s="22" t="s">
        <v>1388</v>
      </c>
      <c r="AM49" s="6" t="s">
        <v>1430</v>
      </c>
      <c r="AO49" s="14" t="s">
        <v>81</v>
      </c>
      <c r="AP49" s="15" t="e">
        <f>+SUMIF(AL37:AL45,"GAV",D37:D45)/1.19+SUMIF(#REF!,"REM",#REF!)</f>
        <v>#REF!</v>
      </c>
      <c r="AQ49" s="15" t="e">
        <f>+AP49*#REF!/#REF!</f>
        <v>#REF!</v>
      </c>
    </row>
    <row r="50" spans="1:43" x14ac:dyDescent="0.35">
      <c r="A50" s="2" t="s">
        <v>9</v>
      </c>
      <c r="D50" s="72" t="e">
        <f>SUM(D37:D48)-#REF!</f>
        <v>#REF!</v>
      </c>
      <c r="F50" s="3">
        <f t="shared" ref="F50:AJ50" si="2">SUM(F32:F49)</f>
        <v>0</v>
      </c>
      <c r="G50" s="3">
        <f t="shared" si="2"/>
        <v>0</v>
      </c>
      <c r="H50" s="3">
        <f t="shared" si="2"/>
        <v>0</v>
      </c>
      <c r="I50" s="3">
        <f t="shared" si="2"/>
        <v>0</v>
      </c>
      <c r="J50" s="3">
        <f t="shared" si="2"/>
        <v>0</v>
      </c>
      <c r="K50" s="3">
        <f t="shared" si="2"/>
        <v>0</v>
      </c>
      <c r="L50" s="3">
        <f t="shared" si="2"/>
        <v>13905</v>
      </c>
      <c r="M50" s="3">
        <f t="shared" si="2"/>
        <v>0</v>
      </c>
      <c r="N50" s="3">
        <f t="shared" si="2"/>
        <v>0</v>
      </c>
      <c r="O50" s="3">
        <f t="shared" si="2"/>
        <v>0</v>
      </c>
      <c r="P50" s="3">
        <f t="shared" si="2"/>
        <v>0</v>
      </c>
      <c r="Q50" s="3">
        <f t="shared" si="2"/>
        <v>0</v>
      </c>
      <c r="R50" s="3">
        <f t="shared" si="2"/>
        <v>0</v>
      </c>
      <c r="S50" s="3">
        <f t="shared" si="2"/>
        <v>0</v>
      </c>
      <c r="T50" s="3">
        <f t="shared" si="2"/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3">
        <f t="shared" si="2"/>
        <v>0</v>
      </c>
      <c r="Y50" s="3">
        <f t="shared" si="2"/>
        <v>0</v>
      </c>
      <c r="Z50" s="3">
        <f t="shared" si="2"/>
        <v>0</v>
      </c>
      <c r="AA50" s="3">
        <f t="shared" si="2"/>
        <v>75253</v>
      </c>
      <c r="AB50" s="3">
        <f t="shared" si="2"/>
        <v>0</v>
      </c>
      <c r="AC50" s="3">
        <f t="shared" si="2"/>
        <v>0</v>
      </c>
      <c r="AD50" s="3">
        <f t="shared" si="2"/>
        <v>0</v>
      </c>
      <c r="AE50" s="3">
        <f t="shared" si="2"/>
        <v>0</v>
      </c>
      <c r="AF50" s="3">
        <f t="shared" si="2"/>
        <v>0</v>
      </c>
      <c r="AG50" s="3">
        <f t="shared" si="2"/>
        <v>0</v>
      </c>
      <c r="AH50" s="3">
        <f t="shared" si="2"/>
        <v>0</v>
      </c>
      <c r="AI50" s="3">
        <f t="shared" si="2"/>
        <v>0</v>
      </c>
      <c r="AJ50" s="3">
        <f t="shared" si="2"/>
        <v>0</v>
      </c>
      <c r="AK50" s="72">
        <f>SUM(AK32:AK48)-AK32</f>
        <v>89158</v>
      </c>
      <c r="AL50" s="324" t="e">
        <f>+D50-AK50</f>
        <v>#REF!</v>
      </c>
      <c r="AM50" s="324" t="e">
        <f>+AJ51+AL27-AL50-1200000</f>
        <v>#REF!</v>
      </c>
      <c r="AO50" s="14" t="s">
        <v>1561</v>
      </c>
      <c r="AP50" s="15" t="e">
        <f>+AP47-AP49</f>
        <v>#REF!</v>
      </c>
      <c r="AQ50" s="15" t="e">
        <f>+AQ47-AQ49</f>
        <v>#REF!</v>
      </c>
    </row>
    <row r="51" spans="1:43" x14ac:dyDescent="0.35">
      <c r="A51" t="s">
        <v>8</v>
      </c>
      <c r="F51" s="3">
        <f t="shared" ref="F51:AJ51" si="3">+F27+F3-F50</f>
        <v>1934748.8448390844</v>
      </c>
      <c r="G51" s="3">
        <f t="shared" si="3"/>
        <v>1934748.8448390844</v>
      </c>
      <c r="H51" s="3">
        <f t="shared" si="3"/>
        <v>1934748.8448390844</v>
      </c>
      <c r="I51" s="3">
        <f t="shared" si="3"/>
        <v>1934748.8448390844</v>
      </c>
      <c r="J51" s="3">
        <f t="shared" si="3"/>
        <v>1934748.8448390844</v>
      </c>
      <c r="K51" s="3">
        <f t="shared" si="3"/>
        <v>1934748.8448390844</v>
      </c>
      <c r="L51" s="3">
        <f t="shared" si="3"/>
        <v>1920843.8448390844</v>
      </c>
      <c r="M51" s="3">
        <f t="shared" si="3"/>
        <v>1920843.8448390844</v>
      </c>
      <c r="N51" s="3">
        <f t="shared" si="3"/>
        <v>2049365.8448390844</v>
      </c>
      <c r="O51" s="3">
        <f t="shared" si="3"/>
        <v>2049365.8448390844</v>
      </c>
      <c r="P51" s="3">
        <f t="shared" si="3"/>
        <v>2049365.8448390844</v>
      </c>
      <c r="Q51" s="3">
        <f t="shared" si="3"/>
        <v>2049365.8448390844</v>
      </c>
      <c r="R51" s="3">
        <f t="shared" si="3"/>
        <v>2049365.8448390844</v>
      </c>
      <c r="S51" s="3">
        <f t="shared" si="3"/>
        <v>2049365.8448390844</v>
      </c>
      <c r="T51" s="3">
        <f t="shared" si="3"/>
        <v>2049365.8448390844</v>
      </c>
      <c r="U51" s="3">
        <f t="shared" si="3"/>
        <v>2049365.8448390844</v>
      </c>
      <c r="V51" s="3">
        <f t="shared" si="3"/>
        <v>2212714.8448390844</v>
      </c>
      <c r="W51" s="3">
        <f t="shared" si="3"/>
        <v>2212714.8448390844</v>
      </c>
      <c r="X51" s="3">
        <f t="shared" si="3"/>
        <v>2212714.8448390844</v>
      </c>
      <c r="Y51" s="3">
        <f t="shared" si="3"/>
        <v>2212714.8448390844</v>
      </c>
      <c r="Z51" s="3">
        <f t="shared" si="3"/>
        <v>2212714.8448390844</v>
      </c>
      <c r="AA51" s="3">
        <f t="shared" si="3"/>
        <v>2137461.8448390844</v>
      </c>
      <c r="AB51" s="3">
        <f t="shared" si="3"/>
        <v>2137461.8448390844</v>
      </c>
      <c r="AC51" s="3">
        <f t="shared" si="3"/>
        <v>2137461.8448390844</v>
      </c>
      <c r="AD51" s="3">
        <f t="shared" si="3"/>
        <v>2243084.8448390844</v>
      </c>
      <c r="AE51" s="3">
        <f t="shared" si="3"/>
        <v>2243084.8448390844</v>
      </c>
      <c r="AF51" s="3">
        <f t="shared" si="3"/>
        <v>2243084.8448390844</v>
      </c>
      <c r="AG51" s="3">
        <f t="shared" si="3"/>
        <v>2243084.8448390844</v>
      </c>
      <c r="AH51" s="3">
        <f t="shared" si="3"/>
        <v>3014217.8448390844</v>
      </c>
      <c r="AI51" s="3">
        <f t="shared" si="3"/>
        <v>3014217.8448390844</v>
      </c>
      <c r="AJ51" s="3">
        <f t="shared" si="3"/>
        <v>3014217.8448390844</v>
      </c>
      <c r="AK51" s="3" t="s">
        <v>13</v>
      </c>
      <c r="AM51" s="22" t="s">
        <v>13</v>
      </c>
      <c r="AO51" s="14" t="s">
        <v>1563</v>
      </c>
      <c r="AP51" s="15">
        <f>+SUMIF(AL37:AL45,"GF",D37:D45)</f>
        <v>0</v>
      </c>
      <c r="AQ51" s="15">
        <v>0</v>
      </c>
    </row>
    <row r="52" spans="1:43" x14ac:dyDescent="0.35">
      <c r="F52" s="3"/>
      <c r="G52" s="3"/>
      <c r="H52" s="3"/>
      <c r="I52" s="3" t="s">
        <v>13</v>
      </c>
      <c r="J52" s="3"/>
      <c r="K52" s="3" t="s">
        <v>13</v>
      </c>
      <c r="L52" s="3"/>
      <c r="M52" s="3"/>
      <c r="N52" s="3"/>
      <c r="O52" s="3"/>
      <c r="P52" s="3" t="s">
        <v>13</v>
      </c>
      <c r="Q52" s="3"/>
      <c r="R52" s="3"/>
      <c r="S52" s="3"/>
      <c r="T52" s="3" t="s">
        <v>13</v>
      </c>
      <c r="U52" s="3"/>
      <c r="V52" s="3"/>
      <c r="W52" s="3"/>
      <c r="Y52" s="3" t="s">
        <v>13</v>
      </c>
      <c r="Z52" s="3" t="s">
        <v>13</v>
      </c>
      <c r="AA52" s="3" t="s">
        <v>13</v>
      </c>
      <c r="AB52" s="3" t="s">
        <v>13</v>
      </c>
      <c r="AO52" s="14" t="s">
        <v>82</v>
      </c>
      <c r="AP52" s="15">
        <v>0</v>
      </c>
      <c r="AQ52" s="15">
        <f>+SUMIF(AL37:AL45,"AF",D37:D45)/1.19</f>
        <v>0</v>
      </c>
    </row>
    <row r="53" spans="1:43" ht="15" thickBot="1" x14ac:dyDescent="0.4">
      <c r="F53" s="3" t="s">
        <v>13</v>
      </c>
      <c r="G53" s="3" t="s">
        <v>13</v>
      </c>
      <c r="H53" s="3" t="s">
        <v>13</v>
      </c>
      <c r="I53" s="3"/>
      <c r="J53" s="3"/>
      <c r="K53" s="3"/>
      <c r="L53" s="3"/>
      <c r="M53" s="3"/>
      <c r="N53" s="3"/>
      <c r="O53" s="3"/>
      <c r="P53" s="3" t="s">
        <v>13</v>
      </c>
      <c r="Q53" s="3" t="s">
        <v>13</v>
      </c>
      <c r="R53" s="3" t="s">
        <v>13</v>
      </c>
      <c r="S53" s="3"/>
      <c r="T53" s="3"/>
      <c r="U53" s="3" t="s">
        <v>13</v>
      </c>
      <c r="V53" s="3"/>
      <c r="W53" s="3"/>
      <c r="AB53" s="3" t="s">
        <v>13</v>
      </c>
      <c r="AG53" s="3" t="s">
        <v>13</v>
      </c>
      <c r="AJ53" s="3" t="s">
        <v>13</v>
      </c>
      <c r="AO53" s="16"/>
      <c r="AP53" s="19" t="e">
        <f>+AP50-AP51-AP52</f>
        <v>#REF!</v>
      </c>
      <c r="AQ53" s="19" t="e">
        <f>+AQ50-AQ51-AQ52</f>
        <v>#REF!</v>
      </c>
    </row>
    <row r="54" spans="1:43" x14ac:dyDescent="0.35">
      <c r="A54" t="s">
        <v>2163</v>
      </c>
      <c r="B54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4" s="3" t="e">
        <f>+B54*0.16</f>
        <v>#REF!</v>
      </c>
      <c r="E54" s="6" t="s">
        <v>13</v>
      </c>
      <c r="F54" s="3"/>
      <c r="G54" s="3" t="s">
        <v>13</v>
      </c>
      <c r="H54" s="3" t="s">
        <v>13</v>
      </c>
      <c r="I54" s="3"/>
      <c r="J54" s="3"/>
      <c r="K54" s="3"/>
      <c r="L54" s="3"/>
      <c r="M54" s="3">
        <f>1920744-M51</f>
        <v>-99.844839084427804</v>
      </c>
      <c r="N54" s="3"/>
      <c r="O54" s="3"/>
      <c r="W54" s="3"/>
      <c r="AB54" s="3" t="s">
        <v>13</v>
      </c>
      <c r="AG54" s="3" t="s">
        <v>13</v>
      </c>
      <c r="AJ54" s="3" t="s">
        <v>13</v>
      </c>
      <c r="AO54" t="s">
        <v>1961</v>
      </c>
      <c r="AP54" s="26" t="e">
        <f ca="1">+AP$53+'May-23'!AP82</f>
        <v>#REF!</v>
      </c>
      <c r="AQ54" s="3" t="e">
        <f ca="1">+AQ$53+'May-23'!AQ82</f>
        <v>#REF!</v>
      </c>
    </row>
    <row r="55" spans="1:43" x14ac:dyDescent="0.35">
      <c r="F55" s="3"/>
      <c r="G55" s="3" t="s">
        <v>13</v>
      </c>
      <c r="H55" s="3"/>
      <c r="I55" s="3"/>
      <c r="J55" s="3"/>
      <c r="K55" s="3"/>
      <c r="L55" s="3"/>
      <c r="M55" s="3"/>
      <c r="N55" s="3"/>
      <c r="O55" s="3"/>
      <c r="W55" s="3" t="s">
        <v>13</v>
      </c>
      <c r="AB55" s="3" t="s">
        <v>13</v>
      </c>
      <c r="AD55" t="s">
        <v>13</v>
      </c>
      <c r="AE55" t="s">
        <v>13</v>
      </c>
      <c r="AG55" s="3" t="s">
        <v>13</v>
      </c>
      <c r="AJ55" s="3" t="s">
        <v>13</v>
      </c>
      <c r="AO55" t="s">
        <v>1960</v>
      </c>
      <c r="AP55" s="26" t="e">
        <f ca="1">+AP$53+'May-23'!AP83</f>
        <v>#REF!</v>
      </c>
      <c r="AQ55" s="3" t="e">
        <f ca="1">+AQ$53+'May-23'!AQ83</f>
        <v>#REF!</v>
      </c>
    </row>
    <row r="56" spans="1:43" x14ac:dyDescent="0.35">
      <c r="A56" t="s">
        <v>13</v>
      </c>
      <c r="F56" s="3" t="s">
        <v>13</v>
      </c>
      <c r="G56" s="3" t="s">
        <v>13</v>
      </c>
      <c r="H56" s="3"/>
      <c r="I56" s="3"/>
      <c r="J56" s="3"/>
      <c r="K56" s="3"/>
      <c r="L56" s="3"/>
      <c r="M56" s="3">
        <v>538500</v>
      </c>
      <c r="N56" s="3"/>
      <c r="O56" s="3"/>
      <c r="W56" s="3"/>
      <c r="AB56" s="3" t="s">
        <v>13</v>
      </c>
      <c r="AD56" t="s">
        <v>13</v>
      </c>
      <c r="AG56" s="3" t="s">
        <v>13</v>
      </c>
      <c r="AJ56" s="3" t="s">
        <v>13</v>
      </c>
    </row>
    <row r="57" spans="1:43" x14ac:dyDescent="0.35">
      <c r="B57" t="s">
        <v>13</v>
      </c>
      <c r="F57" s="3" t="s">
        <v>13</v>
      </c>
      <c r="G57" s="3" t="s">
        <v>13</v>
      </c>
      <c r="H57" s="3"/>
      <c r="I57" s="3"/>
      <c r="J57" s="3"/>
      <c r="K57" s="3"/>
      <c r="L57" s="3" t="s">
        <v>13</v>
      </c>
      <c r="M57" s="3">
        <v>682100</v>
      </c>
      <c r="N57" s="3"/>
      <c r="O57" s="3"/>
      <c r="W57" s="3"/>
      <c r="AB57" s="3" t="s">
        <v>13</v>
      </c>
      <c r="AG57" s="3" t="s">
        <v>13</v>
      </c>
      <c r="AJ57" s="3" t="s">
        <v>13</v>
      </c>
      <c r="AL57"/>
      <c r="AM57"/>
    </row>
    <row r="58" spans="1:43" x14ac:dyDescent="0.35">
      <c r="F58" s="3"/>
      <c r="G58" s="3" t="s">
        <v>13</v>
      </c>
      <c r="H58" s="3"/>
      <c r="I58" s="3"/>
      <c r="J58" s="3"/>
      <c r="K58" s="3"/>
      <c r="L58" s="3"/>
      <c r="M58" s="3">
        <f>SUM(M56:M57)</f>
        <v>1220600</v>
      </c>
      <c r="AG58" s="3" t="s">
        <v>13</v>
      </c>
      <c r="AJ58" s="3" t="s">
        <v>13</v>
      </c>
      <c r="AL58"/>
      <c r="AM58"/>
    </row>
    <row r="59" spans="1:43" x14ac:dyDescent="0.35">
      <c r="B59" t="s">
        <v>13</v>
      </c>
      <c r="F59" s="3"/>
      <c r="G59" s="3" t="s">
        <v>13</v>
      </c>
      <c r="H59" s="3"/>
      <c r="I59" s="3"/>
      <c r="J59" s="3"/>
      <c r="K59" s="3"/>
      <c r="L59" s="3"/>
      <c r="AB59" t="s">
        <v>13</v>
      </c>
      <c r="AG59" s="3" t="s">
        <v>13</v>
      </c>
      <c r="AJ59" s="3" t="s">
        <v>13</v>
      </c>
      <c r="AL59"/>
      <c r="AM59"/>
      <c r="AQ59" t="s">
        <v>13</v>
      </c>
    </row>
    <row r="60" spans="1:43" x14ac:dyDescent="0.35">
      <c r="B60" t="s">
        <v>13</v>
      </c>
      <c r="C60" t="s">
        <v>13</v>
      </c>
      <c r="F60" s="3"/>
      <c r="G60" s="3" t="s">
        <v>13</v>
      </c>
      <c r="H60" s="3"/>
      <c r="I60" s="3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C61" t="s">
        <v>13</v>
      </c>
      <c r="F61" s="3"/>
      <c r="G61" s="3" t="s">
        <v>2417</v>
      </c>
      <c r="H61" s="3"/>
      <c r="I61" s="3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F62" s="3"/>
      <c r="G62" s="3" t="s">
        <v>13</v>
      </c>
      <c r="H62" s="3"/>
      <c r="I62" s="3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288">
        <f>212-60</f>
        <v>152</v>
      </c>
      <c r="H63" s="288">
        <f>+G63-60</f>
        <v>92</v>
      </c>
      <c r="I63" s="288">
        <f>+H63/3</f>
        <v>30.666666666666668</v>
      </c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288">
        <f>+G63/2</f>
        <v>76</v>
      </c>
      <c r="H64" s="288"/>
      <c r="I64" s="288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288">
        <f>+G64/2</f>
        <v>38</v>
      </c>
      <c r="H65" s="288"/>
      <c r="I65" s="288">
        <f>I63*3+60</f>
        <v>152</v>
      </c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288">
        <f>+G65-15</f>
        <v>23</v>
      </c>
      <c r="H66" s="288"/>
      <c r="I66" s="288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G68" s="3" t="s">
        <v>13</v>
      </c>
      <c r="AJ68" s="3" t="s">
        <v>13</v>
      </c>
      <c r="AL68"/>
      <c r="AM68"/>
    </row>
    <row r="69" spans="2:39" x14ac:dyDescent="0.35">
      <c r="B69" t="s">
        <v>13</v>
      </c>
      <c r="F69" s="3"/>
      <c r="G69" s="3" t="s">
        <v>13</v>
      </c>
      <c r="H69" s="3"/>
      <c r="I69" s="3"/>
      <c r="J69" s="3"/>
      <c r="K69" s="3"/>
      <c r="L69" s="3"/>
      <c r="AG69" s="3" t="s">
        <v>13</v>
      </c>
      <c r="AJ69" s="3" t="s">
        <v>13</v>
      </c>
      <c r="AL69"/>
      <c r="AM69"/>
    </row>
    <row r="70" spans="2:39" x14ac:dyDescent="0.35">
      <c r="B70" t="s">
        <v>13</v>
      </c>
      <c r="F70" s="3"/>
      <c r="G70" s="3" t="s">
        <v>13</v>
      </c>
      <c r="H70" s="3"/>
      <c r="I70" s="3"/>
      <c r="J70" s="3"/>
      <c r="K70" s="3"/>
      <c r="L70" s="3"/>
      <c r="AG70" s="3" t="s">
        <v>13</v>
      </c>
      <c r="AJ70" s="3" t="s">
        <v>13</v>
      </c>
      <c r="AL70"/>
      <c r="AM70"/>
    </row>
    <row r="71" spans="2:39" x14ac:dyDescent="0.35">
      <c r="B71" t="s">
        <v>13</v>
      </c>
      <c r="F71" s="3"/>
      <c r="G71" s="3" t="s">
        <v>13</v>
      </c>
      <c r="H71" s="3"/>
      <c r="I71" s="3"/>
      <c r="J71" s="3"/>
      <c r="K71" s="3"/>
      <c r="L71" s="3"/>
      <c r="AL71"/>
      <c r="AM71"/>
    </row>
    <row r="72" spans="2:39" x14ac:dyDescent="0.35">
      <c r="B72" t="s">
        <v>13</v>
      </c>
      <c r="F72" s="3"/>
      <c r="G72" s="3" t="s">
        <v>13</v>
      </c>
      <c r="H72" s="3"/>
      <c r="I72" s="3"/>
      <c r="J72" s="3"/>
      <c r="K72" s="3"/>
      <c r="L72" s="3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</sheetData>
  <phoneticPr fontId="20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72E5-4192-4BFE-8F05-96628BF66A17}">
  <dimension ref="A1:AQ106"/>
  <sheetViews>
    <sheetView zoomScale="70" zoomScaleNormal="70" workbookViewId="0">
      <pane xSplit="5" ySplit="3" topLeftCell="AA4" activePane="bottomRight" state="frozen"/>
      <selection pane="topRight" activeCell="F1" sqref="F1"/>
      <selection pane="bottomLeft" activeCell="A4" sqref="A4"/>
      <selection pane="bottomRight" activeCell="D23" sqref="D23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1.6328125" customWidth="1"/>
    <col min="31" max="31" width="11.26953125" customWidth="1"/>
    <col min="32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45597</v>
      </c>
      <c r="G2" s="1">
        <v>45598</v>
      </c>
      <c r="H2" s="1">
        <v>45599</v>
      </c>
      <c r="I2" s="1">
        <v>45600</v>
      </c>
      <c r="J2" s="1">
        <v>45601</v>
      </c>
      <c r="K2" s="1">
        <v>45602</v>
      </c>
      <c r="L2" s="1">
        <v>45603</v>
      </c>
      <c r="M2" s="1">
        <v>45604</v>
      </c>
      <c r="N2" s="1">
        <v>45605</v>
      </c>
      <c r="O2" s="1">
        <v>45606</v>
      </c>
      <c r="P2" s="1">
        <v>45607</v>
      </c>
      <c r="Q2" s="1">
        <v>45608</v>
      </c>
      <c r="R2" s="1">
        <v>45609</v>
      </c>
      <c r="S2" s="1">
        <v>45610</v>
      </c>
      <c r="T2" s="1">
        <v>45611</v>
      </c>
      <c r="U2" s="1">
        <v>45612</v>
      </c>
      <c r="V2" s="1">
        <v>45613</v>
      </c>
      <c r="W2" s="1">
        <v>45614</v>
      </c>
      <c r="X2" s="1">
        <v>45615</v>
      </c>
      <c r="Y2" s="1">
        <v>45616</v>
      </c>
      <c r="Z2" s="1">
        <v>45617</v>
      </c>
      <c r="AA2" s="1">
        <v>45618</v>
      </c>
      <c r="AB2" s="1">
        <v>45619</v>
      </c>
      <c r="AC2" s="1">
        <v>45620</v>
      </c>
      <c r="AD2" s="1">
        <v>45621</v>
      </c>
      <c r="AE2" s="1">
        <v>45622</v>
      </c>
      <c r="AF2" s="1">
        <v>45623</v>
      </c>
      <c r="AG2" s="1">
        <v>45624</v>
      </c>
      <c r="AH2" s="1">
        <v>45625</v>
      </c>
      <c r="AI2" s="1">
        <v>45626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+'Oct-24'!AJ51</f>
        <v>3014217.8448390844</v>
      </c>
      <c r="G3" s="3">
        <f t="shared" ref="G3:AJ3" si="0">+F52</f>
        <v>3014217.8448390844</v>
      </c>
      <c r="H3" s="3">
        <f t="shared" si="0"/>
        <v>3014217.8448390844</v>
      </c>
      <c r="I3" s="3">
        <f t="shared" si="0"/>
        <v>3014217.8448390844</v>
      </c>
      <c r="J3" s="3">
        <f t="shared" si="0"/>
        <v>3014217.8448390844</v>
      </c>
      <c r="K3" s="3">
        <f t="shared" si="0"/>
        <v>3000312.8448390844</v>
      </c>
      <c r="L3" s="3">
        <f t="shared" si="0"/>
        <v>3080994.8448390844</v>
      </c>
      <c r="M3" s="3">
        <f t="shared" si="0"/>
        <v>2880492.8448390844</v>
      </c>
      <c r="N3" s="3">
        <f t="shared" si="0"/>
        <v>2681823.8448390844</v>
      </c>
      <c r="O3" s="3">
        <f t="shared" si="0"/>
        <v>2681823.8448390844</v>
      </c>
      <c r="P3" s="3">
        <f t="shared" si="0"/>
        <v>2681823.8448390844</v>
      </c>
      <c r="Q3" s="3">
        <f t="shared" si="0"/>
        <v>2681823.8448390844</v>
      </c>
      <c r="R3" s="3">
        <f t="shared" si="0"/>
        <v>2681823.8448390844</v>
      </c>
      <c r="S3" s="3">
        <f t="shared" si="0"/>
        <v>2888212.8448390844</v>
      </c>
      <c r="T3" s="3">
        <f t="shared" si="0"/>
        <v>2888212.8448390844</v>
      </c>
      <c r="U3" s="3">
        <f t="shared" si="0"/>
        <v>2888212.8448390844</v>
      </c>
      <c r="V3" s="3">
        <f t="shared" si="0"/>
        <v>2888212.8448390844</v>
      </c>
      <c r="W3" s="3">
        <f t="shared" si="0"/>
        <v>2888212.8448390844</v>
      </c>
      <c r="X3" s="3">
        <f t="shared" si="0"/>
        <v>2888212.8448390844</v>
      </c>
      <c r="Y3" s="3">
        <f t="shared" si="0"/>
        <v>2888212.8448390844</v>
      </c>
      <c r="Z3" s="3">
        <f t="shared" si="0"/>
        <v>2888212.8448390844</v>
      </c>
      <c r="AA3" s="3">
        <f t="shared" si="0"/>
        <v>2870862.8448390844</v>
      </c>
      <c r="AB3" s="3">
        <f t="shared" si="0"/>
        <v>2870862.8448390844</v>
      </c>
      <c r="AC3" s="3">
        <f t="shared" si="0"/>
        <v>2870862.8448390844</v>
      </c>
      <c r="AD3" s="3">
        <f t="shared" si="0"/>
        <v>2870862.8448390844</v>
      </c>
      <c r="AE3" s="3">
        <f t="shared" si="0"/>
        <v>3034211.8448390844</v>
      </c>
      <c r="AF3" s="3">
        <f t="shared" si="0"/>
        <v>3034211.8448390844</v>
      </c>
      <c r="AG3" s="3">
        <f t="shared" si="0"/>
        <v>3034211.8448390844</v>
      </c>
      <c r="AH3" s="3">
        <f t="shared" si="0"/>
        <v>3034211.8448390844</v>
      </c>
      <c r="AI3" s="3">
        <f t="shared" si="0"/>
        <v>3034211.8448390844</v>
      </c>
      <c r="AJ3" s="3">
        <f t="shared" si="0"/>
        <v>3034211.8448390844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2404</v>
      </c>
      <c r="B6" s="66" t="s">
        <v>2403</v>
      </c>
      <c r="C6" s="38">
        <v>45386</v>
      </c>
      <c r="D6" s="39">
        <v>124390</v>
      </c>
      <c r="E6" s="40" t="s">
        <v>2402</v>
      </c>
      <c r="F6" s="3"/>
      <c r="G6" s="3"/>
      <c r="H6" s="3"/>
      <c r="I6" s="3"/>
      <c r="J6" s="3"/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2505</v>
      </c>
      <c r="B7" t="s">
        <v>2506</v>
      </c>
      <c r="C7" s="5">
        <v>45562</v>
      </c>
      <c r="D7" s="3">
        <v>80682</v>
      </c>
      <c r="E7" s="42" t="s">
        <v>2481</v>
      </c>
      <c r="F7" s="3"/>
      <c r="G7" s="3"/>
      <c r="H7" s="3"/>
      <c r="I7" s="3"/>
      <c r="J7" s="3"/>
      <c r="K7" s="3">
        <v>80682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80682</v>
      </c>
      <c r="AL7" s="22"/>
    </row>
    <row r="8" spans="1:39" x14ac:dyDescent="0.35">
      <c r="A8" s="41" t="s">
        <v>2516</v>
      </c>
      <c r="B8" t="s">
        <v>2512</v>
      </c>
      <c r="C8" s="5">
        <v>45576</v>
      </c>
      <c r="D8" s="3">
        <v>119200</v>
      </c>
      <c r="E8" s="42" t="s">
        <v>2325</v>
      </c>
      <c r="F8" s="3" t="s">
        <v>13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>+'Oct-24'!D18-'Oct-24'!AH18</f>
        <v>63745</v>
      </c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 t="s">
        <v>13</v>
      </c>
      <c r="AH8" s="3" t="s">
        <v>13</v>
      </c>
      <c r="AI8" s="3"/>
      <c r="AK8" s="3">
        <f>SUM($F8:AJ8)</f>
        <v>63745</v>
      </c>
      <c r="AL8" s="22"/>
    </row>
    <row r="9" spans="1:39" x14ac:dyDescent="0.35">
      <c r="A9" s="41" t="s">
        <v>2517</v>
      </c>
      <c r="B9" t="s">
        <v>2513</v>
      </c>
      <c r="C9" s="5">
        <v>45576</v>
      </c>
      <c r="D9" s="3">
        <v>163349</v>
      </c>
      <c r="E9" s="42" t="s">
        <v>2481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>
        <v>163349</v>
      </c>
      <c r="AE9" s="3"/>
      <c r="AF9" s="3"/>
      <c r="AG9" s="3" t="s">
        <v>13</v>
      </c>
      <c r="AH9" s="3" t="s">
        <v>13</v>
      </c>
      <c r="AI9" s="3"/>
      <c r="AK9" s="3">
        <f>SUM($F9:AJ9)</f>
        <v>163349</v>
      </c>
      <c r="AL9" s="22"/>
    </row>
    <row r="10" spans="1:39" x14ac:dyDescent="0.35">
      <c r="A10" s="41" t="s">
        <v>2518</v>
      </c>
      <c r="B10" t="s">
        <v>2519</v>
      </c>
      <c r="C10" s="5">
        <v>45583</v>
      </c>
      <c r="D10" s="3">
        <v>106824</v>
      </c>
      <c r="E10" s="42" t="s">
        <v>2325</v>
      </c>
      <c r="F10" s="3"/>
      <c r="G10" s="3"/>
      <c r="H10" s="3"/>
      <c r="I10" s="3"/>
      <c r="J10" s="3"/>
      <c r="K10" s="3" t="s">
        <v>13</v>
      </c>
      <c r="L10" s="3"/>
      <c r="M10" s="3"/>
      <c r="N10" s="3"/>
      <c r="O10" s="3"/>
      <c r="P10" s="3"/>
      <c r="Q10" s="3"/>
      <c r="R10" s="3">
        <v>106824</v>
      </c>
      <c r="S10" s="3"/>
      <c r="T10" s="3"/>
      <c r="U10" s="3"/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 t="s">
        <v>13</v>
      </c>
      <c r="AI10" s="3"/>
      <c r="AK10" s="3">
        <f>SUM($F10:AJ10)</f>
        <v>106824</v>
      </c>
      <c r="AL10" s="22"/>
    </row>
    <row r="11" spans="1:39" x14ac:dyDescent="0.35">
      <c r="A11" s="41" t="s">
        <v>2521</v>
      </c>
      <c r="B11" t="s">
        <v>2522</v>
      </c>
      <c r="C11" s="5">
        <v>45590</v>
      </c>
      <c r="D11" s="3">
        <v>163349</v>
      </c>
      <c r="E11" s="42" t="s">
        <v>2481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2523</v>
      </c>
      <c r="B12" t="s">
        <v>2524</v>
      </c>
      <c r="C12" s="5">
        <v>45590</v>
      </c>
      <c r="D12" s="3">
        <v>87189</v>
      </c>
      <c r="E12" s="42" t="s">
        <v>2325</v>
      </c>
      <c r="F12" s="3"/>
      <c r="G12" s="3"/>
      <c r="H12" s="3"/>
      <c r="I12" s="3"/>
      <c r="J12" s="3"/>
      <c r="K12" s="3" t="s">
        <v>13</v>
      </c>
      <c r="L12" s="3"/>
      <c r="M12" s="3"/>
      <c r="N12" s="3"/>
      <c r="O12" s="3"/>
      <c r="P12" s="3"/>
      <c r="Q12" s="3"/>
      <c r="R12" s="3">
        <f>206389-R8-R10</f>
        <v>35820</v>
      </c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35820</v>
      </c>
      <c r="AL12" s="22"/>
    </row>
    <row r="13" spans="1:39" x14ac:dyDescent="0.35">
      <c r="A13" s="41" t="s">
        <v>2531</v>
      </c>
      <c r="B13" t="s">
        <v>2532</v>
      </c>
      <c r="C13" s="5">
        <v>45603</v>
      </c>
      <c r="D13" s="3">
        <v>119200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0</v>
      </c>
      <c r="AL13" s="22"/>
    </row>
    <row r="14" spans="1:39" x14ac:dyDescent="0.35">
      <c r="A14" s="41" t="s">
        <v>2533</v>
      </c>
      <c r="B14" t="s">
        <v>2534</v>
      </c>
      <c r="C14" s="5">
        <v>45605</v>
      </c>
      <c r="D14" s="3">
        <v>119200</v>
      </c>
      <c r="E14" s="42" t="s">
        <v>2325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2535</v>
      </c>
      <c r="B15" t="s">
        <v>2536</v>
      </c>
      <c r="C15" s="5">
        <v>45611</v>
      </c>
      <c r="D15" s="3">
        <v>160533</v>
      </c>
      <c r="E15" s="42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2539</v>
      </c>
      <c r="B16" t="s">
        <v>2540</v>
      </c>
      <c r="C16" s="5">
        <v>45611</v>
      </c>
      <c r="D16" s="3">
        <v>163349</v>
      </c>
      <c r="E16" s="42" t="s">
        <v>2481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x14ac:dyDescent="0.35">
      <c r="A17" s="41" t="s">
        <v>2543</v>
      </c>
      <c r="B17" t="s">
        <v>2544</v>
      </c>
      <c r="C17" s="5">
        <v>45989</v>
      </c>
      <c r="D17" s="3">
        <v>87189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A18" s="41" t="s">
        <v>2545</v>
      </c>
      <c r="B18" t="s">
        <v>2546</v>
      </c>
      <c r="C18" s="5">
        <v>45991</v>
      </c>
      <c r="D18" s="3">
        <v>163349</v>
      </c>
      <c r="E18" s="42" t="s">
        <v>2481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41" x14ac:dyDescent="0.35">
      <c r="A19" s="41" t="s">
        <v>2547</v>
      </c>
      <c r="B19" t="s">
        <v>2548</v>
      </c>
      <c r="C19" s="5">
        <v>45991</v>
      </c>
      <c r="D19" s="3">
        <v>87189</v>
      </c>
      <c r="E19" s="42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1" ht="15" thickBot="1" x14ac:dyDescent="0.4">
      <c r="A20" s="43"/>
      <c r="B20" s="76"/>
      <c r="C20" s="45"/>
      <c r="D20" s="46"/>
      <c r="E20" s="4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1" x14ac:dyDescent="0.35"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24" t="s">
        <v>1962</v>
      </c>
      <c r="AL21" s="22" t="s">
        <v>1352</v>
      </c>
    </row>
    <row r="22" spans="1:41" x14ac:dyDescent="0.35">
      <c r="A22" s="2" t="s">
        <v>1676</v>
      </c>
      <c r="D22" s="3">
        <f>SUM(D13:D20)</f>
        <v>900009</v>
      </c>
      <c r="F22" s="3">
        <f t="shared" ref="F22:AJ22" si="1">SUM(F5:F20)</f>
        <v>0</v>
      </c>
      <c r="G22" s="3">
        <f t="shared" si="1"/>
        <v>0</v>
      </c>
      <c r="H22" s="3">
        <f t="shared" si="1"/>
        <v>0</v>
      </c>
      <c r="I22" s="3">
        <f t="shared" si="1"/>
        <v>0</v>
      </c>
      <c r="J22" s="3">
        <f t="shared" si="1"/>
        <v>0</v>
      </c>
      <c r="K22" s="3">
        <f t="shared" si="1"/>
        <v>80682</v>
      </c>
      <c r="L22" s="3">
        <f t="shared" si="1"/>
        <v>0</v>
      </c>
      <c r="M22" s="3">
        <f t="shared" si="1"/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206389</v>
      </c>
      <c r="S22" s="3">
        <f t="shared" si="1"/>
        <v>0</v>
      </c>
      <c r="T22" s="3">
        <f t="shared" si="1"/>
        <v>0</v>
      </c>
      <c r="U22" s="3">
        <f t="shared" si="1"/>
        <v>0</v>
      </c>
      <c r="V22" s="3">
        <f t="shared" si="1"/>
        <v>0</v>
      </c>
      <c r="W22" s="3">
        <f t="shared" si="1"/>
        <v>0</v>
      </c>
      <c r="X22" s="3">
        <f t="shared" si="1"/>
        <v>0</v>
      </c>
      <c r="Y22" s="3">
        <f t="shared" si="1"/>
        <v>0</v>
      </c>
      <c r="Z22" s="3">
        <f t="shared" si="1"/>
        <v>0</v>
      </c>
      <c r="AA22" s="3">
        <f t="shared" si="1"/>
        <v>0</v>
      </c>
      <c r="AB22" s="3">
        <f t="shared" si="1"/>
        <v>0</v>
      </c>
      <c r="AC22" s="3">
        <f t="shared" si="1"/>
        <v>0</v>
      </c>
      <c r="AD22" s="3">
        <f t="shared" si="1"/>
        <v>163349</v>
      </c>
      <c r="AE22" s="3">
        <f t="shared" si="1"/>
        <v>0</v>
      </c>
      <c r="AF22" s="3">
        <f t="shared" si="1"/>
        <v>0</v>
      </c>
      <c r="AG22" s="3">
        <f t="shared" si="1"/>
        <v>0</v>
      </c>
      <c r="AH22" s="3">
        <f t="shared" si="1"/>
        <v>0</v>
      </c>
      <c r="AI22" s="3">
        <f t="shared" si="1"/>
        <v>0</v>
      </c>
      <c r="AJ22" s="3">
        <f t="shared" si="1"/>
        <v>0</v>
      </c>
      <c r="AK22" s="72">
        <f>SUM(AK6:AK20)</f>
        <v>450420</v>
      </c>
      <c r="AL22" s="22">
        <f>+D23-AK22</f>
        <v>1294572</v>
      </c>
      <c r="AM22" s="6" t="s">
        <v>13</v>
      </c>
    </row>
    <row r="23" spans="1:41" x14ac:dyDescent="0.35">
      <c r="A23" s="2" t="s">
        <v>1780</v>
      </c>
      <c r="B23" t="s">
        <v>13</v>
      </c>
      <c r="C23" s="3" t="s">
        <v>13</v>
      </c>
      <c r="D23" s="3">
        <f>SUM(D6:D20)</f>
        <v>1744992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41" x14ac:dyDescent="0.35">
      <c r="A24" s="2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41" x14ac:dyDescent="0.35">
      <c r="A25" s="2" t="s">
        <v>2</v>
      </c>
      <c r="C25" t="s">
        <v>13</v>
      </c>
      <c r="F25" s="3"/>
      <c r="G25" s="3"/>
      <c r="H25" s="3"/>
      <c r="I25" s="3"/>
      <c r="J25" s="3"/>
      <c r="K25" s="3"/>
      <c r="L25" s="3" t="s">
        <v>13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41" ht="15" thickBot="1" x14ac:dyDescent="0.4">
      <c r="A26" s="404">
        <v>45178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41" x14ac:dyDescent="0.35">
      <c r="A27" s="358" t="s">
        <v>1008</v>
      </c>
      <c r="B27" s="37" t="s">
        <v>337</v>
      </c>
      <c r="C27" s="38"/>
      <c r="D27" s="39">
        <v>1900000</v>
      </c>
      <c r="E27" s="40"/>
      <c r="F27" s="3"/>
      <c r="G27" s="3"/>
      <c r="H27" s="3" t="s">
        <v>13</v>
      </c>
      <c r="I27" s="3" t="s">
        <v>13</v>
      </c>
      <c r="J27" s="3"/>
      <c r="K27" s="3"/>
      <c r="L27" s="3"/>
      <c r="M27" s="3"/>
      <c r="N27" s="3"/>
      <c r="O27" s="3"/>
      <c r="P27" s="3" t="s">
        <v>13</v>
      </c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 t="s">
        <v>13</v>
      </c>
      <c r="AE27" s="3"/>
      <c r="AF27" s="3"/>
      <c r="AG27" s="3"/>
      <c r="AH27" s="3"/>
      <c r="AI27" s="3"/>
      <c r="AK27" s="3">
        <f>SUM($F27:AJ27)</f>
        <v>0</v>
      </c>
    </row>
    <row r="28" spans="1:41" x14ac:dyDescent="0.35">
      <c r="A28" s="41" t="s">
        <v>2509</v>
      </c>
      <c r="B28" s="24"/>
      <c r="C28" s="5"/>
      <c r="D28" s="3">
        <v>72235</v>
      </c>
      <c r="E28" s="42"/>
      <c r="F28" s="3"/>
      <c r="G28" s="3"/>
      <c r="H28" s="3"/>
      <c r="I28" s="3"/>
      <c r="J28" s="3"/>
      <c r="K28" s="3"/>
      <c r="L28" s="3" t="s">
        <v>13</v>
      </c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 t="s">
        <v>13</v>
      </c>
      <c r="AD28" s="3" t="s">
        <v>13</v>
      </c>
      <c r="AE28" s="3"/>
      <c r="AF28" s="3"/>
      <c r="AG28" s="3"/>
      <c r="AH28" s="3"/>
      <c r="AI28" s="3"/>
      <c r="AK28" s="3">
        <f>SUM($F28:AJ28)</f>
        <v>0</v>
      </c>
    </row>
    <row r="29" spans="1:41" x14ac:dyDescent="0.35">
      <c r="A29" s="41" t="s">
        <v>2528</v>
      </c>
      <c r="B29" s="24"/>
      <c r="C29" s="5"/>
      <c r="D29" s="3">
        <v>198667</v>
      </c>
      <c r="E29" s="42"/>
      <c r="F29" s="3"/>
      <c r="G29" s="3"/>
      <c r="H29" s="3"/>
      <c r="I29" s="3"/>
      <c r="J29" s="3"/>
      <c r="K29" s="3"/>
      <c r="L29" s="3"/>
      <c r="M29" s="3">
        <v>198669</v>
      </c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K29" s="3">
        <f>SUM($F29:AJ29)</f>
        <v>198669</v>
      </c>
    </row>
    <row r="30" spans="1:41" x14ac:dyDescent="0.35">
      <c r="A30" s="343" t="s">
        <v>2477</v>
      </c>
      <c r="B30" s="24" t="s">
        <v>2478</v>
      </c>
      <c r="C30" s="5">
        <v>45525</v>
      </c>
      <c r="D30" s="3">
        <v>47951</v>
      </c>
      <c r="E30" s="344" t="s">
        <v>4</v>
      </c>
      <c r="F30" s="3"/>
      <c r="G30" s="3"/>
      <c r="H30" s="3"/>
      <c r="I30" s="3"/>
      <c r="J30" s="3"/>
      <c r="K30" s="3"/>
      <c r="L30" s="3">
        <v>47951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47951</v>
      </c>
      <c r="AN30" s="26"/>
      <c r="AO30" s="3"/>
    </row>
    <row r="31" spans="1:41" x14ac:dyDescent="0.35">
      <c r="A31" s="343" t="s">
        <v>1161</v>
      </c>
      <c r="B31" s="24" t="s">
        <v>2490</v>
      </c>
      <c r="C31" s="5">
        <v>45541</v>
      </c>
      <c r="D31" s="3">
        <v>20500</v>
      </c>
      <c r="E31" s="344" t="s">
        <v>4</v>
      </c>
      <c r="F31" s="3"/>
      <c r="G31" s="3"/>
      <c r="H31" s="3"/>
      <c r="I31" s="3"/>
      <c r="J31" s="3"/>
      <c r="K31" s="3"/>
      <c r="L31" s="3">
        <v>20500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20500</v>
      </c>
      <c r="AN31" s="26"/>
      <c r="AO31" s="3"/>
    </row>
    <row r="32" spans="1:41" x14ac:dyDescent="0.35">
      <c r="A32" s="343" t="s">
        <v>2126</v>
      </c>
      <c r="B32" s="24"/>
      <c r="C32" s="5">
        <v>45542</v>
      </c>
      <c r="D32" s="3">
        <v>6499</v>
      </c>
      <c r="E32" s="344" t="s">
        <v>4</v>
      </c>
      <c r="F32" s="3"/>
      <c r="G32" s="3"/>
      <c r="H32" s="3"/>
      <c r="I32" s="3"/>
      <c r="J32" s="3"/>
      <c r="K32" s="3"/>
      <c r="L32" s="3">
        <v>6499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 t="s">
        <v>13</v>
      </c>
      <c r="AE32" s="3"/>
      <c r="AF32" s="3"/>
      <c r="AG32" s="3"/>
      <c r="AH32" s="3"/>
      <c r="AI32" s="3"/>
      <c r="AJ32" s="3"/>
      <c r="AK32" s="3">
        <f>SUM($F32:AJ32)</f>
        <v>6499</v>
      </c>
      <c r="AN32" s="26"/>
      <c r="AO32" s="3"/>
    </row>
    <row r="33" spans="1:43" x14ac:dyDescent="0.35">
      <c r="A33" s="343" t="s">
        <v>1161</v>
      </c>
      <c r="B33" s="24" t="s">
        <v>2507</v>
      </c>
      <c r="C33" s="5">
        <v>45560</v>
      </c>
      <c r="D33" s="3">
        <v>13650</v>
      </c>
      <c r="E33" s="344" t="s">
        <v>4</v>
      </c>
      <c r="F33" s="3"/>
      <c r="G33" s="3"/>
      <c r="H33" s="3"/>
      <c r="I33" s="3"/>
      <c r="J33" s="3"/>
      <c r="K33" s="3"/>
      <c r="L33" s="3">
        <v>13650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13650</v>
      </c>
      <c r="AN33" s="26"/>
      <c r="AO33" s="3"/>
    </row>
    <row r="34" spans="1:43" x14ac:dyDescent="0.35">
      <c r="A34" s="343" t="s">
        <v>2126</v>
      </c>
      <c r="B34" s="24"/>
      <c r="C34" s="5">
        <v>45572</v>
      </c>
      <c r="D34" s="3">
        <v>6499</v>
      </c>
      <c r="E34" s="344" t="s">
        <v>4</v>
      </c>
      <c r="F34" s="3"/>
      <c r="G34" s="3"/>
      <c r="H34" s="3"/>
      <c r="I34" s="3"/>
      <c r="J34" s="3"/>
      <c r="K34" s="3"/>
      <c r="L34" s="3">
        <v>6499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 t="s">
        <v>13</v>
      </c>
      <c r="AE34" s="3"/>
      <c r="AF34" s="3"/>
      <c r="AG34" s="3"/>
      <c r="AH34" s="3"/>
      <c r="AI34" s="3"/>
      <c r="AJ34" s="3"/>
      <c r="AK34" s="3">
        <f>SUM($F34:AJ34)</f>
        <v>6499</v>
      </c>
      <c r="AN34" s="26"/>
      <c r="AO34" s="3"/>
    </row>
    <row r="35" spans="1:43" x14ac:dyDescent="0.35">
      <c r="A35" s="343" t="s">
        <v>1161</v>
      </c>
      <c r="B35" s="24" t="s">
        <v>2520</v>
      </c>
      <c r="C35" s="5">
        <v>45576</v>
      </c>
      <c r="D35" s="3">
        <v>17800</v>
      </c>
      <c r="E35" s="344" t="s">
        <v>4</v>
      </c>
      <c r="F35" s="3"/>
      <c r="G35" s="3"/>
      <c r="H35" s="3"/>
      <c r="I35" s="3"/>
      <c r="J35" s="3"/>
      <c r="K35" s="3"/>
      <c r="L35" s="3">
        <v>17800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17800</v>
      </c>
      <c r="AN35" s="26"/>
      <c r="AO35" s="3"/>
    </row>
    <row r="36" spans="1:43" x14ac:dyDescent="0.35">
      <c r="A36" s="343" t="s">
        <v>1328</v>
      </c>
      <c r="B36" s="24"/>
      <c r="C36" s="5">
        <v>45584</v>
      </c>
      <c r="D36" s="3">
        <v>81104</v>
      </c>
      <c r="E36" s="344" t="s">
        <v>4</v>
      </c>
      <c r="F36" s="3"/>
      <c r="G36" s="3"/>
      <c r="H36" s="3"/>
      <c r="I36" s="3"/>
      <c r="J36" s="3"/>
      <c r="K36" s="3"/>
      <c r="L36" s="3">
        <v>81104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Z36" s="3"/>
      <c r="AA36" s="3"/>
      <c r="AB36" s="3"/>
      <c r="AC36" s="3"/>
      <c r="AD36" s="3" t="s">
        <v>13</v>
      </c>
      <c r="AE36" s="3"/>
      <c r="AF36" s="3"/>
      <c r="AG36" s="3"/>
      <c r="AH36" s="3"/>
      <c r="AI36" s="3"/>
      <c r="AJ36" s="3"/>
      <c r="AK36" s="3">
        <f>SUM($F36:AJ36)</f>
        <v>81104</v>
      </c>
      <c r="AN36" s="26"/>
      <c r="AO36" s="3"/>
    </row>
    <row r="37" spans="1:43" x14ac:dyDescent="0.35">
      <c r="A37" s="41" t="s">
        <v>2527</v>
      </c>
      <c r="C37" s="5">
        <v>45601</v>
      </c>
      <c r="D37" s="3">
        <v>13905</v>
      </c>
      <c r="E37" s="42"/>
      <c r="F37" s="3"/>
      <c r="G37" s="3"/>
      <c r="H37" s="3"/>
      <c r="I37" s="3"/>
      <c r="J37" s="3">
        <v>13905</v>
      </c>
      <c r="K37" s="3"/>
      <c r="L37" s="3" t="s">
        <v>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 t="s">
        <v>13</v>
      </c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13905</v>
      </c>
    </row>
    <row r="38" spans="1:43" x14ac:dyDescent="0.35">
      <c r="A38" s="343" t="s">
        <v>2126</v>
      </c>
      <c r="B38" s="24"/>
      <c r="C38" s="5">
        <v>45602</v>
      </c>
      <c r="D38" s="3">
        <v>6499</v>
      </c>
      <c r="E38" s="344" t="s">
        <v>4</v>
      </c>
      <c r="F38" s="3"/>
      <c r="G38" s="3"/>
      <c r="H38" s="3"/>
      <c r="I38" s="3"/>
      <c r="J38" s="3"/>
      <c r="K38" s="3"/>
      <c r="L38" s="3">
        <v>6499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 t="s">
        <v>13</v>
      </c>
      <c r="AE38" s="3"/>
      <c r="AF38" s="3"/>
      <c r="AG38" s="3"/>
      <c r="AH38" s="3"/>
      <c r="AI38" s="3"/>
      <c r="AJ38" s="3"/>
      <c r="AK38" s="3">
        <f>SUM($F38:AJ38)</f>
        <v>6499</v>
      </c>
      <c r="AN38" s="26"/>
      <c r="AO38" s="3"/>
    </row>
    <row r="39" spans="1:43" x14ac:dyDescent="0.35">
      <c r="A39" s="343" t="s">
        <v>1161</v>
      </c>
      <c r="B39" s="24" t="s">
        <v>2537</v>
      </c>
      <c r="C39" s="5">
        <v>45605</v>
      </c>
      <c r="D39" s="3">
        <v>10970</v>
      </c>
      <c r="E39" s="344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N39" s="26"/>
      <c r="AO39" s="3"/>
    </row>
    <row r="40" spans="1:43" x14ac:dyDescent="0.35">
      <c r="A40" s="343" t="s">
        <v>1161</v>
      </c>
      <c r="B40" s="24" t="s">
        <v>2538</v>
      </c>
      <c r="C40" s="5">
        <v>45611</v>
      </c>
      <c r="D40" s="3">
        <v>10970</v>
      </c>
      <c r="E40" s="344" t="s">
        <v>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N40" s="26"/>
      <c r="AO40" s="3"/>
    </row>
    <row r="41" spans="1:43" x14ac:dyDescent="0.35">
      <c r="A41" s="343" t="s">
        <v>823</v>
      </c>
      <c r="B41" s="24"/>
      <c r="C41" s="5">
        <v>45615</v>
      </c>
      <c r="D41" s="3">
        <v>118977</v>
      </c>
      <c r="E41" s="344" t="s">
        <v>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N41" s="26"/>
      <c r="AO41" s="3"/>
    </row>
    <row r="42" spans="1:43" x14ac:dyDescent="0.35">
      <c r="A42" s="343" t="s">
        <v>2541</v>
      </c>
      <c r="B42" s="24" t="s">
        <v>782</v>
      </c>
      <c r="C42" s="5">
        <v>45617</v>
      </c>
      <c r="D42" s="3">
        <v>17350</v>
      </c>
      <c r="E42" s="344" t="s">
        <v>503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17350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17350</v>
      </c>
      <c r="AN42" s="26"/>
      <c r="AO42" s="3"/>
    </row>
    <row r="43" spans="1:43" x14ac:dyDescent="0.35">
      <c r="A43" s="343" t="s">
        <v>2556</v>
      </c>
      <c r="B43" s="24" t="s">
        <v>2098</v>
      </c>
      <c r="C43" s="5">
        <v>45623</v>
      </c>
      <c r="D43" s="3">
        <f>+(200*400+100*500)*1.19</f>
        <v>154700</v>
      </c>
      <c r="E43" s="344" t="s">
        <v>503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0</v>
      </c>
      <c r="AN43" s="26"/>
      <c r="AO43" s="3"/>
    </row>
    <row r="44" spans="1:43" x14ac:dyDescent="0.35">
      <c r="A44" s="343"/>
      <c r="B44" s="24"/>
      <c r="C44" s="5"/>
      <c r="D44" s="3"/>
      <c r="E44" s="34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0</v>
      </c>
      <c r="AN44" s="26"/>
      <c r="AO44" s="3"/>
    </row>
    <row r="45" spans="1:43" x14ac:dyDescent="0.35">
      <c r="A45" s="343"/>
      <c r="B45" s="24"/>
      <c r="C45" s="5"/>
      <c r="D45" s="3"/>
      <c r="E45" s="34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0</v>
      </c>
      <c r="AN45" s="26"/>
      <c r="AO45" s="3"/>
    </row>
    <row r="46" spans="1:43" ht="15" thickBot="1" x14ac:dyDescent="0.4">
      <c r="A46" s="43" t="s">
        <v>2529</v>
      </c>
      <c r="B46" s="76" t="s">
        <v>337</v>
      </c>
      <c r="C46" s="45" t="s">
        <v>13</v>
      </c>
      <c r="D46" s="46">
        <f>+AK22*0.17</f>
        <v>76571.400000000009</v>
      </c>
      <c r="E46" s="47"/>
      <c r="F46" s="3"/>
      <c r="G46" s="3" t="s">
        <v>13</v>
      </c>
      <c r="H46" s="3" t="s">
        <v>13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0</v>
      </c>
      <c r="AL46" s="6" t="s">
        <v>1846</v>
      </c>
      <c r="AM46" s="6" t="s">
        <v>13</v>
      </c>
      <c r="AN46" s="26" t="s">
        <v>13</v>
      </c>
      <c r="AO46" s="3"/>
    </row>
    <row r="47" spans="1:43" x14ac:dyDescent="0.35">
      <c r="A47" s="3" t="s">
        <v>13</v>
      </c>
      <c r="B47" s="24"/>
      <c r="C47" s="236" t="s">
        <v>13</v>
      </c>
      <c r="D47" s="3"/>
      <c r="E47" s="15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 t="s">
        <v>13</v>
      </c>
      <c r="AL47" s="22"/>
      <c r="AO47" s="14" t="s">
        <v>1558</v>
      </c>
      <c r="AP47" s="15">
        <f>+SUMIF(AL34:AL46,"CD",D34:D46)/1.19</f>
        <v>0</v>
      </c>
      <c r="AQ47" s="15" t="e">
        <f>+AP47*#REF!/#REF!</f>
        <v>#REF!</v>
      </c>
    </row>
    <row r="48" spans="1:43" x14ac:dyDescent="0.35">
      <c r="A48" s="4"/>
      <c r="B48" s="24"/>
      <c r="C48" s="67"/>
      <c r="D48" s="3"/>
      <c r="E48" s="153"/>
      <c r="F48" s="3" t="s">
        <v>13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 t="s">
        <v>13</v>
      </c>
      <c r="AL48" s="22"/>
      <c r="AO48" s="14" t="s">
        <v>1559</v>
      </c>
      <c r="AP48" s="15" t="e">
        <f>+#REF!-AP47</f>
        <v>#REF!</v>
      </c>
      <c r="AQ48" s="15" t="e">
        <f>+#REF!-AQ47</f>
        <v>#REF!</v>
      </c>
    </row>
    <row r="49" spans="1:43" x14ac:dyDescent="0.35">
      <c r="A49" s="4"/>
      <c r="B49" s="24"/>
      <c r="C49" s="67"/>
      <c r="D49" s="3"/>
      <c r="E49" s="15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 t="s">
        <v>13</v>
      </c>
      <c r="AL49" s="22"/>
      <c r="AO49" s="14" t="s">
        <v>1560</v>
      </c>
      <c r="AP49" s="327" t="e">
        <f>+AP48/#REF!</f>
        <v>#REF!</v>
      </c>
      <c r="AQ49" s="327" t="e">
        <f>+AQ48/#REF!</f>
        <v>#REF!</v>
      </c>
    </row>
    <row r="50" spans="1:43" x14ac:dyDescent="0.35">
      <c r="A50" s="4"/>
      <c r="B50" s="67"/>
      <c r="C50" s="236"/>
      <c r="E50" s="15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AJ50" s="3"/>
      <c r="AK50" s="3"/>
      <c r="AL50" s="22" t="s">
        <v>1388</v>
      </c>
      <c r="AM50" s="6" t="s">
        <v>1430</v>
      </c>
      <c r="AO50" s="14" t="s">
        <v>81</v>
      </c>
      <c r="AP50" s="15" t="e">
        <f>+SUMIF(AL34:AL46,"GAV",D34:D46)/1.19+SUMIF(#REF!,"REM",#REF!)</f>
        <v>#REF!</v>
      </c>
      <c r="AQ50" s="15" t="e">
        <f>+AP50*#REF!/#REF!</f>
        <v>#REF!</v>
      </c>
    </row>
    <row r="51" spans="1:43" x14ac:dyDescent="0.35">
      <c r="A51" s="2" t="s">
        <v>9</v>
      </c>
      <c r="D51" s="72" t="e">
        <f>SUM(D34:D49)-#REF!</f>
        <v>#REF!</v>
      </c>
      <c r="F51" s="3">
        <f t="shared" ref="F51:AJ51" si="2">SUM(F27:F50)</f>
        <v>0</v>
      </c>
      <c r="G51" s="3">
        <f t="shared" si="2"/>
        <v>0</v>
      </c>
      <c r="H51" s="3">
        <f t="shared" si="2"/>
        <v>0</v>
      </c>
      <c r="I51" s="3">
        <f t="shared" si="2"/>
        <v>0</v>
      </c>
      <c r="J51" s="3">
        <f t="shared" si="2"/>
        <v>13905</v>
      </c>
      <c r="K51" s="3">
        <f t="shared" si="2"/>
        <v>0</v>
      </c>
      <c r="L51" s="3">
        <f t="shared" si="2"/>
        <v>200502</v>
      </c>
      <c r="M51" s="3">
        <f t="shared" si="2"/>
        <v>198669</v>
      </c>
      <c r="N51" s="3">
        <f t="shared" si="2"/>
        <v>0</v>
      </c>
      <c r="O51" s="3">
        <f t="shared" si="2"/>
        <v>0</v>
      </c>
      <c r="P51" s="3">
        <f t="shared" si="2"/>
        <v>0</v>
      </c>
      <c r="Q51" s="3">
        <f t="shared" si="2"/>
        <v>0</v>
      </c>
      <c r="R51" s="3">
        <f t="shared" si="2"/>
        <v>0</v>
      </c>
      <c r="S51" s="3">
        <f t="shared" si="2"/>
        <v>0</v>
      </c>
      <c r="T51" s="3">
        <f t="shared" si="2"/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3">
        <f t="shared" si="2"/>
        <v>0</v>
      </c>
      <c r="Y51" s="3">
        <f t="shared" si="2"/>
        <v>0</v>
      </c>
      <c r="Z51" s="3">
        <f t="shared" si="2"/>
        <v>17350</v>
      </c>
      <c r="AA51" s="3">
        <f t="shared" si="2"/>
        <v>0</v>
      </c>
      <c r="AB51" s="3">
        <f t="shared" si="2"/>
        <v>0</v>
      </c>
      <c r="AC51" s="3">
        <f t="shared" si="2"/>
        <v>0</v>
      </c>
      <c r="AD51" s="3">
        <f t="shared" si="2"/>
        <v>0</v>
      </c>
      <c r="AE51" s="3">
        <f t="shared" si="2"/>
        <v>0</v>
      </c>
      <c r="AF51" s="3">
        <f t="shared" si="2"/>
        <v>0</v>
      </c>
      <c r="AG51" s="3">
        <f t="shared" si="2"/>
        <v>0</v>
      </c>
      <c r="AH51" s="3">
        <f t="shared" si="2"/>
        <v>0</v>
      </c>
      <c r="AI51" s="3">
        <f t="shared" si="2"/>
        <v>0</v>
      </c>
      <c r="AJ51" s="3">
        <f t="shared" si="2"/>
        <v>0</v>
      </c>
      <c r="AK51" s="72">
        <f>SUM(AK27:AK49)-AK27</f>
        <v>430426</v>
      </c>
      <c r="AL51" s="324" t="e">
        <f>+D51-AK51</f>
        <v>#REF!</v>
      </c>
      <c r="AM51" s="324" t="e">
        <f>+AJ52+AL22-AL51-1200000</f>
        <v>#REF!</v>
      </c>
      <c r="AO51" s="14" t="s">
        <v>1561</v>
      </c>
      <c r="AP51" s="15" t="e">
        <f>+AP48-AP50</f>
        <v>#REF!</v>
      </c>
      <c r="AQ51" s="15" t="e">
        <f>+AQ48-AQ50</f>
        <v>#REF!</v>
      </c>
    </row>
    <row r="52" spans="1:43" x14ac:dyDescent="0.35">
      <c r="A52" t="s">
        <v>8</v>
      </c>
      <c r="F52" s="3">
        <f t="shared" ref="F52:AJ52" si="3">+F22+F3-F51</f>
        <v>3014217.8448390844</v>
      </c>
      <c r="G52" s="3">
        <f t="shared" si="3"/>
        <v>3014217.8448390844</v>
      </c>
      <c r="H52" s="3">
        <f t="shared" si="3"/>
        <v>3014217.8448390844</v>
      </c>
      <c r="I52" s="3">
        <f t="shared" si="3"/>
        <v>3014217.8448390844</v>
      </c>
      <c r="J52" s="3">
        <f t="shared" si="3"/>
        <v>3000312.8448390844</v>
      </c>
      <c r="K52" s="3">
        <f t="shared" si="3"/>
        <v>3080994.8448390844</v>
      </c>
      <c r="L52" s="3">
        <f t="shared" si="3"/>
        <v>2880492.8448390844</v>
      </c>
      <c r="M52" s="3">
        <f t="shared" si="3"/>
        <v>2681823.8448390844</v>
      </c>
      <c r="N52" s="3">
        <f t="shared" si="3"/>
        <v>2681823.8448390844</v>
      </c>
      <c r="O52" s="3">
        <f t="shared" si="3"/>
        <v>2681823.8448390844</v>
      </c>
      <c r="P52" s="3">
        <f t="shared" si="3"/>
        <v>2681823.8448390844</v>
      </c>
      <c r="Q52" s="3">
        <f t="shared" si="3"/>
        <v>2681823.8448390844</v>
      </c>
      <c r="R52" s="3">
        <f t="shared" si="3"/>
        <v>2888212.8448390844</v>
      </c>
      <c r="S52" s="3">
        <f t="shared" si="3"/>
        <v>2888212.8448390844</v>
      </c>
      <c r="T52" s="3">
        <f t="shared" si="3"/>
        <v>2888212.8448390844</v>
      </c>
      <c r="U52" s="3">
        <f t="shared" si="3"/>
        <v>2888212.8448390844</v>
      </c>
      <c r="V52" s="3">
        <f t="shared" si="3"/>
        <v>2888212.8448390844</v>
      </c>
      <c r="W52" s="3">
        <f t="shared" si="3"/>
        <v>2888212.8448390844</v>
      </c>
      <c r="X52" s="3">
        <f t="shared" si="3"/>
        <v>2888212.8448390844</v>
      </c>
      <c r="Y52" s="3">
        <f t="shared" si="3"/>
        <v>2888212.8448390844</v>
      </c>
      <c r="Z52" s="3">
        <f t="shared" si="3"/>
        <v>2870862.8448390844</v>
      </c>
      <c r="AA52" s="3">
        <f t="shared" si="3"/>
        <v>2870862.8448390844</v>
      </c>
      <c r="AB52" s="3">
        <f t="shared" si="3"/>
        <v>2870862.8448390844</v>
      </c>
      <c r="AC52" s="3">
        <f t="shared" si="3"/>
        <v>2870862.8448390844</v>
      </c>
      <c r="AD52" s="3">
        <f t="shared" si="3"/>
        <v>3034211.8448390844</v>
      </c>
      <c r="AE52" s="3">
        <f t="shared" si="3"/>
        <v>3034211.8448390844</v>
      </c>
      <c r="AF52" s="3">
        <f t="shared" si="3"/>
        <v>3034211.8448390844</v>
      </c>
      <c r="AG52" s="3">
        <f t="shared" si="3"/>
        <v>3034211.8448390844</v>
      </c>
      <c r="AH52" s="3">
        <f t="shared" si="3"/>
        <v>3034211.8448390844</v>
      </c>
      <c r="AI52" s="3">
        <f t="shared" si="3"/>
        <v>3034211.8448390844</v>
      </c>
      <c r="AJ52" s="3">
        <f t="shared" si="3"/>
        <v>3034211.8448390844</v>
      </c>
      <c r="AK52" s="3" t="s">
        <v>13</v>
      </c>
      <c r="AM52" s="22" t="s">
        <v>13</v>
      </c>
      <c r="AO52" s="14" t="s">
        <v>1563</v>
      </c>
      <c r="AP52" s="15">
        <f>+SUMIF(AL34:AL46,"GF",D34:D46)</f>
        <v>0</v>
      </c>
      <c r="AQ52" s="15">
        <v>0</v>
      </c>
    </row>
    <row r="53" spans="1:43" x14ac:dyDescent="0.35">
      <c r="F53" s="3"/>
      <c r="G53" s="3"/>
      <c r="H53" s="3"/>
      <c r="I53" s="3" t="s">
        <v>13</v>
      </c>
      <c r="J53" s="3"/>
      <c r="K53" s="3" t="s">
        <v>13</v>
      </c>
      <c r="L53" s="3"/>
      <c r="M53" s="3"/>
      <c r="N53" s="3"/>
      <c r="O53" s="3"/>
      <c r="P53" s="3" t="s">
        <v>13</v>
      </c>
      <c r="Q53" s="3"/>
      <c r="R53" s="3"/>
      <c r="S53" s="3"/>
      <c r="T53" s="3" t="s">
        <v>13</v>
      </c>
      <c r="U53" s="3"/>
      <c r="V53" s="3"/>
      <c r="W53" s="3"/>
      <c r="Y53" s="3" t="s">
        <v>13</v>
      </c>
      <c r="Z53" s="3" t="s">
        <v>13</v>
      </c>
      <c r="AA53" s="3" t="s">
        <v>13</v>
      </c>
      <c r="AB53" s="3" t="s">
        <v>13</v>
      </c>
      <c r="AO53" s="14" t="s">
        <v>82</v>
      </c>
      <c r="AP53" s="15">
        <v>0</v>
      </c>
      <c r="AQ53" s="15">
        <f>+SUMIF(AL34:AL46,"AF",D34:D46)/1.19</f>
        <v>0</v>
      </c>
    </row>
    <row r="54" spans="1:43" ht="15" thickBot="1" x14ac:dyDescent="0.4">
      <c r="F54" s="3" t="s">
        <v>13</v>
      </c>
      <c r="G54" s="3" t="s">
        <v>13</v>
      </c>
      <c r="H54" s="3" t="s">
        <v>13</v>
      </c>
      <c r="I54" s="3"/>
      <c r="J54" s="3"/>
      <c r="K54" s="3"/>
      <c r="L54" s="3"/>
      <c r="M54" s="3"/>
      <c r="N54" s="3"/>
      <c r="O54" s="3"/>
      <c r="P54" s="3" t="s">
        <v>13</v>
      </c>
      <c r="Q54" s="3" t="s">
        <v>13</v>
      </c>
      <c r="R54" s="3" t="s">
        <v>13</v>
      </c>
      <c r="S54" s="3"/>
      <c r="T54" s="3"/>
      <c r="U54" s="3" t="s">
        <v>13</v>
      </c>
      <c r="V54" s="3"/>
      <c r="W54" s="3"/>
      <c r="AB54" s="3" t="s">
        <v>13</v>
      </c>
      <c r="AG54" s="3" t="s">
        <v>13</v>
      </c>
      <c r="AJ54" s="3" t="s">
        <v>13</v>
      </c>
      <c r="AO54" s="16"/>
      <c r="AP54" s="19" t="e">
        <f>+AP51-AP52-AP53</f>
        <v>#REF!</v>
      </c>
      <c r="AQ54" s="19" t="e">
        <f>+AQ51-AQ52-AQ53</f>
        <v>#REF!</v>
      </c>
    </row>
    <row r="55" spans="1:43" x14ac:dyDescent="0.35">
      <c r="A55" t="s">
        <v>2163</v>
      </c>
      <c r="B55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5" s="3" t="e">
        <f>+B55*0.16</f>
        <v>#REF!</v>
      </c>
      <c r="E55" s="6" t="s">
        <v>13</v>
      </c>
      <c r="F55" s="3"/>
      <c r="G55" s="3" t="s">
        <v>13</v>
      </c>
      <c r="H55" s="3" t="s">
        <v>13</v>
      </c>
      <c r="I55" s="3"/>
      <c r="J55" s="3"/>
      <c r="K55" s="3"/>
      <c r="L55" s="3"/>
      <c r="M55" s="3">
        <f>1920744-M52</f>
        <v>-761079.84483908443</v>
      </c>
      <c r="N55" s="3"/>
      <c r="O55" s="3"/>
      <c r="W55" s="3"/>
      <c r="AB55" s="3" t="s">
        <v>13</v>
      </c>
      <c r="AG55" s="3" t="s">
        <v>13</v>
      </c>
      <c r="AJ55" s="3" t="s">
        <v>13</v>
      </c>
      <c r="AO55" t="s">
        <v>1961</v>
      </c>
      <c r="AP55" s="26" t="e">
        <f ca="1">+AP$54+'May-23'!AP82</f>
        <v>#REF!</v>
      </c>
      <c r="AQ55" s="3" t="e">
        <f ca="1">+AQ$54+'May-23'!AQ82</f>
        <v>#REF!</v>
      </c>
    </row>
    <row r="56" spans="1:43" x14ac:dyDescent="0.35">
      <c r="F56" s="3"/>
      <c r="G56" s="3" t="s">
        <v>13</v>
      </c>
      <c r="H56" s="3"/>
      <c r="I56" s="3"/>
      <c r="J56" s="3"/>
      <c r="K56" s="3"/>
      <c r="L56" s="3"/>
      <c r="M56" s="3"/>
      <c r="N56" s="3"/>
      <c r="O56" s="3"/>
      <c r="W56" s="3" t="s">
        <v>13</v>
      </c>
      <c r="AB56" s="3" t="s">
        <v>13</v>
      </c>
      <c r="AD56" t="s">
        <v>13</v>
      </c>
      <c r="AE56" t="s">
        <v>13</v>
      </c>
      <c r="AG56" s="3" t="s">
        <v>13</v>
      </c>
      <c r="AJ56" s="3" t="s">
        <v>13</v>
      </c>
      <c r="AO56" t="s">
        <v>1960</v>
      </c>
      <c r="AP56" s="26" t="e">
        <f ca="1">+AP$54+'May-23'!AP83</f>
        <v>#REF!</v>
      </c>
      <c r="AQ56" s="3" t="e">
        <f ca="1">+AQ$54+'May-23'!AQ83</f>
        <v>#REF!</v>
      </c>
    </row>
    <row r="57" spans="1:43" x14ac:dyDescent="0.35">
      <c r="A57" t="s">
        <v>13</v>
      </c>
      <c r="F57" s="3" t="s">
        <v>13</v>
      </c>
      <c r="G57" s="3" t="s">
        <v>13</v>
      </c>
      <c r="H57" s="3"/>
      <c r="I57" s="3"/>
      <c r="J57" s="3"/>
      <c r="K57" s="3"/>
      <c r="L57" s="3"/>
      <c r="M57" s="3">
        <v>538500</v>
      </c>
      <c r="N57" s="3"/>
      <c r="O57" s="3"/>
      <c r="W57" s="3"/>
      <c r="AB57" s="3" t="s">
        <v>13</v>
      </c>
      <c r="AD57" t="s">
        <v>13</v>
      </c>
      <c r="AG57" s="3" t="s">
        <v>13</v>
      </c>
      <c r="AJ57" s="3" t="s">
        <v>13</v>
      </c>
    </row>
    <row r="58" spans="1:43" x14ac:dyDescent="0.35">
      <c r="B58" t="s">
        <v>13</v>
      </c>
      <c r="F58" s="3" t="s">
        <v>13</v>
      </c>
      <c r="G58" s="3" t="s">
        <v>13</v>
      </c>
      <c r="H58" s="3"/>
      <c r="I58" s="3"/>
      <c r="J58" s="3"/>
      <c r="K58" s="3"/>
      <c r="L58" s="3" t="s">
        <v>13</v>
      </c>
      <c r="M58" s="3">
        <v>682100</v>
      </c>
      <c r="N58" s="3"/>
      <c r="O58" s="3"/>
      <c r="W58" s="3"/>
      <c r="AB58" s="3" t="s">
        <v>13</v>
      </c>
      <c r="AG58" s="3" t="s">
        <v>13</v>
      </c>
      <c r="AJ58" s="3" t="s">
        <v>13</v>
      </c>
      <c r="AL58"/>
      <c r="AM58"/>
    </row>
    <row r="59" spans="1:43" x14ac:dyDescent="0.35">
      <c r="F59" s="3"/>
      <c r="G59" s="3" t="s">
        <v>13</v>
      </c>
      <c r="H59" s="3"/>
      <c r="I59" s="3"/>
      <c r="J59" s="3"/>
      <c r="K59" s="3"/>
      <c r="L59" s="3"/>
      <c r="M59" s="3">
        <f>SUM(M57:M58)</f>
        <v>1220600</v>
      </c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F60" s="3"/>
      <c r="G60" s="3" t="s">
        <v>13</v>
      </c>
      <c r="H60" s="3"/>
      <c r="I60" s="3"/>
      <c r="J60" s="3"/>
      <c r="K60" s="3"/>
      <c r="L60" s="3"/>
      <c r="AB60" t="s">
        <v>13</v>
      </c>
      <c r="AG60" s="3" t="s">
        <v>13</v>
      </c>
      <c r="AJ60" s="3" t="s">
        <v>13</v>
      </c>
      <c r="AL60"/>
      <c r="AM60"/>
      <c r="AQ60" t="s">
        <v>13</v>
      </c>
    </row>
    <row r="61" spans="1:43" x14ac:dyDescent="0.35">
      <c r="B61" t="s">
        <v>13</v>
      </c>
      <c r="C61" t="s">
        <v>13</v>
      </c>
      <c r="F61" s="3"/>
      <c r="G61" s="3" t="s">
        <v>13</v>
      </c>
      <c r="H61" s="3"/>
      <c r="I61" s="3"/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C62" t="s">
        <v>13</v>
      </c>
      <c r="F62" s="3"/>
      <c r="G62" s="3" t="s">
        <v>2417</v>
      </c>
      <c r="H62" s="3"/>
      <c r="I62" s="3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F63" s="3"/>
      <c r="G63" s="3" t="s">
        <v>13</v>
      </c>
      <c r="H63" s="3"/>
      <c r="I63" s="3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288">
        <f>212-60</f>
        <v>152</v>
      </c>
      <c r="H64" s="288">
        <f>+G64-60</f>
        <v>92</v>
      </c>
      <c r="I64" s="288">
        <f>+H64/3</f>
        <v>30.666666666666668</v>
      </c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288">
        <f>+G64/2</f>
        <v>76</v>
      </c>
      <c r="H65" s="288"/>
      <c r="I65" s="288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288">
        <f>+G65/2</f>
        <v>38</v>
      </c>
      <c r="H66" s="288"/>
      <c r="I66" s="288">
        <f>I64*3+60</f>
        <v>152</v>
      </c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288">
        <f>+G66-15</f>
        <v>23</v>
      </c>
      <c r="H67" s="288"/>
      <c r="I67" s="288"/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G68" s="3" t="s">
        <v>13</v>
      </c>
      <c r="AJ68" s="3" t="s">
        <v>13</v>
      </c>
      <c r="AL68"/>
      <c r="AM68"/>
    </row>
    <row r="69" spans="2:39" x14ac:dyDescent="0.35">
      <c r="B69" t="s">
        <v>13</v>
      </c>
      <c r="F69" s="3"/>
      <c r="G69" s="3" t="s">
        <v>13</v>
      </c>
      <c r="H69" s="3"/>
      <c r="I69" s="3"/>
      <c r="J69" s="3"/>
      <c r="K69" s="3"/>
      <c r="L69" s="3"/>
      <c r="AG69" s="3" t="s">
        <v>13</v>
      </c>
      <c r="AJ69" s="3" t="s">
        <v>13</v>
      </c>
      <c r="AL69"/>
      <c r="AM69"/>
    </row>
    <row r="70" spans="2:39" x14ac:dyDescent="0.35">
      <c r="B70" t="s">
        <v>13</v>
      </c>
      <c r="F70" s="3"/>
      <c r="G70" s="3" t="s">
        <v>13</v>
      </c>
      <c r="H70" s="3"/>
      <c r="I70" s="3"/>
      <c r="J70" s="3"/>
      <c r="K70" s="3"/>
      <c r="L70" s="3"/>
      <c r="AG70" s="3" t="s">
        <v>13</v>
      </c>
      <c r="AJ70" s="3" t="s">
        <v>13</v>
      </c>
      <c r="AL70"/>
      <c r="AM70"/>
    </row>
    <row r="71" spans="2:39" x14ac:dyDescent="0.35">
      <c r="B71" t="s">
        <v>13</v>
      </c>
      <c r="F71" s="3"/>
      <c r="G71" s="3" t="s">
        <v>13</v>
      </c>
      <c r="H71" s="3"/>
      <c r="I71" s="3"/>
      <c r="J71" s="3"/>
      <c r="K71" s="3"/>
      <c r="L71" s="3"/>
      <c r="AG71" s="3" t="s">
        <v>13</v>
      </c>
      <c r="AJ71" s="3" t="s">
        <v>13</v>
      </c>
      <c r="AL71"/>
      <c r="AM71"/>
    </row>
    <row r="72" spans="2:39" x14ac:dyDescent="0.35">
      <c r="B72" t="s">
        <v>13</v>
      </c>
      <c r="F72" s="3"/>
      <c r="G72" s="3" t="s">
        <v>13</v>
      </c>
      <c r="H72" s="3"/>
      <c r="I72" s="3"/>
      <c r="J72" s="3"/>
      <c r="K72" s="3"/>
      <c r="L72" s="3"/>
      <c r="AL72"/>
      <c r="AM72"/>
    </row>
    <row r="73" spans="2:39" x14ac:dyDescent="0.35">
      <c r="B73" t="s">
        <v>13</v>
      </c>
      <c r="F73" s="3"/>
      <c r="G73" s="3" t="s">
        <v>13</v>
      </c>
      <c r="H73" s="3"/>
      <c r="I73" s="3"/>
      <c r="J73" s="3"/>
      <c r="K73" s="3"/>
      <c r="L73" s="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</sheetData>
  <sortState xmlns:xlrd2="http://schemas.microsoft.com/office/spreadsheetml/2017/richdata2" ref="A30:AQ43">
    <sortCondition ref="C30:C43"/>
  </sortState>
  <phoneticPr fontId="20" type="noConversion"/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85FA-305B-4315-A3BA-83BF9379A035}">
  <dimension ref="A1:AQ109"/>
  <sheetViews>
    <sheetView zoomScale="70" zoomScaleNormal="70" workbookViewId="0">
      <pane xSplit="5" ySplit="3" topLeftCell="AH27" activePane="bottomRight" state="frozen"/>
      <selection pane="topRight" activeCell="F1" sqref="F1"/>
      <selection pane="bottomLeft" activeCell="A4" sqref="A4"/>
      <selection pane="bottomRight" activeCell="AK44" sqref="AK44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1.6328125" customWidth="1"/>
    <col min="31" max="31" width="11.26953125" customWidth="1"/>
    <col min="32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45627</v>
      </c>
      <c r="G2" s="1">
        <v>45628</v>
      </c>
      <c r="H2" s="1">
        <v>45629</v>
      </c>
      <c r="I2" s="1">
        <v>45630</v>
      </c>
      <c r="J2" s="1">
        <v>45631</v>
      </c>
      <c r="K2" s="1">
        <v>45632</v>
      </c>
      <c r="L2" s="1">
        <v>45633</v>
      </c>
      <c r="M2" s="1">
        <v>45634</v>
      </c>
      <c r="N2" s="1">
        <v>45635</v>
      </c>
      <c r="O2" s="1">
        <v>45636</v>
      </c>
      <c r="P2" s="1">
        <v>45637</v>
      </c>
      <c r="Q2" s="1">
        <v>45638</v>
      </c>
      <c r="R2" s="1">
        <v>45639</v>
      </c>
      <c r="S2" s="1">
        <v>45640</v>
      </c>
      <c r="T2" s="1">
        <v>45641</v>
      </c>
      <c r="U2" s="1">
        <v>45642</v>
      </c>
      <c r="V2" s="1">
        <v>45643</v>
      </c>
      <c r="W2" s="1">
        <v>45644</v>
      </c>
      <c r="X2" s="1">
        <v>45645</v>
      </c>
      <c r="Y2" s="1">
        <v>45646</v>
      </c>
      <c r="Z2" s="1">
        <v>45647</v>
      </c>
      <c r="AA2" s="1">
        <v>45648</v>
      </c>
      <c r="AB2" s="1">
        <v>45649</v>
      </c>
      <c r="AC2" s="1">
        <v>45650</v>
      </c>
      <c r="AD2" s="1">
        <v>45651</v>
      </c>
      <c r="AE2" s="1">
        <v>45652</v>
      </c>
      <c r="AF2" s="1">
        <v>45653</v>
      </c>
      <c r="AG2" s="1">
        <v>45654</v>
      </c>
      <c r="AH2" s="1">
        <v>45655</v>
      </c>
      <c r="AI2" s="1">
        <v>45656</v>
      </c>
      <c r="AJ2" s="1">
        <v>45657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+'Nov-24'!AJ52</f>
        <v>3034211.8448390844</v>
      </c>
      <c r="G3" s="3">
        <f t="shared" ref="G3:AJ3" si="0">+F55</f>
        <v>3034211.8448390844</v>
      </c>
      <c r="H3" s="3">
        <f t="shared" si="0"/>
        <v>3034211.8448390844</v>
      </c>
      <c r="I3" s="3">
        <f t="shared" si="0"/>
        <v>3034211.8448390844</v>
      </c>
      <c r="J3" s="3">
        <f t="shared" si="0"/>
        <v>3261035.8448390844</v>
      </c>
      <c r="K3" s="3">
        <f t="shared" si="0"/>
        <v>3247114.8448390844</v>
      </c>
      <c r="L3" s="3">
        <f t="shared" si="0"/>
        <v>3210114.8448390844</v>
      </c>
      <c r="M3" s="3">
        <f t="shared" si="0"/>
        <v>3210114.8448390844</v>
      </c>
      <c r="N3" s="3">
        <f t="shared" si="0"/>
        <v>3210114.8448390844</v>
      </c>
      <c r="O3" s="3">
        <f t="shared" si="0"/>
        <v>3210114.8448390844</v>
      </c>
      <c r="P3" s="3">
        <f t="shared" si="0"/>
        <v>3210114.8448390844</v>
      </c>
      <c r="Q3" s="3">
        <f t="shared" si="0"/>
        <v>3210114.8448390844</v>
      </c>
      <c r="R3" s="3">
        <f t="shared" si="0"/>
        <v>2373508.8448390844</v>
      </c>
      <c r="S3" s="3">
        <f t="shared" si="0"/>
        <v>2373508.8448390844</v>
      </c>
      <c r="T3" s="3">
        <f t="shared" si="0"/>
        <v>2373508.8448390844</v>
      </c>
      <c r="U3" s="3">
        <f t="shared" si="0"/>
        <v>2373508.8448390844</v>
      </c>
      <c r="V3" s="3">
        <f t="shared" si="0"/>
        <v>2699097.8448390844</v>
      </c>
      <c r="W3" s="3">
        <f t="shared" si="0"/>
        <v>2699097.8448390844</v>
      </c>
      <c r="X3" s="3">
        <f t="shared" si="0"/>
        <v>2699097.8448390844</v>
      </c>
      <c r="Y3" s="3">
        <f t="shared" si="0"/>
        <v>2699097.8448390844</v>
      </c>
      <c r="Z3" s="3">
        <f t="shared" si="0"/>
        <v>2699097.8448390844</v>
      </c>
      <c r="AA3" s="3">
        <f t="shared" si="0"/>
        <v>2544397.8448390844</v>
      </c>
      <c r="AB3" s="3">
        <f t="shared" si="0"/>
        <v>2544397.8448390844</v>
      </c>
      <c r="AC3" s="3">
        <f t="shared" si="0"/>
        <v>2544397.8448390844</v>
      </c>
      <c r="AD3" s="3">
        <f t="shared" si="0"/>
        <v>2544397.8448390844</v>
      </c>
      <c r="AE3" s="3">
        <f t="shared" si="0"/>
        <v>2544397.8448390844</v>
      </c>
      <c r="AF3" s="3">
        <f t="shared" si="0"/>
        <v>2544397.8448390844</v>
      </c>
      <c r="AG3" s="3">
        <f t="shared" si="0"/>
        <v>2544397.8448390844</v>
      </c>
      <c r="AH3" s="3">
        <f t="shared" si="0"/>
        <v>2544397.8448390844</v>
      </c>
      <c r="AI3" s="3">
        <f t="shared" si="0"/>
        <v>2544397.8448390844</v>
      </c>
      <c r="AJ3" s="3">
        <f t="shared" si="0"/>
        <v>2544397.8448390844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2404</v>
      </c>
      <c r="B6" s="66" t="s">
        <v>2403</v>
      </c>
      <c r="C6" s="38">
        <v>45386</v>
      </c>
      <c r="D6" s="39">
        <v>124390</v>
      </c>
      <c r="E6" s="40" t="s">
        <v>2402</v>
      </c>
      <c r="F6" s="3"/>
      <c r="G6" s="3"/>
      <c r="H6" s="3"/>
      <c r="I6" s="3"/>
      <c r="J6" s="3"/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2521</v>
      </c>
      <c r="B7" t="s">
        <v>2522</v>
      </c>
      <c r="C7" s="5">
        <v>45590</v>
      </c>
      <c r="D7" s="3">
        <v>163349</v>
      </c>
      <c r="E7" s="42" t="s">
        <v>2481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163394</v>
      </c>
      <c r="R7" s="3"/>
      <c r="S7" s="3"/>
      <c r="T7" s="3"/>
      <c r="U7" s="3"/>
      <c r="V7" s="3"/>
      <c r="W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163394</v>
      </c>
      <c r="AL7" s="22"/>
    </row>
    <row r="8" spans="1:39" x14ac:dyDescent="0.35">
      <c r="A8" s="41" t="s">
        <v>2523</v>
      </c>
      <c r="B8" t="s">
        <v>2524</v>
      </c>
      <c r="C8" s="5">
        <v>45590</v>
      </c>
      <c r="D8" s="3">
        <v>87189</v>
      </c>
      <c r="E8" s="42" t="s">
        <v>2325</v>
      </c>
      <c r="F8" s="3"/>
      <c r="G8" s="3" t="s">
        <v>13</v>
      </c>
      <c r="H8" s="3"/>
      <c r="I8" s="3">
        <v>51369</v>
      </c>
      <c r="J8" s="3" t="s">
        <v>13</v>
      </c>
      <c r="K8" s="3" t="s">
        <v>13</v>
      </c>
      <c r="L8" s="3"/>
      <c r="M8" s="3"/>
      <c r="N8" s="3"/>
      <c r="O8" s="3"/>
      <c r="P8" s="3"/>
      <c r="Q8" s="3"/>
      <c r="R8" s="3" t="s">
        <v>13</v>
      </c>
      <c r="S8" s="3"/>
      <c r="T8" s="3"/>
      <c r="U8" s="3"/>
      <c r="V8" s="3"/>
      <c r="W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51369</v>
      </c>
      <c r="AL8" s="22"/>
    </row>
    <row r="9" spans="1:39" x14ac:dyDescent="0.35">
      <c r="A9" s="41" t="s">
        <v>2531</v>
      </c>
      <c r="B9" t="s">
        <v>2532</v>
      </c>
      <c r="C9" s="5">
        <v>45603</v>
      </c>
      <c r="D9" s="3">
        <v>119200</v>
      </c>
      <c r="E9" s="42" t="s">
        <v>2325</v>
      </c>
      <c r="F9" s="3"/>
      <c r="G9" s="3"/>
      <c r="H9" s="3"/>
      <c r="I9" s="3">
        <v>119200</v>
      </c>
      <c r="J9" s="3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119200</v>
      </c>
      <c r="AL9" s="22"/>
    </row>
    <row r="10" spans="1:39" x14ac:dyDescent="0.35">
      <c r="A10" s="41" t="s">
        <v>2533</v>
      </c>
      <c r="B10" t="s">
        <v>2534</v>
      </c>
      <c r="C10" s="5">
        <v>45605</v>
      </c>
      <c r="D10" s="3">
        <v>119200</v>
      </c>
      <c r="E10" s="42" t="s">
        <v>2325</v>
      </c>
      <c r="F10" s="3"/>
      <c r="G10" s="3"/>
      <c r="H10" s="3"/>
      <c r="I10" s="3">
        <f>226824-51369-119200</f>
        <v>56255</v>
      </c>
      <c r="J10" s="3" t="s">
        <v>13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62945</v>
      </c>
      <c r="V10" s="3"/>
      <c r="W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119200</v>
      </c>
      <c r="AL10" s="22"/>
    </row>
    <row r="11" spans="1:39" x14ac:dyDescent="0.35">
      <c r="A11" s="41" t="s">
        <v>2535</v>
      </c>
      <c r="B11" t="s">
        <v>2536</v>
      </c>
      <c r="C11" s="5">
        <v>45611</v>
      </c>
      <c r="D11" s="3">
        <v>160533</v>
      </c>
      <c r="E11" s="42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13</v>
      </c>
      <c r="U11" s="3">
        <v>160533</v>
      </c>
      <c r="V11" s="3"/>
      <c r="W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160533</v>
      </c>
      <c r="AL11" s="22"/>
    </row>
    <row r="12" spans="1:39" x14ac:dyDescent="0.35">
      <c r="A12" s="41" t="s">
        <v>2539</v>
      </c>
      <c r="B12" t="s">
        <v>2540</v>
      </c>
      <c r="C12" s="5">
        <v>45611</v>
      </c>
      <c r="D12" s="3">
        <v>163349</v>
      </c>
      <c r="E12" s="42" t="s">
        <v>2481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2543</v>
      </c>
      <c r="B13" t="s">
        <v>2544</v>
      </c>
      <c r="C13" s="5">
        <v>45624</v>
      </c>
      <c r="D13" s="3">
        <v>87189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87189</v>
      </c>
      <c r="V13" s="3"/>
      <c r="W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87189</v>
      </c>
      <c r="AL13" s="22"/>
    </row>
    <row r="14" spans="1:39" x14ac:dyDescent="0.35">
      <c r="A14" s="41" t="s">
        <v>2545</v>
      </c>
      <c r="B14" t="s">
        <v>2546</v>
      </c>
      <c r="C14" s="5">
        <v>45626</v>
      </c>
      <c r="D14" s="3">
        <v>163349</v>
      </c>
      <c r="E14" s="42" t="s">
        <v>2481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V14" s="3"/>
      <c r="W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0</v>
      </c>
      <c r="AL14" s="22"/>
    </row>
    <row r="15" spans="1:39" x14ac:dyDescent="0.35">
      <c r="A15" s="41" t="s">
        <v>2547</v>
      </c>
      <c r="B15" t="s">
        <v>2548</v>
      </c>
      <c r="C15" s="5">
        <v>45626</v>
      </c>
      <c r="D15" s="3">
        <v>87189</v>
      </c>
      <c r="E15" s="42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f>325589-U11-U13-U10</f>
        <v>14922</v>
      </c>
      <c r="V15" s="3"/>
      <c r="W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14922</v>
      </c>
      <c r="AL15" s="22"/>
    </row>
    <row r="16" spans="1:39" x14ac:dyDescent="0.35">
      <c r="A16" s="41" t="s">
        <v>2551</v>
      </c>
      <c r="B16" t="s">
        <v>2552</v>
      </c>
      <c r="C16" s="5">
        <v>45631</v>
      </c>
      <c r="D16" s="3">
        <v>119200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39" x14ac:dyDescent="0.35">
      <c r="A17" s="41" t="s">
        <v>2553</v>
      </c>
      <c r="B17" t="s">
        <v>2554</v>
      </c>
      <c r="C17" s="5">
        <v>45639</v>
      </c>
      <c r="D17" s="3">
        <v>87189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39" x14ac:dyDescent="0.35">
      <c r="A18" s="41" t="s">
        <v>2567</v>
      </c>
      <c r="B18" t="s">
        <v>2563</v>
      </c>
      <c r="C18" s="5">
        <v>46005</v>
      </c>
      <c r="D18" s="3">
        <v>80682</v>
      </c>
      <c r="E18" s="42" t="s">
        <v>2481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39" x14ac:dyDescent="0.35">
      <c r="A19" s="41" t="s">
        <v>2570</v>
      </c>
      <c r="B19" t="s">
        <v>2564</v>
      </c>
      <c r="C19" s="5">
        <v>46010</v>
      </c>
      <c r="D19" s="3">
        <v>128522</v>
      </c>
      <c r="E19" s="42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39" x14ac:dyDescent="0.35">
      <c r="A20" s="41" t="s">
        <v>2568</v>
      </c>
      <c r="B20" t="s">
        <v>2565</v>
      </c>
      <c r="C20" s="5">
        <v>46011</v>
      </c>
      <c r="D20" s="3">
        <v>163349</v>
      </c>
      <c r="E20" s="42" t="s">
        <v>2481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39" x14ac:dyDescent="0.35">
      <c r="A21" s="41" t="s">
        <v>2571</v>
      </c>
      <c r="B21" t="s">
        <v>2566</v>
      </c>
      <c r="C21" s="5">
        <v>46014</v>
      </c>
      <c r="D21" s="3">
        <v>87189</v>
      </c>
      <c r="E21" s="42" t="s">
        <v>2325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9" x14ac:dyDescent="0.35">
      <c r="A22" s="41"/>
      <c r="B22" t="s">
        <v>13</v>
      </c>
      <c r="C22" s="5"/>
      <c r="D22" s="3"/>
      <c r="E22" s="4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9" x14ac:dyDescent="0.35">
      <c r="A23" s="41"/>
      <c r="C23" s="5"/>
      <c r="D23" s="3"/>
      <c r="E23" s="4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9" x14ac:dyDescent="0.35">
      <c r="A24" s="41"/>
      <c r="C24" s="5"/>
      <c r="D24" s="3"/>
      <c r="E24" s="4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39" ht="15" thickBot="1" x14ac:dyDescent="0.4">
      <c r="A25" s="43"/>
      <c r="B25" s="76"/>
      <c r="C25" s="45"/>
      <c r="D25" s="46"/>
      <c r="E25" s="4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>
        <f>SUM($F25:AJ25)</f>
        <v>0</v>
      </c>
      <c r="AL25" s="22"/>
    </row>
    <row r="26" spans="1:39" x14ac:dyDescent="0.35">
      <c r="D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24" t="s">
        <v>1962</v>
      </c>
      <c r="AL26" s="22" t="s">
        <v>1352</v>
      </c>
    </row>
    <row r="27" spans="1:39" x14ac:dyDescent="0.35">
      <c r="A27" s="2" t="s">
        <v>1676</v>
      </c>
      <c r="D27" s="3">
        <f>SUM(D16:D25)</f>
        <v>666131</v>
      </c>
      <c r="F27" s="3">
        <f t="shared" ref="F27:AJ27" si="1">SUM(F5:F25)</f>
        <v>0</v>
      </c>
      <c r="G27" s="3">
        <f t="shared" si="1"/>
        <v>0</v>
      </c>
      <c r="H27" s="3">
        <f t="shared" si="1"/>
        <v>0</v>
      </c>
      <c r="I27" s="3">
        <f t="shared" si="1"/>
        <v>226824</v>
      </c>
      <c r="J27" s="3">
        <f t="shared" si="1"/>
        <v>0</v>
      </c>
      <c r="K27" s="3">
        <f t="shared" si="1"/>
        <v>0</v>
      </c>
      <c r="L27" s="3">
        <f t="shared" si="1"/>
        <v>0</v>
      </c>
      <c r="M27" s="3">
        <f t="shared" si="1"/>
        <v>0</v>
      </c>
      <c r="N27" s="3">
        <f t="shared" si="1"/>
        <v>0</v>
      </c>
      <c r="O27" s="3">
        <f t="shared" si="1"/>
        <v>0</v>
      </c>
      <c r="P27" s="3">
        <f t="shared" si="1"/>
        <v>0</v>
      </c>
      <c r="Q27" s="3">
        <f t="shared" si="1"/>
        <v>163394</v>
      </c>
      <c r="R27" s="3">
        <f t="shared" si="1"/>
        <v>0</v>
      </c>
      <c r="S27" s="3">
        <f t="shared" si="1"/>
        <v>0</v>
      </c>
      <c r="T27" s="3">
        <f t="shared" si="1"/>
        <v>0</v>
      </c>
      <c r="U27" s="3">
        <f t="shared" si="1"/>
        <v>325589</v>
      </c>
      <c r="V27" s="3">
        <f t="shared" si="1"/>
        <v>0</v>
      </c>
      <c r="W27" s="3">
        <f t="shared" si="1"/>
        <v>0</v>
      </c>
      <c r="X27" s="3">
        <f t="shared" si="1"/>
        <v>0</v>
      </c>
      <c r="Y27" s="3">
        <f t="shared" si="1"/>
        <v>0</v>
      </c>
      <c r="Z27" s="3">
        <f t="shared" si="1"/>
        <v>0</v>
      </c>
      <c r="AA27" s="3">
        <f t="shared" si="1"/>
        <v>0</v>
      </c>
      <c r="AB27" s="3">
        <f t="shared" si="1"/>
        <v>0</v>
      </c>
      <c r="AC27" s="3">
        <f t="shared" si="1"/>
        <v>0</v>
      </c>
      <c r="AD27" s="3">
        <f t="shared" si="1"/>
        <v>0</v>
      </c>
      <c r="AE27" s="3">
        <f t="shared" si="1"/>
        <v>0</v>
      </c>
      <c r="AF27" s="3">
        <f t="shared" si="1"/>
        <v>0</v>
      </c>
      <c r="AG27" s="3">
        <f t="shared" si="1"/>
        <v>0</v>
      </c>
      <c r="AH27" s="3">
        <f t="shared" si="1"/>
        <v>0</v>
      </c>
      <c r="AI27" s="3">
        <f t="shared" si="1"/>
        <v>0</v>
      </c>
      <c r="AJ27" s="3">
        <f t="shared" si="1"/>
        <v>0</v>
      </c>
      <c r="AK27" s="72">
        <f>SUM(AK6:AK25)</f>
        <v>715807</v>
      </c>
      <c r="AL27" s="22">
        <f>+D28-AK27</f>
        <v>1225261</v>
      </c>
      <c r="AM27" s="6" t="s">
        <v>13</v>
      </c>
    </row>
    <row r="28" spans="1:39" x14ac:dyDescent="0.35">
      <c r="A28" s="2" t="s">
        <v>1780</v>
      </c>
      <c r="B28" t="s">
        <v>13</v>
      </c>
      <c r="C28" s="3" t="s">
        <v>13</v>
      </c>
      <c r="D28" s="3">
        <f>SUM(D6:D25)</f>
        <v>1941068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9" x14ac:dyDescent="0.35">
      <c r="A29" s="2"/>
      <c r="C29" s="3"/>
      <c r="D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9" x14ac:dyDescent="0.35">
      <c r="A30" s="2" t="s">
        <v>2</v>
      </c>
      <c r="C30" t="s">
        <v>13</v>
      </c>
      <c r="F30" s="3"/>
      <c r="G30" s="3"/>
      <c r="H30" s="3"/>
      <c r="I30" s="3"/>
      <c r="J30" s="3"/>
      <c r="K30" s="3"/>
      <c r="L30" s="3" t="s">
        <v>13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9" ht="15" thickBot="1" x14ac:dyDescent="0.4">
      <c r="A31" s="404">
        <v>45178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9" x14ac:dyDescent="0.35">
      <c r="A32" s="358" t="s">
        <v>1008</v>
      </c>
      <c r="B32" s="37" t="s">
        <v>337</v>
      </c>
      <c r="C32" s="38"/>
      <c r="D32" s="39">
        <v>1900000</v>
      </c>
      <c r="E32" s="40"/>
      <c r="F32" s="3"/>
      <c r="G32" s="3"/>
      <c r="H32" s="3" t="s">
        <v>13</v>
      </c>
      <c r="I32" s="3" t="s">
        <v>13</v>
      </c>
      <c r="J32" s="3"/>
      <c r="K32" s="3"/>
      <c r="L32" s="3"/>
      <c r="M32" s="3"/>
      <c r="N32" s="3"/>
      <c r="O32" s="3"/>
      <c r="P32" s="3" t="s">
        <v>13</v>
      </c>
      <c r="Q32" s="407">
        <v>1000000</v>
      </c>
      <c r="R32" s="3"/>
      <c r="S32" s="3"/>
      <c r="T32" s="3"/>
      <c r="U32" s="3"/>
      <c r="V32" s="3"/>
      <c r="W32" s="3"/>
      <c r="Z32" s="3"/>
      <c r="AA32" s="3"/>
      <c r="AB32" s="3"/>
      <c r="AC32" s="3"/>
      <c r="AD32" s="3" t="s">
        <v>13</v>
      </c>
      <c r="AE32" s="3"/>
      <c r="AF32" s="3"/>
      <c r="AG32" s="3"/>
      <c r="AH32" s="3"/>
      <c r="AI32" s="3"/>
      <c r="AK32" s="71">
        <f>SUM($F32:AJ32)</f>
        <v>1000000</v>
      </c>
    </row>
    <row r="33" spans="1:41" x14ac:dyDescent="0.35">
      <c r="A33" s="41" t="s">
        <v>2509</v>
      </c>
      <c r="B33" s="24"/>
      <c r="C33" s="5"/>
      <c r="D33" s="407">
        <v>72235</v>
      </c>
      <c r="E33" s="42"/>
      <c r="F33" s="3"/>
      <c r="G33" s="3"/>
      <c r="H33" s="3"/>
      <c r="I33" s="3"/>
      <c r="J33" s="3"/>
      <c r="K33" s="3"/>
      <c r="L33" s="3" t="s">
        <v>13</v>
      </c>
      <c r="M33" s="3" t="s">
        <v>13</v>
      </c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 t="s">
        <v>13</v>
      </c>
      <c r="AD33" s="3" t="s">
        <v>13</v>
      </c>
      <c r="AE33" s="3"/>
      <c r="AF33" s="3"/>
      <c r="AG33" s="3"/>
      <c r="AH33" s="3"/>
      <c r="AI33" s="3"/>
      <c r="AK33" s="3">
        <f>SUM($F33:AJ33)</f>
        <v>0</v>
      </c>
    </row>
    <row r="34" spans="1:41" x14ac:dyDescent="0.35">
      <c r="A34" s="41" t="s">
        <v>2562</v>
      </c>
      <c r="B34" s="24"/>
      <c r="C34" s="5"/>
      <c r="D34" s="407">
        <v>76571</v>
      </c>
      <c r="E34" s="4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K34" s="3">
        <f>SUM($F34:AJ34)</f>
        <v>0</v>
      </c>
    </row>
    <row r="35" spans="1:41" x14ac:dyDescent="0.35">
      <c r="A35" s="343" t="s">
        <v>1161</v>
      </c>
      <c r="B35" s="24" t="s">
        <v>2537</v>
      </c>
      <c r="C35" s="5">
        <v>45605</v>
      </c>
      <c r="D35" s="3">
        <v>10970</v>
      </c>
      <c r="E35" s="344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0</v>
      </c>
      <c r="AN35" s="26"/>
      <c r="AO35" s="3"/>
    </row>
    <row r="36" spans="1:41" x14ac:dyDescent="0.35">
      <c r="A36" s="343" t="s">
        <v>1161</v>
      </c>
      <c r="B36" s="24" t="s">
        <v>2538</v>
      </c>
      <c r="C36" s="5">
        <v>45611</v>
      </c>
      <c r="D36" s="3">
        <v>10970</v>
      </c>
      <c r="E36" s="344" t="s">
        <v>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f>SUM($F36:AJ36)</f>
        <v>0</v>
      </c>
      <c r="AN36" s="26"/>
      <c r="AO36" s="3"/>
    </row>
    <row r="37" spans="1:41" x14ac:dyDescent="0.35">
      <c r="A37" s="343" t="s">
        <v>823</v>
      </c>
      <c r="B37" s="24"/>
      <c r="C37" s="5">
        <v>45615</v>
      </c>
      <c r="D37" s="3">
        <v>118977</v>
      </c>
      <c r="E37" s="344" t="s">
        <v>4</v>
      </c>
      <c r="F37" s="3"/>
      <c r="G37" s="3"/>
      <c r="H37" s="3"/>
      <c r="I37" s="3"/>
      <c r="J37" s="3"/>
      <c r="K37" s="3"/>
      <c r="L37" s="3" t="s">
        <v>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Z37" s="3"/>
      <c r="AA37" s="3"/>
      <c r="AB37" s="3"/>
      <c r="AC37" s="3"/>
      <c r="AD37" s="3" t="s">
        <v>13</v>
      </c>
      <c r="AE37" s="3"/>
      <c r="AF37" s="3"/>
      <c r="AG37" s="3"/>
      <c r="AH37" s="3"/>
      <c r="AI37" s="3"/>
      <c r="AJ37" s="3"/>
      <c r="AK37" s="3">
        <f>SUM($F37:AJ37)</f>
        <v>0</v>
      </c>
      <c r="AN37" s="26"/>
      <c r="AO37" s="3"/>
    </row>
    <row r="38" spans="1:41" x14ac:dyDescent="0.35">
      <c r="A38" s="343" t="s">
        <v>2556</v>
      </c>
      <c r="B38" s="24" t="s">
        <v>2098</v>
      </c>
      <c r="C38" s="5">
        <v>45623</v>
      </c>
      <c r="D38" s="3">
        <f>+(200*400+100*500)*1.19</f>
        <v>154700</v>
      </c>
      <c r="E38" s="344" t="s">
        <v>503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f>+(200*400+100*500)*1.19</f>
        <v>154700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154700</v>
      </c>
      <c r="AN38" s="26"/>
      <c r="AO38" s="3"/>
    </row>
    <row r="39" spans="1:41" x14ac:dyDescent="0.35">
      <c r="A39" s="343" t="s">
        <v>1161</v>
      </c>
      <c r="B39" s="24" t="s">
        <v>2550</v>
      </c>
      <c r="C39" s="5">
        <v>45630</v>
      </c>
      <c r="D39" s="3">
        <v>17630</v>
      </c>
      <c r="E39" s="344" t="s">
        <v>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0</v>
      </c>
      <c r="AN39" s="26"/>
      <c r="AO39" s="3"/>
    </row>
    <row r="40" spans="1:41" x14ac:dyDescent="0.35">
      <c r="A40" s="41" t="s">
        <v>2542</v>
      </c>
      <c r="C40" s="5">
        <v>45631</v>
      </c>
      <c r="D40" s="407">
        <v>13921</v>
      </c>
      <c r="E40" s="42" t="s">
        <v>503</v>
      </c>
      <c r="F40" s="3"/>
      <c r="G40" s="3"/>
      <c r="H40" s="3"/>
      <c r="I40" s="3"/>
      <c r="J40" s="407">
        <v>13921</v>
      </c>
      <c r="K40" s="3"/>
      <c r="L40" s="3" t="s">
        <v>13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Z40" s="3" t="s">
        <v>13</v>
      </c>
      <c r="AA40" s="3"/>
      <c r="AB40" s="3"/>
      <c r="AC40" s="3"/>
      <c r="AD40" s="3"/>
      <c r="AE40" s="3"/>
      <c r="AF40" s="3"/>
      <c r="AG40" s="3"/>
      <c r="AH40" s="3"/>
      <c r="AI40" s="3"/>
      <c r="AK40" s="3">
        <f>SUM($F40:AJ40)</f>
        <v>13921</v>
      </c>
    </row>
    <row r="41" spans="1:41" x14ac:dyDescent="0.35">
      <c r="A41" s="343" t="s">
        <v>2126</v>
      </c>
      <c r="B41" s="24"/>
      <c r="C41" s="5">
        <v>45632</v>
      </c>
      <c r="D41" s="3">
        <v>6499</v>
      </c>
      <c r="E41" s="344" t="s">
        <v>4</v>
      </c>
      <c r="F41" s="3"/>
      <c r="G41" s="3"/>
      <c r="H41" s="3"/>
      <c r="I41" s="3"/>
      <c r="J41" s="3"/>
      <c r="K41" s="3"/>
      <c r="L41" s="3" t="s">
        <v>13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 t="s">
        <v>13</v>
      </c>
      <c r="AE41" s="3"/>
      <c r="AF41" s="3"/>
      <c r="AG41" s="3"/>
      <c r="AH41" s="3"/>
      <c r="AI41" s="3"/>
      <c r="AJ41" s="3"/>
      <c r="AK41" s="3">
        <f>SUM($F41:AJ41)</f>
        <v>0</v>
      </c>
      <c r="AN41" s="26"/>
      <c r="AO41" s="3"/>
    </row>
    <row r="42" spans="1:41" x14ac:dyDescent="0.35">
      <c r="A42" s="343" t="s">
        <v>2549</v>
      </c>
      <c r="B42" s="24"/>
      <c r="C42" s="5">
        <v>45632</v>
      </c>
      <c r="D42" s="3">
        <v>37000</v>
      </c>
      <c r="E42" s="344" t="s">
        <v>503</v>
      </c>
      <c r="F42" s="3"/>
      <c r="G42" s="3"/>
      <c r="H42" s="3"/>
      <c r="I42" s="3"/>
      <c r="J42" s="3"/>
      <c r="K42" s="3">
        <v>37000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>
        <f>SUM($F42:AJ42)</f>
        <v>37000</v>
      </c>
      <c r="AN42" s="26"/>
      <c r="AO42" s="3"/>
    </row>
    <row r="43" spans="1:41" x14ac:dyDescent="0.35">
      <c r="A43" s="343" t="s">
        <v>1161</v>
      </c>
      <c r="B43" s="24" t="s">
        <v>2555</v>
      </c>
      <c r="C43" s="5">
        <v>45643</v>
      </c>
      <c r="D43" s="3">
        <v>10250</v>
      </c>
      <c r="E43" s="344" t="s">
        <v>4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0</v>
      </c>
      <c r="AN43" s="26"/>
      <c r="AO43" s="3"/>
    </row>
    <row r="44" spans="1:41" x14ac:dyDescent="0.35">
      <c r="A44" s="343" t="s">
        <v>533</v>
      </c>
      <c r="B44" s="24"/>
      <c r="C44" s="5">
        <v>45645</v>
      </c>
      <c r="D44" s="7">
        <v>381246</v>
      </c>
      <c r="E44" s="344" t="s"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0</v>
      </c>
      <c r="AN44" s="26"/>
      <c r="AO44" s="3"/>
    </row>
    <row r="45" spans="1:41" x14ac:dyDescent="0.35">
      <c r="A45" s="343" t="s">
        <v>1161</v>
      </c>
      <c r="B45" s="24" t="s">
        <v>2557</v>
      </c>
      <c r="C45" s="5">
        <v>45646</v>
      </c>
      <c r="D45" s="3">
        <v>8500</v>
      </c>
      <c r="E45" s="344" t="s">
        <v>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0</v>
      </c>
      <c r="AN45" s="26"/>
      <c r="AO45" s="3"/>
    </row>
    <row r="46" spans="1:41" x14ac:dyDescent="0.35">
      <c r="A46" s="343" t="s">
        <v>1161</v>
      </c>
      <c r="B46" s="24" t="s">
        <v>2558</v>
      </c>
      <c r="C46" s="5">
        <v>45649</v>
      </c>
      <c r="D46" s="3">
        <v>10750</v>
      </c>
      <c r="E46" s="344" t="s">
        <v>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0</v>
      </c>
      <c r="AN46" s="26"/>
      <c r="AO46" s="3"/>
    </row>
    <row r="47" spans="1:41" x14ac:dyDescent="0.35">
      <c r="A47" s="343"/>
      <c r="B47" s="24"/>
      <c r="C47" s="5"/>
      <c r="D47" s="7"/>
      <c r="E47" s="34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f>SUM($F47:AJ47)</f>
        <v>0</v>
      </c>
      <c r="AN47" s="26"/>
      <c r="AO47" s="3"/>
    </row>
    <row r="48" spans="1:41" x14ac:dyDescent="0.35">
      <c r="A48" s="343"/>
      <c r="B48" s="24"/>
      <c r="C48" s="5"/>
      <c r="D48" s="3"/>
      <c r="E48" s="34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0</v>
      </c>
      <c r="AN48" s="26"/>
      <c r="AO48" s="3"/>
    </row>
    <row r="49" spans="1:43" ht="15" thickBot="1" x14ac:dyDescent="0.4">
      <c r="A49" s="43" t="s">
        <v>2529</v>
      </c>
      <c r="B49" s="76" t="s">
        <v>337</v>
      </c>
      <c r="C49" s="45" t="s">
        <v>13</v>
      </c>
      <c r="D49" s="46">
        <f>+AK27*0.17</f>
        <v>121687.19</v>
      </c>
      <c r="E49" s="47"/>
      <c r="F49" s="3"/>
      <c r="G49" s="3" t="s">
        <v>13</v>
      </c>
      <c r="H49" s="3" t="s">
        <v>13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0</v>
      </c>
      <c r="AL49" s="6" t="s">
        <v>1846</v>
      </c>
      <c r="AM49" s="6" t="s">
        <v>13</v>
      </c>
      <c r="AN49" s="26" t="s">
        <v>13</v>
      </c>
      <c r="AO49" s="3"/>
    </row>
    <row r="50" spans="1:43" x14ac:dyDescent="0.35">
      <c r="A50" s="3" t="s">
        <v>13</v>
      </c>
      <c r="B50" s="24"/>
      <c r="C50" s="236" t="s">
        <v>13</v>
      </c>
      <c r="D50" s="3"/>
      <c r="E50" s="15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 t="s">
        <v>13</v>
      </c>
      <c r="AL50" s="22"/>
      <c r="AO50" s="14" t="s">
        <v>1558</v>
      </c>
      <c r="AP50" s="15">
        <f>+SUMIF(AL37:AL49,"CD",D37:D49)/1.19</f>
        <v>0</v>
      </c>
      <c r="AQ50" s="15" t="e">
        <f>+AP50*#REF!/#REF!</f>
        <v>#REF!</v>
      </c>
    </row>
    <row r="51" spans="1:43" x14ac:dyDescent="0.35">
      <c r="A51" s="4"/>
      <c r="B51" s="24"/>
      <c r="C51" s="67"/>
      <c r="D51" s="3"/>
      <c r="E51" s="153"/>
      <c r="F51" s="3" t="s">
        <v>13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 t="s">
        <v>13</v>
      </c>
      <c r="AL51" s="22"/>
      <c r="AO51" s="14" t="s">
        <v>1559</v>
      </c>
      <c r="AP51" s="15" t="e">
        <f>+#REF!-AP50</f>
        <v>#REF!</v>
      </c>
      <c r="AQ51" s="15" t="e">
        <f>+#REF!-AQ50</f>
        <v>#REF!</v>
      </c>
    </row>
    <row r="52" spans="1:43" x14ac:dyDescent="0.35">
      <c r="A52" s="4"/>
      <c r="B52" s="24"/>
      <c r="C52" s="67"/>
      <c r="D52" s="3"/>
      <c r="E52" s="15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 t="s">
        <v>13</v>
      </c>
      <c r="AL52" s="22"/>
      <c r="AO52" s="14" t="s">
        <v>1560</v>
      </c>
      <c r="AP52" s="327" t="e">
        <f>+AP51/#REF!</f>
        <v>#REF!</v>
      </c>
      <c r="AQ52" s="327" t="e">
        <f>+AQ51/#REF!</f>
        <v>#REF!</v>
      </c>
    </row>
    <row r="53" spans="1:43" x14ac:dyDescent="0.35">
      <c r="A53" s="4"/>
      <c r="B53" s="67"/>
      <c r="C53" s="236"/>
      <c r="E53" s="15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Y53" s="3"/>
      <c r="AJ53" s="3"/>
      <c r="AK53" s="3"/>
      <c r="AL53" s="22" t="s">
        <v>1388</v>
      </c>
      <c r="AM53" s="6" t="s">
        <v>1430</v>
      </c>
      <c r="AO53" s="14" t="s">
        <v>81</v>
      </c>
      <c r="AP53" s="15" t="e">
        <f>+SUMIF(AL37:AL49,"GAV",D37:D49)/1.19+SUMIF(#REF!,"REM",#REF!)</f>
        <v>#REF!</v>
      </c>
      <c r="AQ53" s="15" t="e">
        <f>+AP53*#REF!/#REF!</f>
        <v>#REF!</v>
      </c>
    </row>
    <row r="54" spans="1:43" x14ac:dyDescent="0.35">
      <c r="A54" s="2" t="s">
        <v>9</v>
      </c>
      <c r="D54" s="72" t="e">
        <f>SUM(D37:D52)-#REF!</f>
        <v>#REF!</v>
      </c>
      <c r="F54" s="3">
        <f t="shared" ref="F54:AJ54" si="2">SUM(F32:F53)</f>
        <v>0</v>
      </c>
      <c r="G54" s="3">
        <f t="shared" si="2"/>
        <v>0</v>
      </c>
      <c r="H54" s="3">
        <f t="shared" si="2"/>
        <v>0</v>
      </c>
      <c r="I54" s="3">
        <f t="shared" si="2"/>
        <v>0</v>
      </c>
      <c r="J54" s="3">
        <f t="shared" si="2"/>
        <v>13921</v>
      </c>
      <c r="K54" s="3">
        <f t="shared" si="2"/>
        <v>37000</v>
      </c>
      <c r="L54" s="3">
        <f t="shared" si="2"/>
        <v>0</v>
      </c>
      <c r="M54" s="3">
        <f t="shared" si="2"/>
        <v>0</v>
      </c>
      <c r="N54" s="3">
        <f t="shared" si="2"/>
        <v>0</v>
      </c>
      <c r="O54" s="3">
        <f t="shared" si="2"/>
        <v>0</v>
      </c>
      <c r="P54" s="3">
        <f t="shared" si="2"/>
        <v>0</v>
      </c>
      <c r="Q54" s="3">
        <f t="shared" si="2"/>
        <v>1000000</v>
      </c>
      <c r="R54" s="3">
        <f t="shared" si="2"/>
        <v>0</v>
      </c>
      <c r="S54" s="3">
        <f t="shared" si="2"/>
        <v>0</v>
      </c>
      <c r="T54" s="3">
        <f t="shared" si="2"/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3">
        <f t="shared" si="2"/>
        <v>0</v>
      </c>
      <c r="Y54" s="3">
        <f t="shared" si="2"/>
        <v>0</v>
      </c>
      <c r="Z54" s="3">
        <f t="shared" si="2"/>
        <v>154700</v>
      </c>
      <c r="AA54" s="3">
        <f t="shared" si="2"/>
        <v>0</v>
      </c>
      <c r="AB54" s="3">
        <f t="shared" si="2"/>
        <v>0</v>
      </c>
      <c r="AC54" s="3">
        <f t="shared" si="2"/>
        <v>0</v>
      </c>
      <c r="AD54" s="3">
        <f t="shared" si="2"/>
        <v>0</v>
      </c>
      <c r="AE54" s="3">
        <f t="shared" si="2"/>
        <v>0</v>
      </c>
      <c r="AF54" s="3">
        <f t="shared" si="2"/>
        <v>0</v>
      </c>
      <c r="AG54" s="3">
        <f t="shared" si="2"/>
        <v>0</v>
      </c>
      <c r="AH54" s="3">
        <f t="shared" si="2"/>
        <v>0</v>
      </c>
      <c r="AI54" s="3">
        <f t="shared" si="2"/>
        <v>0</v>
      </c>
      <c r="AJ54" s="3">
        <f t="shared" si="2"/>
        <v>0</v>
      </c>
      <c r="AK54" s="72">
        <f>SUM(AK32:AK52)-AK32</f>
        <v>205621</v>
      </c>
      <c r="AL54" s="324" t="e">
        <f>+D54-AK54</f>
        <v>#REF!</v>
      </c>
      <c r="AM54" s="324" t="e">
        <f>+AJ55+AL27-AL54-1200000</f>
        <v>#REF!</v>
      </c>
      <c r="AO54" s="14" t="s">
        <v>1561</v>
      </c>
      <c r="AP54" s="15" t="e">
        <f>+AP51-AP53</f>
        <v>#REF!</v>
      </c>
      <c r="AQ54" s="15" t="e">
        <f>+AQ51-AQ53</f>
        <v>#REF!</v>
      </c>
    </row>
    <row r="55" spans="1:43" x14ac:dyDescent="0.35">
      <c r="A55" t="s">
        <v>8</v>
      </c>
      <c r="F55" s="3">
        <f t="shared" ref="F55:AJ55" si="3">+F27+F3-F54</f>
        <v>3034211.8448390844</v>
      </c>
      <c r="G55" s="3">
        <f t="shared" si="3"/>
        <v>3034211.8448390844</v>
      </c>
      <c r="H55" s="3">
        <f t="shared" si="3"/>
        <v>3034211.8448390844</v>
      </c>
      <c r="I55" s="3">
        <f t="shared" si="3"/>
        <v>3261035.8448390844</v>
      </c>
      <c r="J55" s="3">
        <f t="shared" si="3"/>
        <v>3247114.8448390844</v>
      </c>
      <c r="K55" s="3">
        <f t="shared" si="3"/>
        <v>3210114.8448390844</v>
      </c>
      <c r="L55" s="3">
        <f t="shared" si="3"/>
        <v>3210114.8448390844</v>
      </c>
      <c r="M55" s="3">
        <f t="shared" si="3"/>
        <v>3210114.8448390844</v>
      </c>
      <c r="N55" s="3">
        <f t="shared" si="3"/>
        <v>3210114.8448390844</v>
      </c>
      <c r="O55" s="3">
        <f t="shared" si="3"/>
        <v>3210114.8448390844</v>
      </c>
      <c r="P55" s="3">
        <f t="shared" si="3"/>
        <v>3210114.8448390844</v>
      </c>
      <c r="Q55" s="3">
        <f t="shared" si="3"/>
        <v>2373508.8448390844</v>
      </c>
      <c r="R55" s="3">
        <f t="shared" si="3"/>
        <v>2373508.8448390844</v>
      </c>
      <c r="S55" s="3">
        <f t="shared" si="3"/>
        <v>2373508.8448390844</v>
      </c>
      <c r="T55" s="3">
        <f t="shared" si="3"/>
        <v>2373508.8448390844</v>
      </c>
      <c r="U55" s="3">
        <f t="shared" si="3"/>
        <v>2699097.8448390844</v>
      </c>
      <c r="V55" s="3">
        <f t="shared" si="3"/>
        <v>2699097.8448390844</v>
      </c>
      <c r="W55" s="3">
        <f t="shared" si="3"/>
        <v>2699097.8448390844</v>
      </c>
      <c r="X55" s="3">
        <f t="shared" si="3"/>
        <v>2699097.8448390844</v>
      </c>
      <c r="Y55" s="3">
        <f t="shared" si="3"/>
        <v>2699097.8448390844</v>
      </c>
      <c r="Z55" s="3">
        <f t="shared" si="3"/>
        <v>2544397.8448390844</v>
      </c>
      <c r="AA55" s="3">
        <f t="shared" si="3"/>
        <v>2544397.8448390844</v>
      </c>
      <c r="AB55" s="3">
        <f t="shared" si="3"/>
        <v>2544397.8448390844</v>
      </c>
      <c r="AC55" s="3">
        <f t="shared" si="3"/>
        <v>2544397.8448390844</v>
      </c>
      <c r="AD55" s="3">
        <f t="shared" si="3"/>
        <v>2544397.8448390844</v>
      </c>
      <c r="AE55" s="3">
        <f t="shared" si="3"/>
        <v>2544397.8448390844</v>
      </c>
      <c r="AF55" s="3">
        <f t="shared" si="3"/>
        <v>2544397.8448390844</v>
      </c>
      <c r="AG55" s="3">
        <f t="shared" si="3"/>
        <v>2544397.8448390844</v>
      </c>
      <c r="AH55" s="3">
        <f t="shared" si="3"/>
        <v>2544397.8448390844</v>
      </c>
      <c r="AI55" s="3">
        <f t="shared" si="3"/>
        <v>2544397.8448390844</v>
      </c>
      <c r="AJ55" s="3">
        <f t="shared" si="3"/>
        <v>2544397.8448390844</v>
      </c>
      <c r="AK55" s="3" t="s">
        <v>13</v>
      </c>
      <c r="AM55" s="22" t="s">
        <v>13</v>
      </c>
      <c r="AO55" s="14" t="s">
        <v>1563</v>
      </c>
      <c r="AP55" s="15">
        <f>+SUMIF(AL37:AL49,"GF",D37:D49)</f>
        <v>0</v>
      </c>
      <c r="AQ55" s="15">
        <v>0</v>
      </c>
    </row>
    <row r="56" spans="1:43" x14ac:dyDescent="0.35">
      <c r="F56" s="3"/>
      <c r="G56" s="3"/>
      <c r="H56" s="3"/>
      <c r="I56" s="3" t="s">
        <v>13</v>
      </c>
      <c r="J56" s="3"/>
      <c r="K56" s="3" t="s">
        <v>13</v>
      </c>
      <c r="L56" s="3"/>
      <c r="M56" s="3"/>
      <c r="N56" s="3"/>
      <c r="O56" s="3"/>
      <c r="P56" s="3" t="s">
        <v>13</v>
      </c>
      <c r="Q56" s="3"/>
      <c r="R56" s="3"/>
      <c r="S56" s="3"/>
      <c r="T56" s="3" t="s">
        <v>13</v>
      </c>
      <c r="U56" s="3"/>
      <c r="V56" s="3"/>
      <c r="W56" s="3"/>
      <c r="Y56" s="3" t="s">
        <v>13</v>
      </c>
      <c r="Z56" s="3" t="s">
        <v>13</v>
      </c>
      <c r="AA56" s="3" t="s">
        <v>13</v>
      </c>
      <c r="AB56" s="3" t="s">
        <v>13</v>
      </c>
      <c r="AO56" s="14" t="s">
        <v>82</v>
      </c>
      <c r="AP56" s="15">
        <v>0</v>
      </c>
      <c r="AQ56" s="15">
        <f>+SUMIF(AL37:AL49,"AF",D37:D49)/1.19</f>
        <v>0</v>
      </c>
    </row>
    <row r="57" spans="1:43" ht="15" thickBot="1" x14ac:dyDescent="0.4">
      <c r="F57" s="3" t="s">
        <v>13</v>
      </c>
      <c r="G57" s="3" t="s">
        <v>13</v>
      </c>
      <c r="H57" s="3" t="s">
        <v>13</v>
      </c>
      <c r="I57" s="3"/>
      <c r="J57" s="3"/>
      <c r="K57" s="3"/>
      <c r="L57" s="3"/>
      <c r="M57" s="3"/>
      <c r="N57" s="3"/>
      <c r="O57" s="3"/>
      <c r="P57" s="3" t="s">
        <v>13</v>
      </c>
      <c r="Q57" s="3" t="s">
        <v>13</v>
      </c>
      <c r="R57" s="3" t="s">
        <v>13</v>
      </c>
      <c r="S57" s="3"/>
      <c r="T57" s="3"/>
      <c r="U57" s="3" t="s">
        <v>13</v>
      </c>
      <c r="V57" s="3"/>
      <c r="W57" s="3"/>
      <c r="AB57" s="3" t="s">
        <v>13</v>
      </c>
      <c r="AG57" s="3" t="s">
        <v>13</v>
      </c>
      <c r="AJ57" s="3" t="s">
        <v>13</v>
      </c>
      <c r="AO57" s="16"/>
      <c r="AP57" s="19" t="e">
        <f>+AP54-AP55-AP56</f>
        <v>#REF!</v>
      </c>
      <c r="AQ57" s="19" t="e">
        <f>+AQ54-AQ55-AQ56</f>
        <v>#REF!</v>
      </c>
    </row>
    <row r="58" spans="1:43" x14ac:dyDescent="0.35">
      <c r="A58" t="s">
        <v>2163</v>
      </c>
      <c r="B58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8" s="3" t="e">
        <f>+B58*0.16</f>
        <v>#REF!</v>
      </c>
      <c r="E58" s="6" t="s">
        <v>13</v>
      </c>
      <c r="F58" s="3"/>
      <c r="G58" s="3" t="s">
        <v>13</v>
      </c>
      <c r="H58" s="3" t="s">
        <v>13</v>
      </c>
      <c r="I58" s="3"/>
      <c r="J58" s="3"/>
      <c r="K58" s="3"/>
      <c r="L58" s="3"/>
      <c r="M58" s="3">
        <f>1920744-M55</f>
        <v>-1289370.8448390844</v>
      </c>
      <c r="N58" s="3"/>
      <c r="O58" s="3"/>
      <c r="W58" s="3"/>
      <c r="AB58" s="3" t="s">
        <v>13</v>
      </c>
      <c r="AG58" s="3" t="s">
        <v>13</v>
      </c>
      <c r="AJ58" s="3" t="s">
        <v>13</v>
      </c>
      <c r="AO58" t="s">
        <v>1961</v>
      </c>
      <c r="AP58" s="26" t="e">
        <f ca="1">+AP$57+'May-23'!AP82</f>
        <v>#REF!</v>
      </c>
      <c r="AQ58" s="3" t="e">
        <f ca="1">+AQ$57+'May-23'!AQ82</f>
        <v>#REF!</v>
      </c>
    </row>
    <row r="59" spans="1:43" x14ac:dyDescent="0.35">
      <c r="F59" s="3"/>
      <c r="G59" s="3" t="s">
        <v>13</v>
      </c>
      <c r="H59" s="3"/>
      <c r="I59" s="3"/>
      <c r="J59" s="3"/>
      <c r="K59" s="3"/>
      <c r="L59" s="3"/>
      <c r="M59" s="3"/>
      <c r="N59" s="3"/>
      <c r="O59" s="3"/>
      <c r="W59" s="3" t="s">
        <v>13</v>
      </c>
      <c r="AB59" s="3" t="s">
        <v>13</v>
      </c>
      <c r="AD59" t="s">
        <v>13</v>
      </c>
      <c r="AE59" t="s">
        <v>13</v>
      </c>
      <c r="AG59" s="3" t="s">
        <v>13</v>
      </c>
      <c r="AJ59" s="3" t="s">
        <v>13</v>
      </c>
      <c r="AO59" t="s">
        <v>1960</v>
      </c>
      <c r="AP59" s="26" t="e">
        <f ca="1">+AP$57+'May-23'!AP83</f>
        <v>#REF!</v>
      </c>
      <c r="AQ59" s="3" t="e">
        <f ca="1">+AQ$57+'May-23'!AQ83</f>
        <v>#REF!</v>
      </c>
    </row>
    <row r="60" spans="1:43" x14ac:dyDescent="0.35">
      <c r="A60" t="s">
        <v>13</v>
      </c>
      <c r="F60" s="3" t="s">
        <v>13</v>
      </c>
      <c r="G60" s="3" t="s">
        <v>13</v>
      </c>
      <c r="H60" s="3"/>
      <c r="I60" s="3"/>
      <c r="J60" s="3"/>
      <c r="K60" s="3"/>
      <c r="L60" s="3"/>
      <c r="M60" s="3">
        <v>538500</v>
      </c>
      <c r="N60" s="3"/>
      <c r="O60" s="3"/>
      <c r="W60" s="3"/>
      <c r="AB60" s="3" t="s">
        <v>13</v>
      </c>
      <c r="AD60" t="s">
        <v>13</v>
      </c>
      <c r="AG60" s="3" t="s">
        <v>13</v>
      </c>
      <c r="AJ60" s="3" t="s">
        <v>13</v>
      </c>
    </row>
    <row r="61" spans="1:43" x14ac:dyDescent="0.35">
      <c r="B61" t="s">
        <v>13</v>
      </c>
      <c r="F61" s="3" t="s">
        <v>13</v>
      </c>
      <c r="G61" s="3" t="s">
        <v>13</v>
      </c>
      <c r="H61" s="3"/>
      <c r="I61" s="3"/>
      <c r="J61" s="3"/>
      <c r="K61" s="3"/>
      <c r="L61" s="3" t="s">
        <v>13</v>
      </c>
      <c r="M61" s="3">
        <v>682100</v>
      </c>
      <c r="N61" s="3"/>
      <c r="O61" s="3"/>
      <c r="W61" s="3"/>
      <c r="AB61" s="3" t="s">
        <v>13</v>
      </c>
      <c r="AG61" s="3" t="s">
        <v>13</v>
      </c>
      <c r="AJ61" s="3" t="s">
        <v>13</v>
      </c>
      <c r="AL61"/>
      <c r="AM61"/>
    </row>
    <row r="62" spans="1:43" x14ac:dyDescent="0.35">
      <c r="F62" s="3"/>
      <c r="G62" s="3" t="s">
        <v>13</v>
      </c>
      <c r="H62" s="3"/>
      <c r="I62" s="3"/>
      <c r="J62" s="3"/>
      <c r="K62" s="3"/>
      <c r="L62" s="3"/>
      <c r="M62" s="3">
        <f>SUM(M60:M61)</f>
        <v>1220600</v>
      </c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3" t="s">
        <v>13</v>
      </c>
      <c r="H63" s="3"/>
      <c r="I63" s="3"/>
      <c r="J63" s="3"/>
      <c r="K63" s="3"/>
      <c r="L63" s="3"/>
      <c r="AB63" t="s">
        <v>13</v>
      </c>
      <c r="AG63" s="3" t="s">
        <v>13</v>
      </c>
      <c r="AJ63" s="3" t="s">
        <v>13</v>
      </c>
      <c r="AL63"/>
      <c r="AM63"/>
      <c r="AQ63" t="s">
        <v>13</v>
      </c>
    </row>
    <row r="64" spans="1:43" x14ac:dyDescent="0.35">
      <c r="B64" t="s">
        <v>13</v>
      </c>
      <c r="C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C65" t="s">
        <v>13</v>
      </c>
      <c r="F65" s="3"/>
      <c r="G65" s="3" t="s">
        <v>2417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F66" s="3"/>
      <c r="G66" s="3" t="s">
        <v>13</v>
      </c>
      <c r="H66" s="3"/>
      <c r="I66" s="3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288">
        <f>212-60</f>
        <v>152</v>
      </c>
      <c r="H67" s="288">
        <f>+G67-60</f>
        <v>92</v>
      </c>
      <c r="I67" s="288">
        <f>+H67/3</f>
        <v>30.666666666666668</v>
      </c>
      <c r="J67" s="3"/>
      <c r="K67" s="3"/>
      <c r="L67" s="3"/>
      <c r="AG67" s="3" t="s">
        <v>13</v>
      </c>
      <c r="AJ67" s="3" t="s">
        <v>13</v>
      </c>
      <c r="AL67"/>
      <c r="AM67"/>
    </row>
    <row r="68" spans="2:39" x14ac:dyDescent="0.35">
      <c r="B68" t="s">
        <v>13</v>
      </c>
      <c r="F68" s="3"/>
      <c r="G68" s="288">
        <f>+G67/2</f>
        <v>76</v>
      </c>
      <c r="H68" s="288"/>
      <c r="I68" s="288"/>
      <c r="J68" s="3"/>
      <c r="K68" s="3"/>
      <c r="L68" s="3"/>
      <c r="AG68" s="3" t="s">
        <v>13</v>
      </c>
      <c r="AJ68" s="3" t="s">
        <v>13</v>
      </c>
      <c r="AL68"/>
      <c r="AM68"/>
    </row>
    <row r="69" spans="2:39" x14ac:dyDescent="0.35">
      <c r="B69" t="s">
        <v>13</v>
      </c>
      <c r="F69" s="3"/>
      <c r="G69" s="288">
        <f>+G68/2</f>
        <v>38</v>
      </c>
      <c r="H69" s="288"/>
      <c r="I69" s="288">
        <f>I67*3+60</f>
        <v>152</v>
      </c>
      <c r="J69" s="3"/>
      <c r="K69" s="3"/>
      <c r="L69" s="3"/>
      <c r="AG69" s="3" t="s">
        <v>13</v>
      </c>
      <c r="AJ69" s="3" t="s">
        <v>13</v>
      </c>
      <c r="AL69"/>
      <c r="AM69"/>
    </row>
    <row r="70" spans="2:39" x14ac:dyDescent="0.35">
      <c r="B70" t="s">
        <v>13</v>
      </c>
      <c r="F70" s="3"/>
      <c r="G70" s="288">
        <f>+G69-15</f>
        <v>23</v>
      </c>
      <c r="H70" s="288"/>
      <c r="I70" s="288"/>
      <c r="J70" s="3"/>
      <c r="K70" s="3"/>
      <c r="L70" s="3"/>
      <c r="AG70" s="3" t="s">
        <v>13</v>
      </c>
      <c r="AJ70" s="3" t="s">
        <v>13</v>
      </c>
      <c r="AL70"/>
      <c r="AM70"/>
    </row>
    <row r="71" spans="2:39" x14ac:dyDescent="0.35">
      <c r="B71" t="s">
        <v>13</v>
      </c>
      <c r="F71" s="3"/>
      <c r="G71" s="3" t="s">
        <v>13</v>
      </c>
      <c r="H71" s="3"/>
      <c r="I71" s="3"/>
      <c r="J71" s="3"/>
      <c r="K71" s="3"/>
      <c r="L71" s="3"/>
      <c r="AG71" s="3" t="s">
        <v>13</v>
      </c>
      <c r="AJ71" s="3" t="s">
        <v>13</v>
      </c>
      <c r="AL71"/>
      <c r="AM71"/>
    </row>
    <row r="72" spans="2:39" x14ac:dyDescent="0.35">
      <c r="B72" t="s">
        <v>13</v>
      </c>
      <c r="F72" s="3"/>
      <c r="G72" s="3" t="s">
        <v>13</v>
      </c>
      <c r="H72" s="3"/>
      <c r="I72" s="3"/>
      <c r="J72" s="3"/>
      <c r="K72" s="3"/>
      <c r="L72" s="3"/>
      <c r="AG72" s="3" t="s">
        <v>13</v>
      </c>
      <c r="AJ72" s="3" t="s">
        <v>13</v>
      </c>
      <c r="AL72"/>
      <c r="AM72"/>
    </row>
    <row r="73" spans="2:39" x14ac:dyDescent="0.35">
      <c r="B73" t="s">
        <v>13</v>
      </c>
      <c r="F73" s="3"/>
      <c r="G73" s="3" t="s">
        <v>13</v>
      </c>
      <c r="H73" s="3"/>
      <c r="I73" s="3"/>
      <c r="J73" s="3"/>
      <c r="K73" s="3"/>
      <c r="L73" s="3"/>
      <c r="AG73" s="3" t="s">
        <v>13</v>
      </c>
      <c r="AJ73" s="3" t="s">
        <v>13</v>
      </c>
      <c r="AL73"/>
      <c r="AM73"/>
    </row>
    <row r="74" spans="2:39" x14ac:dyDescent="0.35">
      <c r="B74" t="s">
        <v>13</v>
      </c>
      <c r="F74" s="3"/>
      <c r="G74" s="3" t="s">
        <v>13</v>
      </c>
      <c r="H74" s="3"/>
      <c r="I74" s="3"/>
      <c r="J74" s="3"/>
      <c r="K74" s="3"/>
      <c r="L74" s="3"/>
      <c r="AG74" s="3" t="s">
        <v>13</v>
      </c>
      <c r="AJ74" s="3" t="s">
        <v>13</v>
      </c>
      <c r="AL74"/>
      <c r="AM74"/>
    </row>
    <row r="75" spans="2:39" x14ac:dyDescent="0.35">
      <c r="B75" t="s">
        <v>13</v>
      </c>
      <c r="F75" s="3"/>
      <c r="G75" s="3" t="s">
        <v>13</v>
      </c>
      <c r="H75" s="3"/>
      <c r="I75" s="3"/>
      <c r="J75" s="3"/>
      <c r="K75" s="3"/>
      <c r="L75" s="3"/>
      <c r="AL75"/>
      <c r="AM75"/>
    </row>
    <row r="76" spans="2:39" x14ac:dyDescent="0.35">
      <c r="B76" t="s">
        <v>13</v>
      </c>
      <c r="F76" s="3"/>
      <c r="G76" s="3" t="s">
        <v>13</v>
      </c>
      <c r="H76" s="3"/>
      <c r="I76" s="3"/>
      <c r="J76" s="3"/>
      <c r="K76" s="3"/>
      <c r="L76" s="3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</sheetData>
  <sortState xmlns:xlrd2="http://schemas.microsoft.com/office/spreadsheetml/2017/richdata2" ref="A35:AQ44">
    <sortCondition ref="C35:C44"/>
  </sortState>
  <phoneticPr fontId="20" type="noConversion"/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BB6E-9734-4559-AEC6-A2CC32CBD1EC}">
  <dimension ref="A1:AQ118"/>
  <sheetViews>
    <sheetView zoomScale="84" zoomScaleNormal="84" workbookViewId="0">
      <pane xSplit="5" ySplit="3" topLeftCell="AI36" activePane="bottomRight" state="frozen"/>
      <selection pane="topRight" activeCell="F1" sqref="F1"/>
      <selection pane="bottomLeft" activeCell="A4" sqref="A4"/>
      <selection pane="bottomRight" activeCell="AK58" sqref="AK58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1.6328125" customWidth="1"/>
    <col min="31" max="31" width="11.26953125" customWidth="1"/>
    <col min="32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45658</v>
      </c>
      <c r="G2" s="1">
        <v>45659</v>
      </c>
      <c r="H2" s="1">
        <v>45660</v>
      </c>
      <c r="I2" s="1">
        <v>45661</v>
      </c>
      <c r="J2" s="1">
        <v>45662</v>
      </c>
      <c r="K2" s="1">
        <v>45663</v>
      </c>
      <c r="L2" s="1">
        <v>45664</v>
      </c>
      <c r="M2" s="1">
        <v>45665</v>
      </c>
      <c r="N2" s="1">
        <v>45666</v>
      </c>
      <c r="O2" s="1">
        <v>45667</v>
      </c>
      <c r="P2" s="1">
        <v>45668</v>
      </c>
      <c r="Q2" s="1">
        <v>45669</v>
      </c>
      <c r="R2" s="1">
        <v>45670</v>
      </c>
      <c r="S2" s="1">
        <v>45671</v>
      </c>
      <c r="T2" s="1">
        <v>45672</v>
      </c>
      <c r="U2" s="1">
        <v>45673</v>
      </c>
      <c r="V2" s="1">
        <v>45674</v>
      </c>
      <c r="W2" s="1">
        <v>45675</v>
      </c>
      <c r="X2" s="1">
        <v>45676</v>
      </c>
      <c r="Y2" s="1">
        <v>45677</v>
      </c>
      <c r="Z2" s="1">
        <v>45678</v>
      </c>
      <c r="AA2" s="1">
        <v>45679</v>
      </c>
      <c r="AB2" s="1">
        <v>45680</v>
      </c>
      <c r="AC2" s="1">
        <v>45681</v>
      </c>
      <c r="AD2" s="1">
        <v>45682</v>
      </c>
      <c r="AE2" s="1">
        <v>45683</v>
      </c>
      <c r="AF2" s="1">
        <v>45684</v>
      </c>
      <c r="AG2" s="1">
        <v>45685</v>
      </c>
      <c r="AH2" s="1">
        <v>45686</v>
      </c>
      <c r="AI2" s="1">
        <v>45687</v>
      </c>
      <c r="AJ2" s="1">
        <v>45688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+'Dic-24'!AJ55</f>
        <v>2544397.8448390844</v>
      </c>
      <c r="G3" s="3">
        <f t="shared" ref="G3:AJ3" si="0">+F64</f>
        <v>2544397.8448390844</v>
      </c>
      <c r="H3" s="3">
        <f t="shared" si="0"/>
        <v>2544397.8448390844</v>
      </c>
      <c r="I3" s="3">
        <f t="shared" si="0"/>
        <v>2544397.8448390844</v>
      </c>
      <c r="J3" s="3">
        <f t="shared" si="0"/>
        <v>2544397.8448390844</v>
      </c>
      <c r="K3" s="3">
        <f t="shared" si="0"/>
        <v>2544397.8448390844</v>
      </c>
      <c r="L3" s="3">
        <f t="shared" si="0"/>
        <v>2534014.8448390844</v>
      </c>
      <c r="M3" s="3">
        <f t="shared" si="0"/>
        <v>775494.65483908448</v>
      </c>
      <c r="N3" s="3">
        <f t="shared" si="0"/>
        <v>1102192.6548390845</v>
      </c>
      <c r="O3" s="3">
        <f t="shared" si="0"/>
        <v>1102192.6548390845</v>
      </c>
      <c r="P3" s="3">
        <f t="shared" si="0"/>
        <v>1097742.6548390845</v>
      </c>
      <c r="Q3" s="3">
        <f t="shared" si="0"/>
        <v>1097742.6548390845</v>
      </c>
      <c r="R3" s="3">
        <f t="shared" si="0"/>
        <v>1097742.6548390845</v>
      </c>
      <c r="S3" s="3">
        <f t="shared" si="0"/>
        <v>1432653.6548390845</v>
      </c>
      <c r="T3" s="3">
        <f t="shared" si="0"/>
        <v>1406451.6548390845</v>
      </c>
      <c r="U3" s="3">
        <f t="shared" si="0"/>
        <v>1406451.6548390845</v>
      </c>
      <c r="V3" s="3">
        <f t="shared" si="0"/>
        <v>1656989.6548390845</v>
      </c>
      <c r="W3" s="3">
        <f t="shared" si="0"/>
        <v>1656989.6548390845</v>
      </c>
      <c r="X3" s="3">
        <f t="shared" si="0"/>
        <v>1656989.6548390845</v>
      </c>
      <c r="Y3" s="3">
        <f t="shared" si="0"/>
        <v>1656989.6548390845</v>
      </c>
      <c r="Z3" s="3">
        <f t="shared" si="0"/>
        <v>1737419.6548390845</v>
      </c>
      <c r="AA3" s="3">
        <f t="shared" si="0"/>
        <v>1737419.6548390845</v>
      </c>
      <c r="AB3" s="3">
        <f t="shared" si="0"/>
        <v>1737419.6548390845</v>
      </c>
      <c r="AC3" s="3">
        <f t="shared" si="0"/>
        <v>1737419.6548390845</v>
      </c>
      <c r="AD3" s="3">
        <f t="shared" si="0"/>
        <v>1937130.6548390845</v>
      </c>
      <c r="AE3" s="3">
        <f t="shared" si="0"/>
        <v>1937130.6548390845</v>
      </c>
      <c r="AF3" s="3">
        <f t="shared" si="0"/>
        <v>1937130.6548390845</v>
      </c>
      <c r="AG3" s="3">
        <f t="shared" si="0"/>
        <v>1937130.6548390845</v>
      </c>
      <c r="AH3" s="3">
        <f t="shared" si="0"/>
        <v>1937130.6548390845</v>
      </c>
      <c r="AI3" s="3">
        <f t="shared" si="0"/>
        <v>1937130.6548390845</v>
      </c>
      <c r="AJ3" s="3">
        <f t="shared" si="0"/>
        <v>1937130.6548390845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2404</v>
      </c>
      <c r="B6" s="66" t="s">
        <v>2403</v>
      </c>
      <c r="C6" s="38">
        <v>45386</v>
      </c>
      <c r="D6" s="39">
        <v>124390</v>
      </c>
      <c r="E6" s="40" t="s">
        <v>2402</v>
      </c>
      <c r="F6" s="3"/>
      <c r="G6" s="3"/>
      <c r="H6" s="3"/>
      <c r="I6" s="3"/>
      <c r="J6" s="3"/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2539</v>
      </c>
      <c r="B7" s="408" t="s">
        <v>2540</v>
      </c>
      <c r="C7" s="409">
        <v>45611</v>
      </c>
      <c r="D7" s="407">
        <v>163349</v>
      </c>
      <c r="E7" s="42" t="s">
        <v>2481</v>
      </c>
      <c r="F7" s="3"/>
      <c r="G7" s="3"/>
      <c r="H7" s="3"/>
      <c r="I7" s="3"/>
      <c r="J7" s="3"/>
      <c r="K7" s="3"/>
      <c r="L7" s="3"/>
      <c r="M7" s="3">
        <v>163349</v>
      </c>
      <c r="N7" s="3"/>
      <c r="O7" s="3"/>
      <c r="P7" s="3"/>
      <c r="Q7" s="3"/>
      <c r="R7" s="3"/>
      <c r="S7" s="3"/>
      <c r="T7" s="3"/>
      <c r="U7" s="3"/>
      <c r="V7" s="3"/>
      <c r="W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163349</v>
      </c>
      <c r="AL7" s="22"/>
    </row>
    <row r="8" spans="1:39" x14ac:dyDescent="0.35">
      <c r="A8" s="41" t="s">
        <v>2545</v>
      </c>
      <c r="B8" s="408" t="s">
        <v>2546</v>
      </c>
      <c r="C8" s="409">
        <v>45626</v>
      </c>
      <c r="D8" s="407">
        <v>163349</v>
      </c>
      <c r="E8" s="42" t="s">
        <v>2481</v>
      </c>
      <c r="F8" s="3"/>
      <c r="G8" s="3"/>
      <c r="H8" s="3"/>
      <c r="I8" s="3"/>
      <c r="J8" s="3"/>
      <c r="K8" s="3"/>
      <c r="L8" s="3"/>
      <c r="M8" s="3">
        <v>163349</v>
      </c>
      <c r="N8" s="3"/>
      <c r="O8" s="3"/>
      <c r="P8" s="3"/>
      <c r="Q8" s="3"/>
      <c r="R8" s="3"/>
      <c r="S8" s="3"/>
      <c r="T8" s="3"/>
      <c r="U8" s="3" t="s">
        <v>13</v>
      </c>
      <c r="V8" s="3"/>
      <c r="W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163349</v>
      </c>
      <c r="AL8" s="22"/>
    </row>
    <row r="9" spans="1:39" x14ac:dyDescent="0.35">
      <c r="A9" s="41" t="s">
        <v>2547</v>
      </c>
      <c r="B9" s="408" t="s">
        <v>2548</v>
      </c>
      <c r="C9" s="409">
        <v>45626</v>
      </c>
      <c r="D9" s="407">
        <v>87189</v>
      </c>
      <c r="E9" s="42" t="s">
        <v>2325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0</v>
      </c>
      <c r="AL9" s="22"/>
    </row>
    <row r="10" spans="1:39" x14ac:dyDescent="0.35">
      <c r="A10" s="41" t="s">
        <v>2551</v>
      </c>
      <c r="B10" s="408" t="s">
        <v>2552</v>
      </c>
      <c r="C10" s="409">
        <v>45631</v>
      </c>
      <c r="D10" s="407">
        <v>119200</v>
      </c>
      <c r="E10" s="42" t="s">
        <v>2325</v>
      </c>
      <c r="F10" s="3" t="s">
        <v>13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v>119200</v>
      </c>
      <c r="S10" s="3"/>
      <c r="T10" s="3"/>
      <c r="U10" s="3"/>
      <c r="V10" s="3"/>
      <c r="W10" s="3"/>
      <c r="Y10" s="3">
        <v>119200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238400</v>
      </c>
      <c r="AL10" s="22"/>
    </row>
    <row r="11" spans="1:39" x14ac:dyDescent="0.35">
      <c r="A11" s="41" t="s">
        <v>2553</v>
      </c>
      <c r="B11" s="408" t="s">
        <v>2554</v>
      </c>
      <c r="C11" s="409">
        <v>45639</v>
      </c>
      <c r="D11" s="407">
        <v>87189</v>
      </c>
      <c r="E11" s="42" t="s">
        <v>2325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71">
        <v>87189</v>
      </c>
      <c r="S11" s="71"/>
      <c r="T11" s="71"/>
      <c r="U11" s="71">
        <v>87189</v>
      </c>
      <c r="V11" s="3"/>
      <c r="W11" s="3"/>
      <c r="Y11" s="3" t="s">
        <v>13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71">
        <f>SUM($F11:AJ11)</f>
        <v>174378</v>
      </c>
      <c r="AL11" s="22"/>
    </row>
    <row r="12" spans="1:39" x14ac:dyDescent="0.35">
      <c r="A12" s="41" t="s">
        <v>2567</v>
      </c>
      <c r="B12" s="408" t="s">
        <v>2563</v>
      </c>
      <c r="C12" s="409">
        <v>46005</v>
      </c>
      <c r="D12" s="407">
        <v>80682</v>
      </c>
      <c r="E12" s="42" t="s">
        <v>2481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0</v>
      </c>
      <c r="AL12" s="22"/>
    </row>
    <row r="13" spans="1:39" x14ac:dyDescent="0.35">
      <c r="A13" s="41" t="s">
        <v>2570</v>
      </c>
      <c r="B13" s="408" t="s">
        <v>2564</v>
      </c>
      <c r="C13" s="409">
        <v>46010</v>
      </c>
      <c r="D13" s="407">
        <v>128522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71">
        <v>128522</v>
      </c>
      <c r="S13" s="71"/>
      <c r="T13" s="71"/>
      <c r="U13" s="71"/>
      <c r="V13" s="71"/>
      <c r="W13" s="71"/>
      <c r="X13" s="61"/>
      <c r="Y13" s="71"/>
      <c r="Z13" s="71"/>
      <c r="AA13" s="71"/>
      <c r="AB13" s="71"/>
      <c r="AC13" s="71">
        <v>128522</v>
      </c>
      <c r="AD13" s="3"/>
      <c r="AE13" s="3"/>
      <c r="AF13" s="3"/>
      <c r="AG13" s="3"/>
      <c r="AH13" s="3"/>
      <c r="AI13" s="3"/>
      <c r="AK13" s="71">
        <f>SUM($F13:AJ13)</f>
        <v>257044</v>
      </c>
      <c r="AL13" s="22"/>
    </row>
    <row r="14" spans="1:39" x14ac:dyDescent="0.35">
      <c r="A14" s="41" t="s">
        <v>2568</v>
      </c>
      <c r="B14" s="408" t="s">
        <v>2565</v>
      </c>
      <c r="C14" s="409">
        <v>46011</v>
      </c>
      <c r="D14" s="407">
        <v>163349</v>
      </c>
      <c r="E14" s="42" t="s">
        <v>2481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163349</v>
      </c>
      <c r="V14" s="3"/>
      <c r="W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163349</v>
      </c>
      <c r="AL14" s="22"/>
    </row>
    <row r="15" spans="1:39" ht="15" thickBot="1" x14ac:dyDescent="0.4">
      <c r="A15" s="43" t="s">
        <v>2571</v>
      </c>
      <c r="B15" s="76" t="s">
        <v>2566</v>
      </c>
      <c r="C15" s="45">
        <v>46014</v>
      </c>
      <c r="D15" s="46">
        <v>87189</v>
      </c>
      <c r="E15" s="47" t="s">
        <v>2325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Y15" s="3"/>
      <c r="Z15" s="3"/>
      <c r="AA15" s="3"/>
      <c r="AB15" s="3"/>
      <c r="AC15" s="3">
        <v>87189</v>
      </c>
      <c r="AD15" s="3"/>
      <c r="AE15" s="3"/>
      <c r="AF15" s="3"/>
      <c r="AG15" s="3"/>
      <c r="AH15" s="3"/>
      <c r="AI15" s="3"/>
      <c r="AK15" s="3">
        <f>SUM($F15:AJ15)</f>
        <v>87189</v>
      </c>
      <c r="AL15" s="22"/>
    </row>
    <row r="16" spans="1:39" x14ac:dyDescent="0.35">
      <c r="A16" s="41" t="s">
        <v>2572</v>
      </c>
      <c r="B16" t="s">
        <v>2569</v>
      </c>
      <c r="C16" s="5">
        <v>45660</v>
      </c>
      <c r="D16" s="3">
        <v>119200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39" x14ac:dyDescent="0.35">
      <c r="A17" s="41" t="s">
        <v>2573</v>
      </c>
      <c r="B17" t="s">
        <v>2574</v>
      </c>
      <c r="C17" s="5">
        <v>45664</v>
      </c>
      <c r="D17" s="3">
        <v>87189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39" x14ac:dyDescent="0.35">
      <c r="A18" s="41" t="s">
        <v>2576</v>
      </c>
      <c r="B18" t="s">
        <v>2575</v>
      </c>
      <c r="C18" s="5">
        <v>45664</v>
      </c>
      <c r="D18" s="3">
        <v>87189</v>
      </c>
      <c r="E18" s="42" t="s">
        <v>2481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39" x14ac:dyDescent="0.35">
      <c r="A19" s="41" t="s">
        <v>2577</v>
      </c>
      <c r="B19" t="s">
        <v>2578</v>
      </c>
      <c r="C19" s="5">
        <v>45667</v>
      </c>
      <c r="D19" s="3">
        <v>60730</v>
      </c>
      <c r="E19" s="42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39" x14ac:dyDescent="0.35">
      <c r="A20" s="41" t="s">
        <v>2581</v>
      </c>
      <c r="B20" t="s">
        <v>2582</v>
      </c>
      <c r="C20" s="5">
        <v>45672</v>
      </c>
      <c r="D20" s="3">
        <v>87189</v>
      </c>
      <c r="E20" s="42" t="s">
        <v>2325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 t="s">
        <v>13</v>
      </c>
      <c r="S20" s="3"/>
      <c r="T20" s="3"/>
      <c r="U20" s="3"/>
      <c r="V20" s="3"/>
      <c r="W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39" x14ac:dyDescent="0.35">
      <c r="A21" s="41" t="s">
        <v>2587</v>
      </c>
      <c r="B21" t="s">
        <v>2589</v>
      </c>
      <c r="C21" s="5">
        <v>45675</v>
      </c>
      <c r="D21" s="3">
        <v>87189</v>
      </c>
      <c r="E21" s="42" t="s">
        <v>2481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">
        <f>SUM($F21:AJ21)</f>
        <v>0</v>
      </c>
      <c r="AL21" s="22"/>
    </row>
    <row r="22" spans="1:39" x14ac:dyDescent="0.35">
      <c r="A22" s="41" t="s">
        <v>2588</v>
      </c>
      <c r="B22" t="s">
        <v>2590</v>
      </c>
      <c r="C22" s="5">
        <v>45681</v>
      </c>
      <c r="D22" s="3">
        <v>87189</v>
      </c>
      <c r="E22" s="42" t="s">
        <v>2481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K22" s="3">
        <f>SUM($F22:AJ22)</f>
        <v>0</v>
      </c>
      <c r="AL22" s="22"/>
    </row>
    <row r="23" spans="1:39" x14ac:dyDescent="0.35">
      <c r="A23" s="41" t="s">
        <v>2591</v>
      </c>
      <c r="B23" t="s">
        <v>2592</v>
      </c>
      <c r="C23" s="5">
        <v>45685</v>
      </c>
      <c r="D23" s="3">
        <v>87189</v>
      </c>
      <c r="E23" s="42" t="s">
        <v>2325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K23" s="3">
        <f>SUM($F23:AJ23)</f>
        <v>0</v>
      </c>
      <c r="AL23" s="22"/>
    </row>
    <row r="24" spans="1:39" x14ac:dyDescent="0.35">
      <c r="A24" s="41" t="s">
        <v>2593</v>
      </c>
      <c r="B24" t="s">
        <v>2594</v>
      </c>
      <c r="C24" s="5">
        <v>45686</v>
      </c>
      <c r="D24" s="3">
        <v>45855</v>
      </c>
      <c r="E24" s="42" t="s">
        <v>2325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K24" s="3">
        <f>SUM($F24:AJ24)</f>
        <v>0</v>
      </c>
      <c r="AL24" s="22"/>
    </row>
    <row r="25" spans="1:39" x14ac:dyDescent="0.35">
      <c r="A25" s="41" t="s">
        <v>2595</v>
      </c>
      <c r="B25" t="s">
        <v>2597</v>
      </c>
      <c r="C25" s="5">
        <v>45686</v>
      </c>
      <c r="D25" s="3">
        <v>87189</v>
      </c>
      <c r="E25" s="42" t="s">
        <v>2325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K25" s="3"/>
      <c r="AL25" s="22"/>
    </row>
    <row r="26" spans="1:39" x14ac:dyDescent="0.35">
      <c r="A26" s="41" t="s">
        <v>2596</v>
      </c>
      <c r="B26" t="s">
        <v>2598</v>
      </c>
      <c r="C26" s="5">
        <v>45687</v>
      </c>
      <c r="D26" s="3">
        <v>87189</v>
      </c>
      <c r="E26" s="42" t="s">
        <v>2325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K26" s="3">
        <f>SUM($F26:AJ26)</f>
        <v>0</v>
      </c>
      <c r="AL26" s="22"/>
    </row>
    <row r="27" spans="1:39" ht="15" thickBot="1" x14ac:dyDescent="0.4">
      <c r="A27" s="43"/>
      <c r="B27" s="76"/>
      <c r="C27" s="45"/>
      <c r="D27" s="46"/>
      <c r="E27" s="4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  <c r="AL27" s="22"/>
    </row>
    <row r="28" spans="1:39" x14ac:dyDescent="0.35">
      <c r="D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K28" s="324" t="s">
        <v>1962</v>
      </c>
      <c r="AL28" s="22" t="s">
        <v>1352</v>
      </c>
    </row>
    <row r="29" spans="1:39" x14ac:dyDescent="0.35">
      <c r="A29" s="2" t="s">
        <v>1676</v>
      </c>
      <c r="D29" s="3">
        <f>SUM(D16:D27)</f>
        <v>923297</v>
      </c>
      <c r="F29" s="3">
        <f t="shared" ref="F29:AJ29" si="1">SUM(F5:F27)</f>
        <v>0</v>
      </c>
      <c r="G29" s="3">
        <f t="shared" si="1"/>
        <v>0</v>
      </c>
      <c r="H29" s="3">
        <f t="shared" si="1"/>
        <v>0</v>
      </c>
      <c r="I29" s="3">
        <f t="shared" si="1"/>
        <v>0</v>
      </c>
      <c r="J29" s="3">
        <f t="shared" si="1"/>
        <v>0</v>
      </c>
      <c r="K29" s="3">
        <f t="shared" si="1"/>
        <v>0</v>
      </c>
      <c r="L29" s="3">
        <f t="shared" si="1"/>
        <v>0</v>
      </c>
      <c r="M29" s="3">
        <f t="shared" si="1"/>
        <v>326698</v>
      </c>
      <c r="N29" s="3">
        <f t="shared" si="1"/>
        <v>0</v>
      </c>
      <c r="O29" s="3">
        <f t="shared" si="1"/>
        <v>0</v>
      </c>
      <c r="P29" s="3">
        <f t="shared" si="1"/>
        <v>0</v>
      </c>
      <c r="Q29" s="3">
        <f t="shared" si="1"/>
        <v>0</v>
      </c>
      <c r="R29" s="3">
        <f t="shared" si="1"/>
        <v>334911</v>
      </c>
      <c r="S29" s="3">
        <f t="shared" si="1"/>
        <v>0</v>
      </c>
      <c r="T29" s="3">
        <f t="shared" si="1"/>
        <v>0</v>
      </c>
      <c r="U29" s="3">
        <f t="shared" si="1"/>
        <v>250538</v>
      </c>
      <c r="V29" s="3">
        <f t="shared" si="1"/>
        <v>0</v>
      </c>
      <c r="W29" s="3">
        <f t="shared" si="1"/>
        <v>0</v>
      </c>
      <c r="X29" s="3">
        <f t="shared" si="1"/>
        <v>0</v>
      </c>
      <c r="Y29" s="3">
        <f t="shared" si="1"/>
        <v>119200</v>
      </c>
      <c r="Z29" s="3">
        <f t="shared" si="1"/>
        <v>0</v>
      </c>
      <c r="AA29" s="3">
        <f t="shared" si="1"/>
        <v>0</v>
      </c>
      <c r="AB29" s="3">
        <f t="shared" si="1"/>
        <v>0</v>
      </c>
      <c r="AC29" s="3">
        <f t="shared" si="1"/>
        <v>215711</v>
      </c>
      <c r="AD29" s="3">
        <f t="shared" si="1"/>
        <v>0</v>
      </c>
      <c r="AE29" s="3">
        <f t="shared" si="1"/>
        <v>0</v>
      </c>
      <c r="AF29" s="3">
        <f t="shared" si="1"/>
        <v>0</v>
      </c>
      <c r="AG29" s="3">
        <f t="shared" si="1"/>
        <v>0</v>
      </c>
      <c r="AH29" s="3">
        <f t="shared" si="1"/>
        <v>0</v>
      </c>
      <c r="AI29" s="3">
        <f t="shared" si="1"/>
        <v>0</v>
      </c>
      <c r="AJ29" s="3">
        <f t="shared" si="1"/>
        <v>0</v>
      </c>
      <c r="AK29" s="72">
        <f>SUM(AK6:AK27)</f>
        <v>1247058</v>
      </c>
      <c r="AL29" s="22">
        <f>+D30-AK29</f>
        <v>880647</v>
      </c>
      <c r="AM29" s="6" t="s">
        <v>13</v>
      </c>
    </row>
    <row r="30" spans="1:39" x14ac:dyDescent="0.35">
      <c r="A30" s="2" t="s">
        <v>1780</v>
      </c>
      <c r="B30" t="s">
        <v>13</v>
      </c>
      <c r="C30" s="3" t="s">
        <v>13</v>
      </c>
      <c r="D30" s="3">
        <f>SUM(D6:D27)</f>
        <v>2127705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9" x14ac:dyDescent="0.35">
      <c r="A31" s="2"/>
      <c r="C31" s="3"/>
      <c r="D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9" x14ac:dyDescent="0.35">
      <c r="A32" s="2" t="s">
        <v>2</v>
      </c>
      <c r="C32" t="s">
        <v>13</v>
      </c>
      <c r="F32" s="3"/>
      <c r="G32" s="3"/>
      <c r="H32" s="3"/>
      <c r="I32" s="3"/>
      <c r="J32" s="3"/>
      <c r="K32" s="3"/>
      <c r="L32" s="3" t="s">
        <v>13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41" ht="15" thickBot="1" x14ac:dyDescent="0.4">
      <c r="A33" s="404">
        <v>45178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41" x14ac:dyDescent="0.35">
      <c r="A34" s="358" t="s">
        <v>1008</v>
      </c>
      <c r="B34" s="37" t="s">
        <v>337</v>
      </c>
      <c r="C34" s="38"/>
      <c r="D34" s="39">
        <v>1900000</v>
      </c>
      <c r="E34" s="40"/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900000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f>SUM($F34:AJ34)</f>
        <v>900000</v>
      </c>
    </row>
    <row r="35" spans="1:41" x14ac:dyDescent="0.35">
      <c r="A35" s="41" t="s">
        <v>2509</v>
      </c>
      <c r="B35" s="410"/>
      <c r="C35" s="409"/>
      <c r="D35" s="407">
        <v>72235</v>
      </c>
      <c r="E35" s="42"/>
      <c r="F35" s="3"/>
      <c r="G35" s="3"/>
      <c r="H35" s="3"/>
      <c r="I35" s="3"/>
      <c r="J35" s="3"/>
      <c r="K35" s="3"/>
      <c r="L35" s="407">
        <v>72235</v>
      </c>
      <c r="M35" s="3" t="s">
        <v>13</v>
      </c>
      <c r="N35" s="3"/>
      <c r="O35" s="3"/>
      <c r="P35" s="3"/>
      <c r="Q35" s="3"/>
      <c r="R35" s="3"/>
      <c r="S35" s="3"/>
      <c r="T35" s="3"/>
      <c r="U35" s="3"/>
      <c r="V35" s="3"/>
      <c r="W35" s="3"/>
      <c r="Z35" s="3"/>
      <c r="AA35" s="3"/>
      <c r="AB35" s="3"/>
      <c r="AC35" s="3" t="s">
        <v>13</v>
      </c>
      <c r="AD35" s="3" t="s">
        <v>13</v>
      </c>
      <c r="AE35" s="3"/>
      <c r="AF35" s="3"/>
      <c r="AG35" s="3"/>
      <c r="AH35" s="3"/>
      <c r="AI35" s="3"/>
      <c r="AK35" s="3">
        <f>SUM($F35:AJ35)</f>
        <v>72235</v>
      </c>
    </row>
    <row r="36" spans="1:41" x14ac:dyDescent="0.35">
      <c r="A36" s="41" t="s">
        <v>2562</v>
      </c>
      <c r="B36" s="410"/>
      <c r="C36" s="409"/>
      <c r="D36" s="407">
        <v>76571</v>
      </c>
      <c r="E36" s="42"/>
      <c r="F36" s="3"/>
      <c r="G36" s="3"/>
      <c r="H36" s="3"/>
      <c r="I36" s="3"/>
      <c r="J36" s="3"/>
      <c r="K36" s="3"/>
      <c r="L36" s="407">
        <v>76571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K36" s="3">
        <f>SUM($F36:AJ36)</f>
        <v>76571</v>
      </c>
    </row>
    <row r="37" spans="1:41" x14ac:dyDescent="0.35">
      <c r="A37" s="41" t="s">
        <v>2561</v>
      </c>
      <c r="B37" s="410"/>
      <c r="C37" s="409"/>
      <c r="D37" s="407">
        <v>121687.19</v>
      </c>
      <c r="E37" s="42"/>
      <c r="F37" s="3"/>
      <c r="G37" s="3"/>
      <c r="H37" s="3"/>
      <c r="I37" s="3"/>
      <c r="J37" s="3"/>
      <c r="K37" s="3"/>
      <c r="L37" s="407">
        <v>121687.19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K37" s="3">
        <f>SUM($F37:AJ37)</f>
        <v>121687.19</v>
      </c>
    </row>
    <row r="38" spans="1:41" x14ac:dyDescent="0.35">
      <c r="A38" s="343" t="s">
        <v>1161</v>
      </c>
      <c r="B38" s="410" t="s">
        <v>2537</v>
      </c>
      <c r="C38" s="409">
        <v>45605</v>
      </c>
      <c r="D38" s="407">
        <v>10970</v>
      </c>
      <c r="E38" s="344" t="s">
        <v>4</v>
      </c>
      <c r="F38" s="3"/>
      <c r="G38" s="3"/>
      <c r="H38" s="3"/>
      <c r="I38" s="3"/>
      <c r="J38" s="3"/>
      <c r="K38" s="3"/>
      <c r="L38" s="3">
        <v>10970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>
        <f>SUM($F38:AJ38)</f>
        <v>10970</v>
      </c>
      <c r="AN38" s="26"/>
      <c r="AO38" s="3"/>
    </row>
    <row r="39" spans="1:41" x14ac:dyDescent="0.35">
      <c r="A39" s="343" t="s">
        <v>1161</v>
      </c>
      <c r="B39" s="410" t="s">
        <v>2538</v>
      </c>
      <c r="C39" s="409">
        <v>45611</v>
      </c>
      <c r="D39" s="407">
        <v>10970</v>
      </c>
      <c r="E39" s="344" t="s">
        <v>4</v>
      </c>
      <c r="F39" s="3"/>
      <c r="G39" s="3"/>
      <c r="H39" s="3"/>
      <c r="I39" s="3"/>
      <c r="J39" s="3"/>
      <c r="K39" s="3"/>
      <c r="L39" s="3">
        <v>10970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>
        <f>SUM($F39:AJ39)</f>
        <v>10970</v>
      </c>
      <c r="AN39" s="26"/>
      <c r="AO39" s="3"/>
    </row>
    <row r="40" spans="1:41" ht="15" thickBot="1" x14ac:dyDescent="0.4">
      <c r="A40" s="345" t="s">
        <v>823</v>
      </c>
      <c r="B40" s="44"/>
      <c r="C40" s="45">
        <v>45615</v>
      </c>
      <c r="D40" s="46">
        <v>118977</v>
      </c>
      <c r="E40" s="347" t="s">
        <v>4</v>
      </c>
      <c r="F40" s="3"/>
      <c r="G40" s="3"/>
      <c r="H40" s="3"/>
      <c r="I40" s="3"/>
      <c r="J40" s="3"/>
      <c r="K40" s="3"/>
      <c r="L40" s="3">
        <v>118977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Z40" s="3"/>
      <c r="AA40" s="3"/>
      <c r="AB40" s="3"/>
      <c r="AC40" s="3"/>
      <c r="AD40" s="3" t="s">
        <v>13</v>
      </c>
      <c r="AE40" s="3"/>
      <c r="AF40" s="3"/>
      <c r="AG40" s="3"/>
      <c r="AH40" s="3"/>
      <c r="AI40" s="3"/>
      <c r="AJ40" s="3"/>
      <c r="AK40" s="3">
        <f>SUM($F40:AJ40)</f>
        <v>118977</v>
      </c>
      <c r="AN40" s="26"/>
      <c r="AO40" s="3"/>
    </row>
    <row r="41" spans="1:41" x14ac:dyDescent="0.35">
      <c r="A41" s="343" t="s">
        <v>1161</v>
      </c>
      <c r="B41" s="24" t="s">
        <v>2550</v>
      </c>
      <c r="C41" s="5">
        <v>45630</v>
      </c>
      <c r="D41" s="3">
        <v>17630</v>
      </c>
      <c r="E41" s="344" t="s">
        <v>4</v>
      </c>
      <c r="F41" s="3"/>
      <c r="G41" s="3"/>
      <c r="H41" s="3"/>
      <c r="I41" s="3"/>
      <c r="J41" s="3"/>
      <c r="K41" s="3"/>
      <c r="L41" s="3">
        <v>17630</v>
      </c>
      <c r="M41" s="3"/>
      <c r="N41" s="3" t="s">
        <v>13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17630</v>
      </c>
      <c r="AN41" s="26"/>
      <c r="AO41" s="3"/>
    </row>
    <row r="42" spans="1:41" x14ac:dyDescent="0.35">
      <c r="A42" s="343" t="s">
        <v>2126</v>
      </c>
      <c r="B42" s="24"/>
      <c r="C42" s="5">
        <v>45632</v>
      </c>
      <c r="D42" s="3">
        <v>6499</v>
      </c>
      <c r="E42" s="344" t="s">
        <v>4</v>
      </c>
      <c r="F42" s="3"/>
      <c r="G42" s="3"/>
      <c r="H42" s="3"/>
      <c r="I42" s="3"/>
      <c r="J42" s="3"/>
      <c r="K42" s="3"/>
      <c r="L42" s="3">
        <v>6499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 t="s">
        <v>13</v>
      </c>
      <c r="AE42" s="3"/>
      <c r="AF42" s="3"/>
      <c r="AG42" s="3"/>
      <c r="AH42" s="3"/>
      <c r="AI42" s="3"/>
      <c r="AJ42" s="3"/>
      <c r="AK42" s="3">
        <f>SUM($F42:AJ42)</f>
        <v>6499</v>
      </c>
      <c r="AN42" s="26"/>
      <c r="AO42" s="3"/>
    </row>
    <row r="43" spans="1:41" x14ac:dyDescent="0.35">
      <c r="A43" s="343" t="s">
        <v>1161</v>
      </c>
      <c r="B43" s="24" t="s">
        <v>2555</v>
      </c>
      <c r="C43" s="5">
        <v>45643</v>
      </c>
      <c r="D43" s="3">
        <v>10250</v>
      </c>
      <c r="E43" s="344" t="s">
        <v>4</v>
      </c>
      <c r="F43" s="3"/>
      <c r="G43" s="3"/>
      <c r="H43" s="3"/>
      <c r="I43" s="3"/>
      <c r="J43" s="3"/>
      <c r="K43" s="3"/>
      <c r="L43" s="3">
        <v>10250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>
        <f>SUM($F43:AJ43)</f>
        <v>10250</v>
      </c>
      <c r="AN43" s="26"/>
      <c r="AO43" s="3"/>
    </row>
    <row r="44" spans="1:41" x14ac:dyDescent="0.35">
      <c r="A44" s="343" t="s">
        <v>533</v>
      </c>
      <c r="B44" s="24"/>
      <c r="C44" s="5">
        <v>45645</v>
      </c>
      <c r="D44" s="7">
        <v>381246</v>
      </c>
      <c r="E44" s="344" t="s">
        <v>4</v>
      </c>
      <c r="F44" s="3"/>
      <c r="G44" s="3"/>
      <c r="H44" s="3"/>
      <c r="I44" s="3"/>
      <c r="J44" s="3"/>
      <c r="K44" s="3"/>
      <c r="L44" s="7">
        <v>381246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>
        <f>SUM($F44:AJ44)</f>
        <v>381246</v>
      </c>
      <c r="AN44" s="26"/>
      <c r="AO44" s="3"/>
    </row>
    <row r="45" spans="1:41" x14ac:dyDescent="0.35">
      <c r="A45" s="343" t="s">
        <v>1161</v>
      </c>
      <c r="B45" s="24" t="s">
        <v>2557</v>
      </c>
      <c r="C45" s="5">
        <v>45646</v>
      </c>
      <c r="D45" s="3">
        <v>8500</v>
      </c>
      <c r="E45" s="344" t="s">
        <v>4</v>
      </c>
      <c r="F45" s="3"/>
      <c r="G45" s="3"/>
      <c r="H45" s="3"/>
      <c r="I45" s="3"/>
      <c r="J45" s="3"/>
      <c r="K45" s="3"/>
      <c r="L45" s="3">
        <v>8500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>
        <f>SUM($F45:AJ45)</f>
        <v>8500</v>
      </c>
      <c r="AN45" s="26"/>
      <c r="AO45" s="3"/>
    </row>
    <row r="46" spans="1:41" x14ac:dyDescent="0.35">
      <c r="A46" s="343" t="s">
        <v>1161</v>
      </c>
      <c r="B46" s="24" t="s">
        <v>2558</v>
      </c>
      <c r="C46" s="5">
        <v>45649</v>
      </c>
      <c r="D46" s="3">
        <v>10750</v>
      </c>
      <c r="E46" s="344" t="s">
        <v>4</v>
      </c>
      <c r="F46" s="3"/>
      <c r="G46" s="3"/>
      <c r="H46" s="3"/>
      <c r="I46" s="3"/>
      <c r="J46" s="3"/>
      <c r="K46" s="3"/>
      <c r="L46" s="3">
        <f>10750+135</f>
        <v>10885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>
        <f>SUM($F46:AJ46)</f>
        <v>10885</v>
      </c>
      <c r="AN46" s="26"/>
      <c r="AO46" s="3"/>
    </row>
    <row r="47" spans="1:41" x14ac:dyDescent="0.35">
      <c r="A47" s="343" t="s">
        <v>1161</v>
      </c>
      <c r="B47" s="24" t="s">
        <v>2583</v>
      </c>
      <c r="C47" s="5">
        <v>45659</v>
      </c>
      <c r="D47" s="3">
        <v>2890</v>
      </c>
      <c r="E47" s="344" t="s">
        <v>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>
        <f>SUM($F47:AJ47)</f>
        <v>0</v>
      </c>
      <c r="AN47" s="26"/>
      <c r="AO47" s="3"/>
    </row>
    <row r="48" spans="1:41" x14ac:dyDescent="0.35">
      <c r="A48" s="343" t="s">
        <v>2559</v>
      </c>
      <c r="B48" s="24"/>
      <c r="C48" s="5">
        <v>45663</v>
      </c>
      <c r="D48" s="3">
        <v>10383</v>
      </c>
      <c r="E48" s="344" t="s">
        <v>503</v>
      </c>
      <c r="F48" s="3"/>
      <c r="G48" s="3"/>
      <c r="H48" s="3"/>
      <c r="I48" s="3"/>
      <c r="J48" s="3"/>
      <c r="K48" s="7">
        <v>10383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f>SUM($F48:AJ48)</f>
        <v>10383</v>
      </c>
      <c r="AN48" s="26"/>
      <c r="AO48" s="3"/>
    </row>
    <row r="49" spans="1:43" x14ac:dyDescent="0.35">
      <c r="A49" s="343" t="s">
        <v>1161</v>
      </c>
      <c r="B49" s="24" t="s">
        <v>2560</v>
      </c>
      <c r="C49" s="5">
        <v>45664</v>
      </c>
      <c r="D49" s="3">
        <v>12100</v>
      </c>
      <c r="E49" s="344" t="s">
        <v>4</v>
      </c>
      <c r="F49" s="3"/>
      <c r="G49" s="3"/>
      <c r="H49" s="3"/>
      <c r="I49" s="3"/>
      <c r="J49" s="3"/>
      <c r="K49" s="3"/>
      <c r="L49" s="3">
        <v>12100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>
        <f>SUM($F49:AJ49)</f>
        <v>12100</v>
      </c>
      <c r="AN49" s="26"/>
      <c r="AO49" s="3"/>
    </row>
    <row r="50" spans="1:43" x14ac:dyDescent="0.35">
      <c r="A50" s="343" t="s">
        <v>1161</v>
      </c>
      <c r="B50" s="24" t="s">
        <v>2579</v>
      </c>
      <c r="C50" s="5">
        <v>45666</v>
      </c>
      <c r="D50" s="3">
        <v>4450</v>
      </c>
      <c r="E50" s="344" t="s">
        <v>4</v>
      </c>
      <c r="F50" s="3"/>
      <c r="G50" s="3"/>
      <c r="H50" s="3"/>
      <c r="I50" s="3"/>
      <c r="J50" s="3"/>
      <c r="K50" s="3"/>
      <c r="L50" s="3"/>
      <c r="M50" s="3"/>
      <c r="N50" s="3"/>
      <c r="O50" s="3">
        <v>4450</v>
      </c>
      <c r="P50" s="3"/>
      <c r="Q50" s="3"/>
      <c r="R50" s="3"/>
      <c r="S50" s="3"/>
      <c r="T50" s="3"/>
      <c r="U50" s="3"/>
      <c r="V50" s="3"/>
      <c r="W50" s="3"/>
      <c r="X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f>SUM($F50:AJ50)</f>
        <v>4450</v>
      </c>
      <c r="AN50" s="26"/>
      <c r="AO50" s="3"/>
    </row>
    <row r="51" spans="1:43" x14ac:dyDescent="0.35">
      <c r="A51" s="343" t="s">
        <v>2580</v>
      </c>
      <c r="B51" s="24"/>
      <c r="C51" s="5">
        <v>45671</v>
      </c>
      <c r="D51" s="3">
        <v>26202</v>
      </c>
      <c r="E51" s="344" t="s">
        <v>503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>
        <v>26202</v>
      </c>
      <c r="T51" s="3"/>
      <c r="U51" s="3"/>
      <c r="V51" s="3"/>
      <c r="W51" s="3"/>
      <c r="X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>
        <f>SUM($F51:AJ51)</f>
        <v>26202</v>
      </c>
      <c r="AN51" s="26"/>
      <c r="AO51" s="3"/>
    </row>
    <row r="52" spans="1:43" x14ac:dyDescent="0.35">
      <c r="A52" s="343" t="s">
        <v>2584</v>
      </c>
      <c r="B52" s="24" t="s">
        <v>2585</v>
      </c>
      <c r="C52" s="5">
        <v>45674</v>
      </c>
      <c r="D52" s="3">
        <f>(1620*9+3000*4+3000*2)*1.19</f>
        <v>38770.199999999997</v>
      </c>
      <c r="E52" s="344" t="s">
        <v>503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 t="s">
        <v>13</v>
      </c>
      <c r="W52" s="3"/>
      <c r="X52" s="3"/>
      <c r="Y52" s="3">
        <v>38770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f>SUM($F52:AJ52)</f>
        <v>38770</v>
      </c>
      <c r="AN52" s="26"/>
      <c r="AO52" s="3"/>
    </row>
    <row r="53" spans="1:43" x14ac:dyDescent="0.35">
      <c r="A53" s="343" t="s">
        <v>2586</v>
      </c>
      <c r="B53" s="24"/>
      <c r="C53" s="5">
        <v>45681</v>
      </c>
      <c r="D53" s="3">
        <v>16000</v>
      </c>
      <c r="E53" s="344" t="s">
        <v>503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Z53" s="3"/>
      <c r="AA53" s="3"/>
      <c r="AB53" s="3"/>
      <c r="AC53" s="3">
        <v>16000</v>
      </c>
      <c r="AD53" s="3"/>
      <c r="AE53" s="3"/>
      <c r="AF53" s="3"/>
      <c r="AG53" s="3"/>
      <c r="AH53" s="3"/>
      <c r="AI53" s="3"/>
      <c r="AJ53" s="3"/>
      <c r="AK53" s="3">
        <f>SUM($F53:AJ53)</f>
        <v>16000</v>
      </c>
      <c r="AN53" s="26"/>
      <c r="AO53" s="3"/>
    </row>
    <row r="54" spans="1:43" x14ac:dyDescent="0.35">
      <c r="A54" s="343" t="s">
        <v>1161</v>
      </c>
      <c r="B54" s="24" t="s">
        <v>2600</v>
      </c>
      <c r="C54" s="5">
        <v>45680</v>
      </c>
      <c r="D54" s="3">
        <v>11260</v>
      </c>
      <c r="E54" s="344" t="s">
        <v>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f>SUM($F54:AJ54)</f>
        <v>0</v>
      </c>
      <c r="AN54" s="26"/>
      <c r="AO54" s="3"/>
    </row>
    <row r="55" spans="1:43" x14ac:dyDescent="0.35">
      <c r="A55" s="343" t="s">
        <v>1161</v>
      </c>
      <c r="B55" s="24" t="s">
        <v>2599</v>
      </c>
      <c r="C55" s="5">
        <v>45686</v>
      </c>
      <c r="D55" s="3">
        <v>7430</v>
      </c>
      <c r="E55" s="344" t="s">
        <v>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>
        <f>SUM($F55:AJ55)</f>
        <v>0</v>
      </c>
      <c r="AN55" s="26"/>
      <c r="AO55" s="3"/>
    </row>
    <row r="56" spans="1:43" x14ac:dyDescent="0.35">
      <c r="A56" s="343" t="s">
        <v>1161</v>
      </c>
      <c r="B56" s="24" t="s">
        <v>2601</v>
      </c>
      <c r="C56" s="5">
        <v>45687</v>
      </c>
      <c r="D56" s="3">
        <v>5740</v>
      </c>
      <c r="E56" s="344" t="s">
        <v>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>
        <f>SUM($F56:AJ56)</f>
        <v>0</v>
      </c>
      <c r="AN56" s="26"/>
      <c r="AO56" s="3"/>
    </row>
    <row r="57" spans="1:43" x14ac:dyDescent="0.35">
      <c r="A57" s="343" t="s">
        <v>2352</v>
      </c>
      <c r="B57" s="24"/>
      <c r="C57" s="5">
        <v>45677</v>
      </c>
      <c r="D57" s="7">
        <v>76548</v>
      </c>
      <c r="E57" s="344" t="s">
        <v>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>
        <f>SUM($F57:AJ57)</f>
        <v>0</v>
      </c>
      <c r="AN57" s="26"/>
      <c r="AO57" s="3"/>
    </row>
    <row r="58" spans="1:43" ht="15" thickBot="1" x14ac:dyDescent="0.4">
      <c r="A58" s="43" t="s">
        <v>2529</v>
      </c>
      <c r="B58" s="76" t="s">
        <v>337</v>
      </c>
      <c r="C58" s="45" t="s">
        <v>13</v>
      </c>
      <c r="D58" s="46">
        <f>+AK29*0.17</f>
        <v>211999.86000000002</v>
      </c>
      <c r="E58" s="47"/>
      <c r="F58" s="3"/>
      <c r="G58" s="3" t="s">
        <v>13</v>
      </c>
      <c r="H58" s="3" t="s">
        <v>13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 t="s">
        <v>13</v>
      </c>
      <c r="AL58" s="6" t="s">
        <v>1846</v>
      </c>
      <c r="AM58" s="6" t="s">
        <v>13</v>
      </c>
      <c r="AN58" s="26" t="s">
        <v>13</v>
      </c>
      <c r="AO58" s="3"/>
    </row>
    <row r="59" spans="1:43" x14ac:dyDescent="0.35">
      <c r="A59" s="3" t="s">
        <v>13</v>
      </c>
      <c r="B59" s="24"/>
      <c r="C59" s="236" t="s">
        <v>13</v>
      </c>
      <c r="D59" s="3"/>
      <c r="E59" s="15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13</v>
      </c>
      <c r="AL59" s="22"/>
      <c r="AO59" s="14" t="s">
        <v>1558</v>
      </c>
      <c r="AP59" s="15">
        <f>+SUMIF(AL40:AL58,"CD",D40:D58)/1.19</f>
        <v>0</v>
      </c>
      <c r="AQ59" s="15" t="e">
        <f>+AP59*#REF!/#REF!</f>
        <v>#REF!</v>
      </c>
    </row>
    <row r="60" spans="1:43" x14ac:dyDescent="0.35">
      <c r="A60" s="4"/>
      <c r="B60" s="24"/>
      <c r="C60" s="67"/>
      <c r="D60" s="3"/>
      <c r="E60" s="153"/>
      <c r="F60" s="3" t="s">
        <v>13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 t="s">
        <v>13</v>
      </c>
      <c r="AL60" s="22"/>
      <c r="AO60" s="14" t="s">
        <v>1559</v>
      </c>
      <c r="AP60" s="15" t="e">
        <f>+#REF!-AP59</f>
        <v>#REF!</v>
      </c>
      <c r="AQ60" s="15" t="e">
        <f>+#REF!-AQ59</f>
        <v>#REF!</v>
      </c>
    </row>
    <row r="61" spans="1:43" x14ac:dyDescent="0.35">
      <c r="A61" s="4"/>
      <c r="B61" s="24"/>
      <c r="C61" s="67"/>
      <c r="D61" s="3"/>
      <c r="E61" s="15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 t="s">
        <v>13</v>
      </c>
      <c r="AL61" s="22"/>
      <c r="AO61" s="14" t="s">
        <v>1560</v>
      </c>
      <c r="AP61" s="327" t="e">
        <f>+AP60/#REF!</f>
        <v>#REF!</v>
      </c>
      <c r="AQ61" s="327" t="e">
        <f>+AQ60/#REF!</f>
        <v>#REF!</v>
      </c>
    </row>
    <row r="62" spans="1:43" x14ac:dyDescent="0.35">
      <c r="A62" s="4"/>
      <c r="B62" s="67"/>
      <c r="C62" s="236"/>
      <c r="E62" s="15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Y62" s="3"/>
      <c r="AJ62" s="3"/>
      <c r="AK62" s="3"/>
      <c r="AL62" s="22" t="s">
        <v>1388</v>
      </c>
      <c r="AM62" s="6" t="s">
        <v>1430</v>
      </c>
      <c r="AO62" s="14" t="s">
        <v>81</v>
      </c>
      <c r="AP62" s="15" t="e">
        <f>+SUMIF(AL40:AL58,"GAV",D40:D58)/1.19+SUMIF(#REF!,"REM",#REF!)</f>
        <v>#REF!</v>
      </c>
      <c r="AQ62" s="15" t="e">
        <f>+AP62*#REF!/#REF!</f>
        <v>#REF!</v>
      </c>
    </row>
    <row r="63" spans="1:43" x14ac:dyDescent="0.35">
      <c r="A63" s="2" t="s">
        <v>9</v>
      </c>
      <c r="D63" s="72" t="e">
        <f>SUM(D40:D61)-#REF!</f>
        <v>#REF!</v>
      </c>
      <c r="F63" s="3">
        <f t="shared" ref="F63:AJ63" si="2">SUM(F34:F62)</f>
        <v>0</v>
      </c>
      <c r="G63" s="3">
        <f t="shared" si="2"/>
        <v>0</v>
      </c>
      <c r="H63" s="3">
        <f t="shared" si="2"/>
        <v>0</v>
      </c>
      <c r="I63" s="3">
        <f t="shared" si="2"/>
        <v>0</v>
      </c>
      <c r="J63" s="3">
        <f t="shared" si="2"/>
        <v>0</v>
      </c>
      <c r="K63" s="3">
        <f t="shared" si="2"/>
        <v>10383</v>
      </c>
      <c r="L63" s="3">
        <f t="shared" si="2"/>
        <v>1758520.19</v>
      </c>
      <c r="M63" s="3">
        <f t="shared" si="2"/>
        <v>0</v>
      </c>
      <c r="N63" s="3">
        <f t="shared" si="2"/>
        <v>0</v>
      </c>
      <c r="O63" s="3">
        <f t="shared" si="2"/>
        <v>4450</v>
      </c>
      <c r="P63" s="3">
        <f t="shared" si="2"/>
        <v>0</v>
      </c>
      <c r="Q63" s="3">
        <f t="shared" si="2"/>
        <v>0</v>
      </c>
      <c r="R63" s="3">
        <f t="shared" si="2"/>
        <v>0</v>
      </c>
      <c r="S63" s="3">
        <f t="shared" si="2"/>
        <v>26202</v>
      </c>
      <c r="T63" s="3">
        <f t="shared" si="2"/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3">
        <f t="shared" si="2"/>
        <v>0</v>
      </c>
      <c r="Y63" s="3">
        <f t="shared" si="2"/>
        <v>38770</v>
      </c>
      <c r="Z63" s="3">
        <f t="shared" si="2"/>
        <v>0</v>
      </c>
      <c r="AA63" s="3">
        <f t="shared" si="2"/>
        <v>0</v>
      </c>
      <c r="AB63" s="3">
        <f t="shared" si="2"/>
        <v>0</v>
      </c>
      <c r="AC63" s="3">
        <f t="shared" si="2"/>
        <v>16000</v>
      </c>
      <c r="AD63" s="3">
        <f t="shared" si="2"/>
        <v>0</v>
      </c>
      <c r="AE63" s="3">
        <f t="shared" si="2"/>
        <v>0</v>
      </c>
      <c r="AF63" s="3">
        <f t="shared" si="2"/>
        <v>0</v>
      </c>
      <c r="AG63" s="3">
        <f t="shared" si="2"/>
        <v>0</v>
      </c>
      <c r="AH63" s="3">
        <f t="shared" si="2"/>
        <v>0</v>
      </c>
      <c r="AI63" s="3">
        <f t="shared" si="2"/>
        <v>0</v>
      </c>
      <c r="AJ63" s="3">
        <f t="shared" si="2"/>
        <v>0</v>
      </c>
      <c r="AK63" s="72">
        <f>SUM(AK34:AK61)-AK34</f>
        <v>954325.19</v>
      </c>
      <c r="AL63" s="324" t="e">
        <f>+D63-AK63</f>
        <v>#REF!</v>
      </c>
      <c r="AM63" s="324" t="e">
        <f>+AJ64+AL29-AL63-1200000</f>
        <v>#REF!</v>
      </c>
      <c r="AO63" s="14" t="s">
        <v>1561</v>
      </c>
      <c r="AP63" s="15" t="e">
        <f>+AP60-AP62</f>
        <v>#REF!</v>
      </c>
      <c r="AQ63" s="15" t="e">
        <f>+AQ60-AQ62</f>
        <v>#REF!</v>
      </c>
    </row>
    <row r="64" spans="1:43" x14ac:dyDescent="0.35">
      <c r="A64" t="s">
        <v>8</v>
      </c>
      <c r="F64" s="3">
        <f t="shared" ref="F64:AJ64" si="3">+F29+F3-F63</f>
        <v>2544397.8448390844</v>
      </c>
      <c r="G64" s="3">
        <f t="shared" si="3"/>
        <v>2544397.8448390844</v>
      </c>
      <c r="H64" s="3">
        <f t="shared" si="3"/>
        <v>2544397.8448390844</v>
      </c>
      <c r="I64" s="3">
        <f t="shared" si="3"/>
        <v>2544397.8448390844</v>
      </c>
      <c r="J64" s="3">
        <f t="shared" si="3"/>
        <v>2544397.8448390844</v>
      </c>
      <c r="K64" s="3">
        <f t="shared" si="3"/>
        <v>2534014.8448390844</v>
      </c>
      <c r="L64" s="3">
        <f t="shared" si="3"/>
        <v>775494.65483908448</v>
      </c>
      <c r="M64" s="3">
        <f t="shared" si="3"/>
        <v>1102192.6548390845</v>
      </c>
      <c r="N64" s="3">
        <f t="shared" si="3"/>
        <v>1102192.6548390845</v>
      </c>
      <c r="O64" s="3">
        <f t="shared" si="3"/>
        <v>1097742.6548390845</v>
      </c>
      <c r="P64" s="3">
        <f t="shared" si="3"/>
        <v>1097742.6548390845</v>
      </c>
      <c r="Q64" s="3">
        <f t="shared" si="3"/>
        <v>1097742.6548390845</v>
      </c>
      <c r="R64" s="3">
        <f t="shared" si="3"/>
        <v>1432653.6548390845</v>
      </c>
      <c r="S64" s="3">
        <f t="shared" si="3"/>
        <v>1406451.6548390845</v>
      </c>
      <c r="T64" s="3">
        <f t="shared" si="3"/>
        <v>1406451.6548390845</v>
      </c>
      <c r="U64" s="3">
        <f t="shared" si="3"/>
        <v>1656989.6548390845</v>
      </c>
      <c r="V64" s="3">
        <f t="shared" si="3"/>
        <v>1656989.6548390845</v>
      </c>
      <c r="W64" s="3">
        <f t="shared" si="3"/>
        <v>1656989.6548390845</v>
      </c>
      <c r="X64" s="3">
        <f t="shared" si="3"/>
        <v>1656989.6548390845</v>
      </c>
      <c r="Y64" s="3">
        <f t="shared" si="3"/>
        <v>1737419.6548390845</v>
      </c>
      <c r="Z64" s="3">
        <f t="shared" si="3"/>
        <v>1737419.6548390845</v>
      </c>
      <c r="AA64" s="3">
        <f t="shared" si="3"/>
        <v>1737419.6548390845</v>
      </c>
      <c r="AB64" s="3">
        <f t="shared" si="3"/>
        <v>1737419.6548390845</v>
      </c>
      <c r="AC64" s="3">
        <f t="shared" si="3"/>
        <v>1937130.6548390845</v>
      </c>
      <c r="AD64" s="3">
        <f t="shared" si="3"/>
        <v>1937130.6548390845</v>
      </c>
      <c r="AE64" s="3">
        <f t="shared" si="3"/>
        <v>1937130.6548390845</v>
      </c>
      <c r="AF64" s="3">
        <f t="shared" si="3"/>
        <v>1937130.6548390845</v>
      </c>
      <c r="AG64" s="3">
        <f t="shared" si="3"/>
        <v>1937130.6548390845</v>
      </c>
      <c r="AH64" s="3">
        <f t="shared" si="3"/>
        <v>1937130.6548390845</v>
      </c>
      <c r="AI64" s="3">
        <f t="shared" si="3"/>
        <v>1937130.6548390845</v>
      </c>
      <c r="AJ64" s="3">
        <f t="shared" si="3"/>
        <v>1937130.6548390845</v>
      </c>
      <c r="AK64" s="3" t="s">
        <v>13</v>
      </c>
      <c r="AM64" s="22" t="s">
        <v>13</v>
      </c>
      <c r="AO64" s="14" t="s">
        <v>1563</v>
      </c>
      <c r="AP64" s="15">
        <f>+SUMIF(AL40:AL58,"GF",D40:D58)</f>
        <v>0</v>
      </c>
      <c r="AQ64" s="15">
        <v>0</v>
      </c>
    </row>
    <row r="65" spans="1:43" x14ac:dyDescent="0.35">
      <c r="F65" s="3"/>
      <c r="G65" s="3"/>
      <c r="H65" s="3"/>
      <c r="I65" s="3" t="s">
        <v>13</v>
      </c>
      <c r="J65" s="3"/>
      <c r="K65" s="3" t="s">
        <v>13</v>
      </c>
      <c r="L65" s="3"/>
      <c r="M65" s="3"/>
      <c r="N65" s="3"/>
      <c r="O65" s="3"/>
      <c r="P65" s="3" t="s">
        <v>13</v>
      </c>
      <c r="Q65" s="3"/>
      <c r="R65" s="3"/>
      <c r="S65" s="3"/>
      <c r="T65" s="3" t="s">
        <v>13</v>
      </c>
      <c r="U65" s="3"/>
      <c r="V65" s="3"/>
      <c r="W65" s="3"/>
      <c r="Y65" s="3" t="s">
        <v>13</v>
      </c>
      <c r="Z65" s="3" t="s">
        <v>13</v>
      </c>
      <c r="AA65" s="3" t="s">
        <v>13</v>
      </c>
      <c r="AB65" s="3" t="s">
        <v>13</v>
      </c>
      <c r="AO65" s="14" t="s">
        <v>82</v>
      </c>
      <c r="AP65" s="15">
        <v>0</v>
      </c>
      <c r="AQ65" s="15">
        <f>+SUMIF(AL40:AL58,"AF",D40:D58)/1.19</f>
        <v>0</v>
      </c>
    </row>
    <row r="66" spans="1:43" ht="15" thickBot="1" x14ac:dyDescent="0.4">
      <c r="F66" s="3" t="s">
        <v>13</v>
      </c>
      <c r="G66" s="3" t="s">
        <v>13</v>
      </c>
      <c r="H66" s="3" t="s">
        <v>13</v>
      </c>
      <c r="I66" s="3"/>
      <c r="J66" s="3"/>
      <c r="K66" s="3"/>
      <c r="L66" s="3"/>
      <c r="M66" s="3"/>
      <c r="N66" s="3"/>
      <c r="O66" s="3"/>
      <c r="P66" s="3" t="s">
        <v>13</v>
      </c>
      <c r="Q66" s="3" t="s">
        <v>13</v>
      </c>
      <c r="R66" s="3" t="s">
        <v>13</v>
      </c>
      <c r="S66" s="3"/>
      <c r="T66" s="3"/>
      <c r="U66" s="3" t="s">
        <v>13</v>
      </c>
      <c r="V66" s="3"/>
      <c r="W66" s="3"/>
      <c r="AB66" s="3" t="s">
        <v>13</v>
      </c>
      <c r="AG66" s="3" t="s">
        <v>13</v>
      </c>
      <c r="AJ66" s="3" t="s">
        <v>13</v>
      </c>
      <c r="AO66" s="16"/>
      <c r="AP66" s="19" t="e">
        <f>+AP63-AP64-AP65</f>
        <v>#REF!</v>
      </c>
      <c r="AQ66" s="19" t="e">
        <f>+AQ63-AQ64-AQ65</f>
        <v>#REF!</v>
      </c>
    </row>
    <row r="67" spans="1:43" x14ac:dyDescent="0.35">
      <c r="A67" t="s">
        <v>2163</v>
      </c>
      <c r="B67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67" s="3" t="e">
        <f>+B67*0.16</f>
        <v>#REF!</v>
      </c>
      <c r="E67" s="6" t="s">
        <v>13</v>
      </c>
      <c r="F67" s="3"/>
      <c r="G67" s="3" t="s">
        <v>13</v>
      </c>
      <c r="H67" s="3" t="s">
        <v>13</v>
      </c>
      <c r="I67" s="3"/>
      <c r="J67" s="3"/>
      <c r="K67" s="3"/>
      <c r="L67" s="3"/>
      <c r="M67" s="3">
        <f>1920744-M64</f>
        <v>818551.34516091552</v>
      </c>
      <c r="N67" s="3"/>
      <c r="O67" s="3"/>
      <c r="W67" s="3"/>
      <c r="AB67" s="3" t="s">
        <v>13</v>
      </c>
      <c r="AG67" s="3" t="s">
        <v>13</v>
      </c>
      <c r="AJ67" s="3" t="s">
        <v>13</v>
      </c>
      <c r="AO67" t="s">
        <v>1961</v>
      </c>
      <c r="AP67" s="26" t="e">
        <f ca="1">+AP$66+'May-23'!AP82</f>
        <v>#REF!</v>
      </c>
      <c r="AQ67" s="3" t="e">
        <f ca="1">+AQ$66+'May-23'!AQ82</f>
        <v>#REF!</v>
      </c>
    </row>
    <row r="68" spans="1:43" x14ac:dyDescent="0.35">
      <c r="F68" s="3"/>
      <c r="G68" s="3" t="s">
        <v>13</v>
      </c>
      <c r="H68" s="3"/>
      <c r="I68" s="3"/>
      <c r="J68" s="3"/>
      <c r="K68" s="3"/>
      <c r="L68" s="3"/>
      <c r="M68" s="3"/>
      <c r="N68" s="3"/>
      <c r="O68" s="3"/>
      <c r="W68" s="3" t="s">
        <v>13</v>
      </c>
      <c r="AB68" s="3" t="s">
        <v>13</v>
      </c>
      <c r="AD68" t="s">
        <v>13</v>
      </c>
      <c r="AE68" t="s">
        <v>13</v>
      </c>
      <c r="AG68" s="3" t="s">
        <v>13</v>
      </c>
      <c r="AJ68" s="3" t="s">
        <v>13</v>
      </c>
      <c r="AO68" t="s">
        <v>1960</v>
      </c>
      <c r="AP68" s="26" t="e">
        <f ca="1">+AP$66+'May-23'!AP83</f>
        <v>#REF!</v>
      </c>
      <c r="AQ68" s="3" t="e">
        <f ca="1">+AQ$66+'May-23'!AQ83</f>
        <v>#REF!</v>
      </c>
    </row>
    <row r="69" spans="1:43" x14ac:dyDescent="0.35">
      <c r="A69" t="s">
        <v>13</v>
      </c>
      <c r="F69" s="3" t="s">
        <v>13</v>
      </c>
      <c r="G69" s="3" t="s">
        <v>13</v>
      </c>
      <c r="H69" s="3"/>
      <c r="I69" s="3"/>
      <c r="J69" s="3"/>
      <c r="K69" s="3"/>
      <c r="L69" s="3"/>
      <c r="M69" s="3">
        <v>538500</v>
      </c>
      <c r="N69" s="3"/>
      <c r="O69" s="3"/>
      <c r="W69" s="3"/>
      <c r="AB69" s="3" t="s">
        <v>13</v>
      </c>
      <c r="AD69" t="s">
        <v>13</v>
      </c>
      <c r="AG69" s="3" t="s">
        <v>13</v>
      </c>
      <c r="AJ69" s="3" t="s">
        <v>13</v>
      </c>
    </row>
    <row r="70" spans="1:43" x14ac:dyDescent="0.35">
      <c r="B70" t="s">
        <v>13</v>
      </c>
      <c r="F70" s="3" t="s">
        <v>13</v>
      </c>
      <c r="G70" s="3" t="s">
        <v>13</v>
      </c>
      <c r="H70" s="3"/>
      <c r="I70" s="3"/>
      <c r="J70" s="3"/>
      <c r="K70" s="3"/>
      <c r="L70" s="3" t="s">
        <v>13</v>
      </c>
      <c r="M70" s="3">
        <v>682100</v>
      </c>
      <c r="N70" s="3"/>
      <c r="O70" s="3"/>
      <c r="W70" s="3"/>
      <c r="AB70" s="3" t="s">
        <v>13</v>
      </c>
      <c r="AG70" s="3" t="s">
        <v>13</v>
      </c>
      <c r="AJ70" s="3" t="s">
        <v>13</v>
      </c>
      <c r="AL70"/>
      <c r="AM70"/>
    </row>
    <row r="71" spans="1:43" x14ac:dyDescent="0.35">
      <c r="F71" s="3"/>
      <c r="G71" s="3" t="s">
        <v>13</v>
      </c>
      <c r="H71" s="3"/>
      <c r="I71" s="3"/>
      <c r="J71" s="3"/>
      <c r="K71" s="3"/>
      <c r="L71" s="3"/>
      <c r="M71" s="3">
        <f>SUM(M69:M70)</f>
        <v>1220600</v>
      </c>
      <c r="AG71" s="3" t="s">
        <v>13</v>
      </c>
      <c r="AJ71" s="3" t="s">
        <v>13</v>
      </c>
      <c r="AL71"/>
      <c r="AM71"/>
    </row>
    <row r="72" spans="1:43" x14ac:dyDescent="0.35">
      <c r="B72" t="s">
        <v>13</v>
      </c>
      <c r="F72" s="3"/>
      <c r="G72" s="3" t="s">
        <v>13</v>
      </c>
      <c r="H72" s="3"/>
      <c r="I72" s="3"/>
      <c r="J72" s="3"/>
      <c r="K72" s="3"/>
      <c r="L72" s="3"/>
      <c r="AB72" t="s">
        <v>13</v>
      </c>
      <c r="AG72" s="3" t="s">
        <v>13</v>
      </c>
      <c r="AJ72" s="3" t="s">
        <v>13</v>
      </c>
      <c r="AL72"/>
      <c r="AM72"/>
      <c r="AQ72" t="s">
        <v>13</v>
      </c>
    </row>
    <row r="73" spans="1:43" x14ac:dyDescent="0.35">
      <c r="B73" t="s">
        <v>13</v>
      </c>
      <c r="C73" t="s">
        <v>13</v>
      </c>
      <c r="F73" s="3"/>
      <c r="G73" s="3" t="s">
        <v>13</v>
      </c>
      <c r="H73" s="3"/>
      <c r="I73" s="3"/>
      <c r="J73" s="3"/>
      <c r="K73" s="3"/>
      <c r="L73" s="3"/>
      <c r="AG73" s="3" t="s">
        <v>13</v>
      </c>
      <c r="AJ73" s="3" t="s">
        <v>13</v>
      </c>
      <c r="AL73"/>
      <c r="AM73"/>
    </row>
    <row r="74" spans="1:43" x14ac:dyDescent="0.35">
      <c r="B74" t="s">
        <v>13</v>
      </c>
      <c r="C74" t="s">
        <v>13</v>
      </c>
      <c r="F74" s="3"/>
      <c r="G74" s="3" t="s">
        <v>2417</v>
      </c>
      <c r="H74" s="3"/>
      <c r="I74" s="3"/>
      <c r="J74" s="3"/>
      <c r="K74" s="3"/>
      <c r="L74" s="3"/>
      <c r="AG74" s="3" t="s">
        <v>13</v>
      </c>
      <c r="AJ74" s="3" t="s">
        <v>13</v>
      </c>
      <c r="AL74"/>
      <c r="AM74"/>
    </row>
    <row r="75" spans="1:43" x14ac:dyDescent="0.35">
      <c r="F75" s="3"/>
      <c r="G75" s="3" t="s">
        <v>13</v>
      </c>
      <c r="H75" s="3"/>
      <c r="I75" s="3"/>
      <c r="J75" s="3"/>
      <c r="K75" s="3"/>
      <c r="L75" s="3"/>
      <c r="AG75" s="3" t="s">
        <v>13</v>
      </c>
      <c r="AJ75" s="3" t="s">
        <v>13</v>
      </c>
      <c r="AL75"/>
      <c r="AM75"/>
    </row>
    <row r="76" spans="1:43" x14ac:dyDescent="0.35">
      <c r="B76" t="s">
        <v>13</v>
      </c>
      <c r="F76" s="3"/>
      <c r="G76" s="288">
        <f>212-60</f>
        <v>152</v>
      </c>
      <c r="H76" s="288">
        <f>+G76-60</f>
        <v>92</v>
      </c>
      <c r="I76" s="288">
        <f>+H76/3</f>
        <v>30.666666666666668</v>
      </c>
      <c r="J76" s="3"/>
      <c r="K76" s="3"/>
      <c r="L76" s="3"/>
      <c r="AG76" s="3" t="s">
        <v>13</v>
      </c>
      <c r="AJ76" s="3" t="s">
        <v>13</v>
      </c>
      <c r="AL76"/>
      <c r="AM76"/>
    </row>
    <row r="77" spans="1:43" x14ac:dyDescent="0.35">
      <c r="B77" t="s">
        <v>13</v>
      </c>
      <c r="F77" s="3"/>
      <c r="G77" s="288">
        <f>+G76/2</f>
        <v>76</v>
      </c>
      <c r="H77" s="288"/>
      <c r="I77" s="288"/>
      <c r="J77" s="3"/>
      <c r="K77" s="3"/>
      <c r="L77" s="3"/>
      <c r="AG77" s="3" t="s">
        <v>13</v>
      </c>
      <c r="AJ77" s="3" t="s">
        <v>13</v>
      </c>
      <c r="AL77"/>
      <c r="AM77"/>
    </row>
    <row r="78" spans="1:43" x14ac:dyDescent="0.35">
      <c r="B78" t="s">
        <v>13</v>
      </c>
      <c r="F78" s="3"/>
      <c r="G78" s="288">
        <f>+G77/2</f>
        <v>38</v>
      </c>
      <c r="H78" s="288"/>
      <c r="I78" s="288">
        <f>I76*3+60</f>
        <v>152</v>
      </c>
      <c r="J78" s="3"/>
      <c r="K78" s="3"/>
      <c r="L78" s="3"/>
      <c r="AG78" s="3" t="s">
        <v>13</v>
      </c>
      <c r="AJ78" s="3" t="s">
        <v>13</v>
      </c>
      <c r="AL78"/>
      <c r="AM78"/>
    </row>
    <row r="79" spans="1:43" x14ac:dyDescent="0.35">
      <c r="B79" t="s">
        <v>13</v>
      </c>
      <c r="F79" s="3"/>
      <c r="G79" s="288">
        <f>+G78-15</f>
        <v>23</v>
      </c>
      <c r="H79" s="288"/>
      <c r="I79" s="288"/>
      <c r="J79" s="3"/>
      <c r="K79" s="3"/>
      <c r="L79" s="3"/>
      <c r="AG79" s="3" t="s">
        <v>13</v>
      </c>
      <c r="AJ79" s="3" t="s">
        <v>13</v>
      </c>
      <c r="AL79"/>
      <c r="AM79"/>
    </row>
    <row r="80" spans="1:43" x14ac:dyDescent="0.35">
      <c r="B80" t="s">
        <v>13</v>
      </c>
      <c r="F80" s="3"/>
      <c r="G80" s="3" t="s">
        <v>13</v>
      </c>
      <c r="H80" s="3"/>
      <c r="I80" s="3"/>
      <c r="J80" s="3"/>
      <c r="K80" s="3"/>
      <c r="L80" s="3"/>
      <c r="AG80" s="3" t="s">
        <v>13</v>
      </c>
      <c r="AJ80" s="3" t="s">
        <v>13</v>
      </c>
      <c r="AL80"/>
      <c r="AM80"/>
    </row>
    <row r="81" spans="2:39" x14ac:dyDescent="0.35">
      <c r="B81" t="s">
        <v>13</v>
      </c>
      <c r="F81" s="3"/>
      <c r="G81" s="3" t="s">
        <v>13</v>
      </c>
      <c r="H81" s="3"/>
      <c r="I81" s="3"/>
      <c r="J81" s="3"/>
      <c r="K81" s="3"/>
      <c r="L81" s="3"/>
      <c r="AG81" s="3" t="s">
        <v>13</v>
      </c>
      <c r="AJ81" s="3" t="s">
        <v>13</v>
      </c>
      <c r="AL81"/>
      <c r="AM81"/>
    </row>
    <row r="82" spans="2:39" x14ac:dyDescent="0.35">
      <c r="B82" t="s">
        <v>13</v>
      </c>
      <c r="F82" s="3"/>
      <c r="G82" s="3" t="s">
        <v>13</v>
      </c>
      <c r="H82" s="3"/>
      <c r="I82" s="3"/>
      <c r="J82" s="3"/>
      <c r="K82" s="3"/>
      <c r="L82" s="3"/>
      <c r="AG82" s="3" t="s">
        <v>13</v>
      </c>
      <c r="AJ82" s="3" t="s">
        <v>13</v>
      </c>
      <c r="AL82"/>
      <c r="AM82"/>
    </row>
    <row r="83" spans="2:39" x14ac:dyDescent="0.35">
      <c r="B83" t="s">
        <v>13</v>
      </c>
      <c r="F83" s="3"/>
      <c r="G83" s="3" t="s">
        <v>13</v>
      </c>
      <c r="H83" s="3"/>
      <c r="I83" s="3"/>
      <c r="J83" s="3"/>
      <c r="K83" s="3"/>
      <c r="L83" s="3"/>
      <c r="AG83" s="3" t="s">
        <v>13</v>
      </c>
      <c r="AJ83" s="3" t="s">
        <v>13</v>
      </c>
      <c r="AL83"/>
      <c r="AM83"/>
    </row>
    <row r="84" spans="2:39" x14ac:dyDescent="0.35">
      <c r="B84" t="s">
        <v>13</v>
      </c>
      <c r="F84" s="3"/>
      <c r="G84" s="3" t="s">
        <v>13</v>
      </c>
      <c r="H84" s="3"/>
      <c r="I84" s="3"/>
      <c r="J84" s="3"/>
      <c r="K84" s="3"/>
      <c r="L84" s="3"/>
      <c r="AL84"/>
      <c r="AM84"/>
    </row>
    <row r="85" spans="2:39" x14ac:dyDescent="0.35">
      <c r="B85" t="s">
        <v>13</v>
      </c>
      <c r="F85" s="3"/>
      <c r="G85" s="3" t="s">
        <v>13</v>
      </c>
      <c r="H85" s="3"/>
      <c r="I85" s="3"/>
      <c r="J85" s="3"/>
      <c r="K85" s="3"/>
      <c r="L85" s="3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  <row r="102" spans="2:39" x14ac:dyDescent="0.35">
      <c r="B102" t="s">
        <v>13</v>
      </c>
      <c r="E102"/>
      <c r="AL102"/>
      <c r="AM102"/>
    </row>
    <row r="103" spans="2:39" x14ac:dyDescent="0.35">
      <c r="B103" t="s">
        <v>13</v>
      </c>
      <c r="E103"/>
      <c r="AL103"/>
      <c r="AM103"/>
    </row>
    <row r="104" spans="2:39" x14ac:dyDescent="0.35">
      <c r="B104" t="s">
        <v>13</v>
      </c>
      <c r="E104"/>
      <c r="AL104"/>
      <c r="AM104"/>
    </row>
    <row r="105" spans="2:39" x14ac:dyDescent="0.35">
      <c r="B105" t="s">
        <v>13</v>
      </c>
      <c r="E105"/>
      <c r="AL105"/>
      <c r="AM105"/>
    </row>
    <row r="106" spans="2:39" x14ac:dyDescent="0.35">
      <c r="B106" t="s">
        <v>13</v>
      </c>
      <c r="E106"/>
      <c r="AL106"/>
      <c r="AM106"/>
    </row>
    <row r="107" spans="2:39" x14ac:dyDescent="0.35">
      <c r="B107" t="s">
        <v>13</v>
      </c>
      <c r="E107"/>
      <c r="AL107"/>
      <c r="AM107"/>
    </row>
    <row r="108" spans="2:39" x14ac:dyDescent="0.35">
      <c r="B108" t="s">
        <v>13</v>
      </c>
      <c r="E108"/>
      <c r="AL108"/>
      <c r="AM108"/>
    </row>
    <row r="109" spans="2:39" x14ac:dyDescent="0.35">
      <c r="B109" t="s">
        <v>13</v>
      </c>
      <c r="E109"/>
      <c r="AL109"/>
      <c r="AM109"/>
    </row>
    <row r="110" spans="2:39" x14ac:dyDescent="0.35">
      <c r="B110" t="s">
        <v>13</v>
      </c>
      <c r="E110"/>
      <c r="AL110"/>
      <c r="AM110"/>
    </row>
    <row r="111" spans="2:39" x14ac:dyDescent="0.35">
      <c r="B111" t="s">
        <v>13</v>
      </c>
      <c r="E111"/>
      <c r="AL111"/>
      <c r="AM111"/>
    </row>
    <row r="112" spans="2:39" x14ac:dyDescent="0.35">
      <c r="B112" t="s">
        <v>13</v>
      </c>
      <c r="E112"/>
      <c r="AL112"/>
      <c r="AM112"/>
    </row>
    <row r="113" spans="2:39" x14ac:dyDescent="0.35">
      <c r="B113" t="s">
        <v>13</v>
      </c>
      <c r="E113"/>
      <c r="AL113"/>
      <c r="AM113"/>
    </row>
    <row r="114" spans="2:39" x14ac:dyDescent="0.35">
      <c r="B114" t="s">
        <v>13</v>
      </c>
      <c r="E114"/>
      <c r="AL114"/>
      <c r="AM114"/>
    </row>
    <row r="115" spans="2:39" x14ac:dyDescent="0.35">
      <c r="B115" t="s">
        <v>13</v>
      </c>
      <c r="E115"/>
      <c r="AL115"/>
      <c r="AM115"/>
    </row>
    <row r="116" spans="2:39" x14ac:dyDescent="0.35">
      <c r="B116" t="s">
        <v>13</v>
      </c>
      <c r="E116"/>
      <c r="AL116"/>
      <c r="AM116"/>
    </row>
    <row r="117" spans="2:39" x14ac:dyDescent="0.35">
      <c r="B117" t="s">
        <v>13</v>
      </c>
      <c r="E117"/>
      <c r="AL117"/>
      <c r="AM117"/>
    </row>
    <row r="118" spans="2:39" x14ac:dyDescent="0.35">
      <c r="B118" t="s">
        <v>13</v>
      </c>
      <c r="E118"/>
      <c r="AL118"/>
      <c r="AM118"/>
    </row>
  </sheetData>
  <phoneticPr fontId="20" type="noConversion"/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E898-9245-4A76-B4C3-A07D7B388DB3}">
  <dimension ref="A1:AQ101"/>
  <sheetViews>
    <sheetView tabSelected="1" zoomScale="70" zoomScaleNormal="70" workbookViewId="0">
      <pane xSplit="5" ySplit="3" topLeftCell="F22" activePane="bottomRight" state="frozen"/>
      <selection pane="topRight" activeCell="F1" sqref="F1"/>
      <selection pane="bottomLeft" activeCell="A4" sqref="A4"/>
      <selection pane="bottomRight" activeCell="F35" sqref="F35"/>
    </sheetView>
  </sheetViews>
  <sheetFormatPr baseColWidth="10" defaultColWidth="11.08984375" defaultRowHeight="14.5" x14ac:dyDescent="0.35"/>
  <cols>
    <col min="1" max="1" width="47.81640625" bestFit="1" customWidth="1"/>
    <col min="2" max="2" width="13.26953125" customWidth="1"/>
    <col min="3" max="3" width="11.81640625" customWidth="1"/>
    <col min="4" max="4" width="16.7265625" customWidth="1"/>
    <col min="5" max="5" width="13.26953125" style="6" customWidth="1"/>
    <col min="6" max="6" width="13.26953125" customWidth="1"/>
    <col min="7" max="16" width="13.1796875" customWidth="1"/>
    <col min="17" max="17" width="13.36328125" customWidth="1"/>
    <col min="18" max="18" width="12.81640625" customWidth="1"/>
    <col min="19" max="19" width="13.1796875" customWidth="1"/>
    <col min="20" max="20" width="12.7265625" customWidth="1"/>
    <col min="21" max="21" width="12.54296875" customWidth="1"/>
    <col min="22" max="22" width="13.26953125" customWidth="1"/>
    <col min="23" max="23" width="12.7265625" customWidth="1"/>
    <col min="24" max="25" width="12.26953125" customWidth="1"/>
    <col min="26" max="26" width="12.7265625" customWidth="1"/>
    <col min="27" max="29" width="13" customWidth="1"/>
    <col min="30" max="30" width="11.6328125" customWidth="1"/>
    <col min="31" max="31" width="11.26953125" customWidth="1"/>
    <col min="32" max="32" width="12.81640625" customWidth="1"/>
    <col min="33" max="33" width="14.1796875" customWidth="1"/>
    <col min="34" max="34" width="15.1796875" customWidth="1"/>
    <col min="35" max="35" width="12.7265625" customWidth="1"/>
    <col min="36" max="36" width="12.36328125" customWidth="1"/>
    <col min="37" max="37" width="14.81640625" customWidth="1"/>
    <col min="38" max="39" width="11.08984375" style="6"/>
    <col min="40" max="40" width="14.453125" customWidth="1"/>
  </cols>
  <sheetData>
    <row r="1" spans="1:39" x14ac:dyDescent="0.35">
      <c r="Z1" t="s">
        <v>13</v>
      </c>
      <c r="AA1" s="3" t="s">
        <v>13</v>
      </c>
      <c r="AM1"/>
    </row>
    <row r="2" spans="1:39" x14ac:dyDescent="0.35">
      <c r="B2" s="6" t="s">
        <v>43</v>
      </c>
      <c r="C2" s="6" t="s">
        <v>42</v>
      </c>
      <c r="D2" s="6" t="s">
        <v>27</v>
      </c>
      <c r="E2" s="6" t="s">
        <v>15</v>
      </c>
      <c r="F2" s="1">
        <v>45689</v>
      </c>
      <c r="G2" s="1">
        <v>45690</v>
      </c>
      <c r="H2" s="1">
        <v>45691</v>
      </c>
      <c r="I2" s="1">
        <v>45692</v>
      </c>
      <c r="J2" s="1">
        <v>45693</v>
      </c>
      <c r="K2" s="1">
        <v>45694</v>
      </c>
      <c r="L2" s="1">
        <v>45695</v>
      </c>
      <c r="M2" s="1">
        <v>45696</v>
      </c>
      <c r="N2" s="1">
        <v>45697</v>
      </c>
      <c r="O2" s="1">
        <v>45698</v>
      </c>
      <c r="P2" s="1">
        <v>45699</v>
      </c>
      <c r="Q2" s="1">
        <v>45700</v>
      </c>
      <c r="R2" s="1">
        <v>45701</v>
      </c>
      <c r="S2" s="1">
        <v>45702</v>
      </c>
      <c r="T2" s="1">
        <v>45703</v>
      </c>
      <c r="U2" s="1">
        <v>45704</v>
      </c>
      <c r="V2" s="1">
        <v>45705</v>
      </c>
      <c r="W2" s="1">
        <v>45706</v>
      </c>
      <c r="X2" s="1">
        <v>45707</v>
      </c>
      <c r="Y2" s="1">
        <v>45708</v>
      </c>
      <c r="Z2" s="1">
        <v>45709</v>
      </c>
      <c r="AA2" s="1">
        <v>45710</v>
      </c>
      <c r="AB2" s="1">
        <v>45711</v>
      </c>
      <c r="AC2" s="1">
        <v>45712</v>
      </c>
      <c r="AD2" s="1">
        <v>45713</v>
      </c>
      <c r="AE2" s="1">
        <v>45714</v>
      </c>
      <c r="AF2" s="1">
        <v>45715</v>
      </c>
      <c r="AG2" s="1">
        <v>45716</v>
      </c>
      <c r="AH2" s="1" t="s">
        <v>13</v>
      </c>
      <c r="AI2" s="1" t="s">
        <v>13</v>
      </c>
      <c r="AJ2" s="1" t="s">
        <v>13</v>
      </c>
      <c r="AK2" s="176" t="s">
        <v>579</v>
      </c>
      <c r="AL2" s="176" t="s">
        <v>13</v>
      </c>
      <c r="AM2"/>
    </row>
    <row r="3" spans="1:39" x14ac:dyDescent="0.35">
      <c r="A3" t="s">
        <v>7</v>
      </c>
      <c r="F3" s="3">
        <f>+'Ene-25'!AJ64</f>
        <v>1937130.6548390845</v>
      </c>
      <c r="G3" s="3">
        <f t="shared" ref="G3:AG3" si="0">+F47</f>
        <v>1937130.6548390845</v>
      </c>
      <c r="H3" s="3">
        <f t="shared" si="0"/>
        <v>1937130.6548390845</v>
      </c>
      <c r="I3" s="3">
        <f t="shared" si="0"/>
        <v>1937130.6548390845</v>
      </c>
      <c r="J3" s="3">
        <f t="shared" si="0"/>
        <v>1937130.6548390845</v>
      </c>
      <c r="K3" s="3">
        <f t="shared" si="0"/>
        <v>1937130.6548390845</v>
      </c>
      <c r="L3" s="3">
        <f t="shared" si="0"/>
        <v>1937130.6548390845</v>
      </c>
      <c r="M3" s="3">
        <f t="shared" si="0"/>
        <v>2105001.6548390845</v>
      </c>
      <c r="N3" s="3">
        <f t="shared" si="0"/>
        <v>2105001.6548390845</v>
      </c>
      <c r="O3" s="3">
        <f t="shared" si="0"/>
        <v>2105001.6548390845</v>
      </c>
      <c r="P3" s="3">
        <f t="shared" si="0"/>
        <v>2105001.6548390845</v>
      </c>
      <c r="Q3" s="3">
        <f t="shared" si="0"/>
        <v>2105001.6548390845</v>
      </c>
      <c r="R3" s="3">
        <f t="shared" si="0"/>
        <v>2105001.6548390845</v>
      </c>
      <c r="S3" s="3">
        <f t="shared" si="0"/>
        <v>2311390.6548390845</v>
      </c>
      <c r="T3" s="3">
        <f t="shared" si="0"/>
        <v>2311390.6548390845</v>
      </c>
      <c r="U3" s="3">
        <f t="shared" si="0"/>
        <v>2311390.6548390845</v>
      </c>
      <c r="V3" s="3">
        <f t="shared" si="0"/>
        <v>2311390.6548390845</v>
      </c>
      <c r="W3" s="3">
        <f t="shared" si="0"/>
        <v>2311390.6548390845</v>
      </c>
      <c r="X3" s="3">
        <f t="shared" si="0"/>
        <v>2206146.6548390845</v>
      </c>
      <c r="Y3" s="3">
        <f t="shared" si="0"/>
        <v>1900679.6548390845</v>
      </c>
      <c r="Z3" s="3">
        <f t="shared" si="0"/>
        <v>1900679.6548390845</v>
      </c>
      <c r="AA3" s="3">
        <f t="shared" si="0"/>
        <v>2135781.6548390845</v>
      </c>
      <c r="AB3" s="3">
        <f t="shared" si="0"/>
        <v>2135781.6548390845</v>
      </c>
      <c r="AC3" s="3">
        <f t="shared" si="0"/>
        <v>2135781.6548390845</v>
      </c>
      <c r="AD3" s="3">
        <f t="shared" si="0"/>
        <v>2135781.6548390845</v>
      </c>
      <c r="AE3" s="3">
        <f t="shared" si="0"/>
        <v>2135781.6548390845</v>
      </c>
      <c r="AF3" s="3">
        <f t="shared" si="0"/>
        <v>2135781.6548390845</v>
      </c>
      <c r="AG3" s="3">
        <f t="shared" si="0"/>
        <v>2135781.6548390845</v>
      </c>
      <c r="AH3" s="3" t="s">
        <v>13</v>
      </c>
      <c r="AI3" s="3" t="s">
        <v>13</v>
      </c>
      <c r="AJ3" s="3" t="s">
        <v>13</v>
      </c>
      <c r="AK3" s="3" t="s">
        <v>13</v>
      </c>
      <c r="AL3" s="6" t="s">
        <v>13</v>
      </c>
      <c r="AM3"/>
    </row>
    <row r="4" spans="1:39" ht="15" thickBot="1" x14ac:dyDescent="0.4">
      <c r="A4" s="2" t="s">
        <v>0</v>
      </c>
      <c r="B4" s="2"/>
      <c r="C4" s="2"/>
      <c r="D4" s="72" t="s">
        <v>13</v>
      </c>
      <c r="E4" s="176"/>
      <c r="F4" s="3"/>
      <c r="G4" s="3"/>
      <c r="H4" s="3"/>
      <c r="I4" s="3" t="s">
        <v>13</v>
      </c>
      <c r="J4" s="3" t="s">
        <v>13</v>
      </c>
      <c r="K4" s="3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 t="s">
        <v>13</v>
      </c>
      <c r="AI4" s="3"/>
      <c r="AJ4" s="3" t="s">
        <v>13</v>
      </c>
      <c r="AL4" s="6" t="s">
        <v>13</v>
      </c>
      <c r="AM4"/>
    </row>
    <row r="5" spans="1:39" ht="15" thickBot="1" x14ac:dyDescent="0.4">
      <c r="A5" s="88" t="s">
        <v>895</v>
      </c>
      <c r="B5" s="89" t="s">
        <v>886</v>
      </c>
      <c r="C5" s="351">
        <v>44618</v>
      </c>
      <c r="D5" s="270">
        <v>56708</v>
      </c>
      <c r="E5" s="352" t="s">
        <v>13</v>
      </c>
      <c r="F5" s="3"/>
      <c r="G5" s="3" t="s">
        <v>13</v>
      </c>
      <c r="H5" s="3" t="s">
        <v>13</v>
      </c>
      <c r="I5" s="3" t="s">
        <v>13</v>
      </c>
      <c r="J5" s="3"/>
      <c r="K5" s="3"/>
      <c r="L5" s="3"/>
      <c r="M5" s="3"/>
      <c r="N5" s="3"/>
      <c r="O5" s="3"/>
      <c r="P5" s="3"/>
      <c r="Q5" s="3"/>
      <c r="R5" s="3" t="s">
        <v>13</v>
      </c>
      <c r="S5" s="3"/>
      <c r="T5" s="3"/>
      <c r="U5" s="3"/>
      <c r="V5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 t="s">
        <v>13</v>
      </c>
      <c r="AH5" s="3"/>
      <c r="AI5" s="3"/>
      <c r="AJ5" s="3"/>
      <c r="AK5" s="3">
        <f>SUM($F5:AJ5)</f>
        <v>0</v>
      </c>
      <c r="AL5" s="22"/>
      <c r="AM5"/>
    </row>
    <row r="6" spans="1:39" x14ac:dyDescent="0.35">
      <c r="A6" s="36" t="s">
        <v>2404</v>
      </c>
      <c r="B6" s="66" t="s">
        <v>2403</v>
      </c>
      <c r="C6" s="38">
        <v>45386</v>
      </c>
      <c r="D6" s="39">
        <v>124390</v>
      </c>
      <c r="E6" s="40" t="s">
        <v>2402</v>
      </c>
      <c r="F6" s="3"/>
      <c r="G6" s="3"/>
      <c r="H6" s="3"/>
      <c r="I6" s="3"/>
      <c r="J6" s="3"/>
      <c r="K6" s="3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K6" s="3">
        <f>SUM($F6:AJ6)</f>
        <v>0</v>
      </c>
      <c r="AL6" s="22"/>
    </row>
    <row r="7" spans="1:39" x14ac:dyDescent="0.35">
      <c r="A7" s="41" t="s">
        <v>2547</v>
      </c>
      <c r="B7" s="408" t="s">
        <v>2548</v>
      </c>
      <c r="C7" s="409">
        <v>45626</v>
      </c>
      <c r="D7" s="407">
        <v>87189</v>
      </c>
      <c r="E7" s="42" t="s">
        <v>2325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07">
        <v>87189</v>
      </c>
      <c r="S7" s="3"/>
      <c r="T7" s="3"/>
      <c r="U7" s="3"/>
      <c r="V7" s="3"/>
      <c r="W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K7" s="3">
        <f>SUM($F7:AJ7)</f>
        <v>87189</v>
      </c>
      <c r="AL7" s="22"/>
    </row>
    <row r="8" spans="1:39" x14ac:dyDescent="0.35">
      <c r="A8" s="41" t="s">
        <v>2567</v>
      </c>
      <c r="B8" s="408" t="s">
        <v>2563</v>
      </c>
      <c r="C8" s="409">
        <v>46005</v>
      </c>
      <c r="D8" s="407">
        <v>80682</v>
      </c>
      <c r="E8" s="42" t="s">
        <v>2481</v>
      </c>
      <c r="F8" s="3"/>
      <c r="G8" s="3"/>
      <c r="H8" s="3"/>
      <c r="I8" s="3"/>
      <c r="J8" s="3"/>
      <c r="K8" s="3"/>
      <c r="L8" s="407">
        <v>80682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K8" s="3">
        <f>SUM($F8:AJ8)</f>
        <v>80682</v>
      </c>
      <c r="AL8" s="22"/>
    </row>
    <row r="9" spans="1:39" x14ac:dyDescent="0.35">
      <c r="A9" s="41" t="s">
        <v>2572</v>
      </c>
      <c r="B9" t="s">
        <v>2569</v>
      </c>
      <c r="C9" s="5">
        <v>45660</v>
      </c>
      <c r="D9" s="3">
        <v>119200</v>
      </c>
      <c r="E9" s="42" t="s">
        <v>2325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v>119200</v>
      </c>
      <c r="S9" s="3"/>
      <c r="T9" s="3"/>
      <c r="U9" s="3"/>
      <c r="V9" s="3"/>
      <c r="W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K9" s="3">
        <f>SUM($F9:AJ9)</f>
        <v>119200</v>
      </c>
      <c r="AL9" s="22"/>
    </row>
    <row r="10" spans="1:39" x14ac:dyDescent="0.35">
      <c r="A10" s="41" t="s">
        <v>2573</v>
      </c>
      <c r="B10" t="s">
        <v>2574</v>
      </c>
      <c r="C10" s="5">
        <v>45664</v>
      </c>
      <c r="D10" s="3">
        <v>87189</v>
      </c>
      <c r="E10" s="42" t="s">
        <v>2325</v>
      </c>
      <c r="F10" s="3"/>
      <c r="G10" s="3"/>
      <c r="H10" s="3"/>
      <c r="I10" s="3"/>
      <c r="J10" s="3"/>
      <c r="K10" s="3"/>
      <c r="L10" s="3">
        <v>87189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K10" s="3">
        <f>SUM($F10:AJ10)</f>
        <v>87189</v>
      </c>
      <c r="AL10" s="22"/>
    </row>
    <row r="11" spans="1:39" x14ac:dyDescent="0.35">
      <c r="A11" s="41" t="s">
        <v>2576</v>
      </c>
      <c r="B11" t="s">
        <v>2575</v>
      </c>
      <c r="C11" s="5">
        <v>45664</v>
      </c>
      <c r="D11" s="3">
        <v>87189</v>
      </c>
      <c r="E11" s="42" t="s">
        <v>2481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K11" s="3">
        <f>SUM($F11:AJ11)</f>
        <v>0</v>
      </c>
      <c r="AL11" s="22"/>
    </row>
    <row r="12" spans="1:39" x14ac:dyDescent="0.35">
      <c r="A12" s="41" t="s">
        <v>2577</v>
      </c>
      <c r="B12" t="s">
        <v>2578</v>
      </c>
      <c r="C12" s="5">
        <v>45667</v>
      </c>
      <c r="D12" s="3">
        <v>60730</v>
      </c>
      <c r="E12" s="42" t="s">
        <v>2325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Y12" s="3"/>
      <c r="Z12" s="3">
        <v>60730</v>
      </c>
      <c r="AA12" s="3"/>
      <c r="AB12" s="3"/>
      <c r="AC12" s="3"/>
      <c r="AD12" s="3"/>
      <c r="AE12" s="3"/>
      <c r="AF12" s="3"/>
      <c r="AG12" s="3"/>
      <c r="AH12" s="3"/>
      <c r="AI12" s="3"/>
      <c r="AK12" s="3">
        <f>SUM($F12:AJ12)</f>
        <v>60730</v>
      </c>
      <c r="AL12" s="22"/>
    </row>
    <row r="13" spans="1:39" x14ac:dyDescent="0.35">
      <c r="A13" s="41" t="s">
        <v>2581</v>
      </c>
      <c r="B13" t="s">
        <v>2582</v>
      </c>
      <c r="C13" s="5">
        <v>45672</v>
      </c>
      <c r="D13" s="3">
        <v>87189</v>
      </c>
      <c r="E13" s="42" t="s">
        <v>2325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 t="s">
        <v>13</v>
      </c>
      <c r="S13" s="3"/>
      <c r="T13" s="3"/>
      <c r="U13" s="3"/>
      <c r="V13" s="3"/>
      <c r="W13" s="3"/>
      <c r="Y13" s="3"/>
      <c r="Z13" s="3">
        <v>87189</v>
      </c>
      <c r="AA13" s="3"/>
      <c r="AB13" s="3"/>
      <c r="AC13" s="3"/>
      <c r="AD13" s="3"/>
      <c r="AE13" s="3"/>
      <c r="AF13" s="3"/>
      <c r="AG13" s="3"/>
      <c r="AH13" s="3"/>
      <c r="AI13" s="3"/>
      <c r="AK13" s="3">
        <f>SUM($F13:AJ13)</f>
        <v>87189</v>
      </c>
      <c r="AL13" s="22"/>
    </row>
    <row r="14" spans="1:39" x14ac:dyDescent="0.35">
      <c r="A14" s="41" t="s">
        <v>2587</v>
      </c>
      <c r="B14" t="s">
        <v>2589</v>
      </c>
      <c r="C14" s="5">
        <v>45675</v>
      </c>
      <c r="D14" s="3">
        <v>87189</v>
      </c>
      <c r="E14" s="42" t="s">
        <v>2481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Y14" s="3"/>
      <c r="Z14" s="3">
        <v>87183</v>
      </c>
      <c r="AA14" s="3"/>
      <c r="AB14" s="3"/>
      <c r="AC14" s="3"/>
      <c r="AD14" s="3"/>
      <c r="AE14" s="3"/>
      <c r="AF14" s="3"/>
      <c r="AG14" s="3"/>
      <c r="AH14" s="3"/>
      <c r="AI14" s="3"/>
      <c r="AK14" s="3">
        <f>SUM($F14:AJ14)</f>
        <v>87183</v>
      </c>
      <c r="AL14" s="22"/>
    </row>
    <row r="15" spans="1:39" x14ac:dyDescent="0.35">
      <c r="A15" s="41" t="s">
        <v>2588</v>
      </c>
      <c r="B15" t="s">
        <v>2590</v>
      </c>
      <c r="C15" s="5">
        <v>45681</v>
      </c>
      <c r="D15" s="3">
        <v>87189</v>
      </c>
      <c r="E15" s="42" t="s">
        <v>2481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K15" s="3">
        <f>SUM($F15:AJ15)</f>
        <v>0</v>
      </c>
      <c r="AL15" s="22"/>
    </row>
    <row r="16" spans="1:39" x14ac:dyDescent="0.35">
      <c r="A16" s="41" t="s">
        <v>2591</v>
      </c>
      <c r="B16" t="s">
        <v>2592</v>
      </c>
      <c r="C16" s="5">
        <v>45685</v>
      </c>
      <c r="D16" s="3">
        <v>87189</v>
      </c>
      <c r="E16" s="42" t="s">
        <v>2325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K16" s="3">
        <f>SUM($F16:AJ16)</f>
        <v>0</v>
      </c>
      <c r="AL16" s="22"/>
    </row>
    <row r="17" spans="1:41" x14ac:dyDescent="0.35">
      <c r="A17" s="41" t="s">
        <v>2593</v>
      </c>
      <c r="B17" t="s">
        <v>2594</v>
      </c>
      <c r="C17" s="5">
        <v>45686</v>
      </c>
      <c r="D17" s="3">
        <v>45855</v>
      </c>
      <c r="E17" s="42" t="s">
        <v>2325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K17" s="3">
        <f>SUM($F17:AJ17)</f>
        <v>0</v>
      </c>
      <c r="AL17" s="22"/>
    </row>
    <row r="18" spans="1:41" x14ac:dyDescent="0.35">
      <c r="A18" s="41" t="s">
        <v>2595</v>
      </c>
      <c r="B18" t="s">
        <v>2597</v>
      </c>
      <c r="C18" s="5">
        <v>45686</v>
      </c>
      <c r="D18" s="3">
        <v>87189</v>
      </c>
      <c r="E18" s="42" t="s">
        <v>2325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K18" s="3">
        <f>SUM($F18:AJ18)</f>
        <v>0</v>
      </c>
      <c r="AL18" s="22"/>
    </row>
    <row r="19" spans="1:41" x14ac:dyDescent="0.35">
      <c r="A19" s="41" t="s">
        <v>2596</v>
      </c>
      <c r="B19" t="s">
        <v>2598</v>
      </c>
      <c r="C19" s="5">
        <v>45687</v>
      </c>
      <c r="D19" s="3">
        <v>87189</v>
      </c>
      <c r="E19" s="42" t="s">
        <v>2325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K19" s="3">
        <f>SUM($F19:AJ19)</f>
        <v>0</v>
      </c>
      <c r="AL19" s="22"/>
    </row>
    <row r="20" spans="1:41" ht="15" thickBot="1" x14ac:dyDescent="0.4">
      <c r="A20" s="43"/>
      <c r="B20" s="76"/>
      <c r="C20" s="45"/>
      <c r="D20" s="46"/>
      <c r="E20" s="4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K20" s="3">
        <f>SUM($F20:AJ20)</f>
        <v>0</v>
      </c>
      <c r="AL20" s="22"/>
    </row>
    <row r="21" spans="1:41" x14ac:dyDescent="0.35"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K21" s="324" t="s">
        <v>1962</v>
      </c>
      <c r="AL21" s="22" t="s">
        <v>1352</v>
      </c>
    </row>
    <row r="22" spans="1:41" x14ac:dyDescent="0.35">
      <c r="A22" s="2" t="s">
        <v>1676</v>
      </c>
      <c r="D22" s="3">
        <f>SUM(D9:D20)</f>
        <v>923297</v>
      </c>
      <c r="F22" s="3">
        <f t="shared" ref="F22:AJ22" si="1">SUM(F5:F20)</f>
        <v>0</v>
      </c>
      <c r="G22" s="3">
        <f t="shared" si="1"/>
        <v>0</v>
      </c>
      <c r="H22" s="3">
        <f t="shared" si="1"/>
        <v>0</v>
      </c>
      <c r="I22" s="3">
        <f t="shared" si="1"/>
        <v>0</v>
      </c>
      <c r="J22" s="3">
        <f t="shared" si="1"/>
        <v>0</v>
      </c>
      <c r="K22" s="3">
        <f t="shared" si="1"/>
        <v>0</v>
      </c>
      <c r="L22" s="3">
        <f t="shared" si="1"/>
        <v>167871</v>
      </c>
      <c r="M22" s="3">
        <f t="shared" si="1"/>
        <v>0</v>
      </c>
      <c r="N22" s="3">
        <f t="shared" si="1"/>
        <v>0</v>
      </c>
      <c r="O22" s="3">
        <f t="shared" si="1"/>
        <v>0</v>
      </c>
      <c r="P22" s="3">
        <f t="shared" si="1"/>
        <v>0</v>
      </c>
      <c r="Q22" s="3">
        <f t="shared" si="1"/>
        <v>0</v>
      </c>
      <c r="R22" s="3">
        <f t="shared" si="1"/>
        <v>206389</v>
      </c>
      <c r="S22" s="3">
        <f t="shared" si="1"/>
        <v>0</v>
      </c>
      <c r="T22" s="3">
        <f t="shared" si="1"/>
        <v>0</v>
      </c>
      <c r="U22" s="3">
        <f t="shared" si="1"/>
        <v>0</v>
      </c>
      <c r="V22" s="3">
        <f t="shared" si="1"/>
        <v>0</v>
      </c>
      <c r="W22" s="3">
        <f t="shared" si="1"/>
        <v>0</v>
      </c>
      <c r="X22" s="3">
        <f t="shared" si="1"/>
        <v>0</v>
      </c>
      <c r="Y22" s="3">
        <f t="shared" si="1"/>
        <v>0</v>
      </c>
      <c r="Z22" s="3">
        <f t="shared" si="1"/>
        <v>235102</v>
      </c>
      <c r="AA22" s="3">
        <f t="shared" si="1"/>
        <v>0</v>
      </c>
      <c r="AB22" s="3">
        <f t="shared" si="1"/>
        <v>0</v>
      </c>
      <c r="AC22" s="3">
        <f t="shared" si="1"/>
        <v>0</v>
      </c>
      <c r="AD22" s="3">
        <f t="shared" si="1"/>
        <v>0</v>
      </c>
      <c r="AE22" s="3">
        <f t="shared" si="1"/>
        <v>0</v>
      </c>
      <c r="AF22" s="3">
        <f t="shared" si="1"/>
        <v>0</v>
      </c>
      <c r="AG22" s="3">
        <f t="shared" si="1"/>
        <v>0</v>
      </c>
      <c r="AH22" s="3">
        <f t="shared" si="1"/>
        <v>0</v>
      </c>
      <c r="AI22" s="3">
        <f t="shared" si="1"/>
        <v>0</v>
      </c>
      <c r="AJ22" s="3">
        <f t="shared" si="1"/>
        <v>0</v>
      </c>
      <c r="AK22" s="72">
        <f>SUM(AK6:AK20)</f>
        <v>609362</v>
      </c>
      <c r="AL22" s="22">
        <f>+D23-AK22</f>
        <v>606196</v>
      </c>
      <c r="AM22" s="6" t="s">
        <v>13</v>
      </c>
    </row>
    <row r="23" spans="1:41" x14ac:dyDescent="0.35">
      <c r="A23" s="2" t="s">
        <v>1780</v>
      </c>
      <c r="B23" t="s">
        <v>13</v>
      </c>
      <c r="C23" s="3" t="s">
        <v>13</v>
      </c>
      <c r="D23" s="3">
        <f>SUM(D6:D20)</f>
        <v>1215558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41" x14ac:dyDescent="0.35">
      <c r="A24" s="2"/>
      <c r="C24" s="3"/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41" ht="15" thickBot="1" x14ac:dyDescent="0.4">
      <c r="A25" s="2" t="s">
        <v>2</v>
      </c>
      <c r="C25" t="s">
        <v>13</v>
      </c>
      <c r="F25" s="3"/>
      <c r="G25" s="3"/>
      <c r="H25" s="3"/>
      <c r="I25" s="3"/>
      <c r="J25" s="3"/>
      <c r="K25" s="3"/>
      <c r="L25" s="3" t="s">
        <v>13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41" x14ac:dyDescent="0.35">
      <c r="A26" s="411" t="s">
        <v>13</v>
      </c>
      <c r="B26" s="66"/>
      <c r="C26" s="66"/>
      <c r="D26" s="66"/>
      <c r="E26" s="40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41" x14ac:dyDescent="0.35">
      <c r="A27" s="41" t="s">
        <v>2602</v>
      </c>
      <c r="B27" s="410"/>
      <c r="C27" s="409"/>
      <c r="D27" s="407">
        <v>211999.86000000002</v>
      </c>
      <c r="E27" s="42"/>
      <c r="F27" s="3"/>
      <c r="G27" s="3"/>
      <c r="H27" s="3"/>
      <c r="I27" s="3"/>
      <c r="J27" s="3"/>
      <c r="K27" s="3"/>
      <c r="L27" s="407"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K27" s="3">
        <f>SUM($F27:AJ27)</f>
        <v>0</v>
      </c>
    </row>
    <row r="28" spans="1:41" x14ac:dyDescent="0.35">
      <c r="A28" s="343" t="s">
        <v>1161</v>
      </c>
      <c r="B28" s="410" t="s">
        <v>2583</v>
      </c>
      <c r="C28" s="409">
        <v>45659</v>
      </c>
      <c r="D28" s="407">
        <v>2890</v>
      </c>
      <c r="E28" s="344" t="s">
        <v>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f>SUM($F28:AJ28)</f>
        <v>0</v>
      </c>
      <c r="AN28" s="26"/>
      <c r="AO28" s="3"/>
    </row>
    <row r="29" spans="1:41" x14ac:dyDescent="0.35">
      <c r="A29" s="343" t="s">
        <v>1161</v>
      </c>
      <c r="B29" s="410" t="s">
        <v>2600</v>
      </c>
      <c r="C29" s="409">
        <v>45680</v>
      </c>
      <c r="D29" s="407">
        <v>11260</v>
      </c>
      <c r="E29" s="344" t="s">
        <v>4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f>SUM($F29:AJ29)</f>
        <v>0</v>
      </c>
      <c r="AN29" s="26"/>
      <c r="AO29" s="3"/>
    </row>
    <row r="30" spans="1:41" x14ac:dyDescent="0.35">
      <c r="A30" s="343" t="s">
        <v>1161</v>
      </c>
      <c r="B30" s="410" t="s">
        <v>2599</v>
      </c>
      <c r="C30" s="409">
        <v>45686</v>
      </c>
      <c r="D30" s="407">
        <v>7430</v>
      </c>
      <c r="E30" s="344" t="s">
        <v>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f>SUM($F30:AJ30)</f>
        <v>0</v>
      </c>
      <c r="AN30" s="26"/>
      <c r="AO30" s="3"/>
    </row>
    <row r="31" spans="1:41" x14ac:dyDescent="0.35">
      <c r="A31" s="343" t="s">
        <v>1161</v>
      </c>
      <c r="B31" s="410" t="s">
        <v>2601</v>
      </c>
      <c r="C31" s="409">
        <v>45687</v>
      </c>
      <c r="D31" s="407">
        <v>5740</v>
      </c>
      <c r="E31" s="344" t="s"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f>SUM($F31:AJ31)</f>
        <v>0</v>
      </c>
      <c r="AN31" s="26"/>
      <c r="AO31" s="3"/>
    </row>
    <row r="32" spans="1:41" x14ac:dyDescent="0.35">
      <c r="A32" s="343" t="s">
        <v>2352</v>
      </c>
      <c r="B32" s="410"/>
      <c r="C32" s="409">
        <v>45677</v>
      </c>
      <c r="D32" s="407">
        <v>76548</v>
      </c>
      <c r="E32" s="344" t="s">
        <v>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>
        <f>SUM($F32:AJ32)</f>
        <v>0</v>
      </c>
      <c r="AN32" s="26"/>
      <c r="AO32" s="3"/>
    </row>
    <row r="33" spans="1:43" x14ac:dyDescent="0.35">
      <c r="A33" s="343" t="s">
        <v>2126</v>
      </c>
      <c r="B33" s="410"/>
      <c r="C33" s="409"/>
      <c r="D33" s="407">
        <v>6499</v>
      </c>
      <c r="E33" s="344" t="s">
        <v>4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f>SUM($F33:AJ33)</f>
        <v>0</v>
      </c>
      <c r="AN33" s="26"/>
      <c r="AO33" s="3"/>
    </row>
    <row r="34" spans="1:43" x14ac:dyDescent="0.35">
      <c r="A34" s="343" t="s">
        <v>1161</v>
      </c>
      <c r="B34" s="410" t="s">
        <v>2603</v>
      </c>
      <c r="C34" s="409">
        <v>45699</v>
      </c>
      <c r="D34" s="407">
        <v>10970</v>
      </c>
      <c r="E34" s="344" t="s">
        <v>4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>
        <f>SUM($F34:AJ34)</f>
        <v>0</v>
      </c>
      <c r="AN34" s="26"/>
      <c r="AO34" s="3"/>
    </row>
    <row r="35" spans="1:43" x14ac:dyDescent="0.35">
      <c r="A35" s="343" t="s">
        <v>2361</v>
      </c>
      <c r="B35" s="410"/>
      <c r="C35" s="409">
        <v>45707</v>
      </c>
      <c r="D35" s="407">
        <v>138347</v>
      </c>
      <c r="E35" s="344" t="s">
        <v>4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f>SUM($F35:AJ35)</f>
        <v>0</v>
      </c>
      <c r="AN35" s="26"/>
      <c r="AO35" s="3"/>
    </row>
    <row r="36" spans="1:43" x14ac:dyDescent="0.35">
      <c r="A36" s="343" t="s">
        <v>2604</v>
      </c>
      <c r="B36" s="410"/>
      <c r="C36" s="409">
        <v>45706</v>
      </c>
      <c r="D36" s="407">
        <v>105244</v>
      </c>
      <c r="E36" s="344" t="s">
        <v>503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07">
        <v>105244</v>
      </c>
      <c r="X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N36" s="26"/>
      <c r="AO36" s="3"/>
    </row>
    <row r="37" spans="1:43" x14ac:dyDescent="0.35">
      <c r="A37" s="343" t="s">
        <v>2604</v>
      </c>
      <c r="B37" s="410"/>
      <c r="C37" s="409">
        <v>45707</v>
      </c>
      <c r="D37" s="407">
        <v>305467</v>
      </c>
      <c r="E37" s="344" t="s">
        <v>503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407">
        <v>305467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N37" s="26"/>
      <c r="AO37" s="3"/>
    </row>
    <row r="38" spans="1:43" x14ac:dyDescent="0.35">
      <c r="A38" s="343" t="s">
        <v>1161</v>
      </c>
      <c r="B38" s="410" t="s">
        <v>2605</v>
      </c>
      <c r="C38" s="409">
        <v>45708</v>
      </c>
      <c r="D38" s="407">
        <v>9100</v>
      </c>
      <c r="E38" s="344" t="s">
        <v>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N38" s="26"/>
      <c r="AO38" s="3"/>
    </row>
    <row r="39" spans="1:43" x14ac:dyDescent="0.35">
      <c r="A39" s="343"/>
      <c r="B39" s="410"/>
      <c r="C39" s="409"/>
      <c r="D39" s="407"/>
      <c r="E39" s="34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N39" s="26"/>
      <c r="AO39" s="3"/>
    </row>
    <row r="40" spans="1:43" x14ac:dyDescent="0.35">
      <c r="A40" s="343"/>
      <c r="B40" s="410"/>
      <c r="C40" s="409"/>
      <c r="D40" s="407"/>
      <c r="E40" s="34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>
        <f>SUM($F40:AJ40)</f>
        <v>0</v>
      </c>
      <c r="AN40" s="26"/>
      <c r="AO40" s="3"/>
    </row>
    <row r="41" spans="1:43" ht="15" thickBot="1" x14ac:dyDescent="0.4">
      <c r="A41" s="43" t="s">
        <v>2529</v>
      </c>
      <c r="B41" s="76" t="s">
        <v>337</v>
      </c>
      <c r="C41" s="45" t="s">
        <v>13</v>
      </c>
      <c r="D41" s="46">
        <f>+AK22*0.17</f>
        <v>103591.54000000001</v>
      </c>
      <c r="E41" s="47"/>
      <c r="F41" s="3"/>
      <c r="G41" s="3" t="s">
        <v>13</v>
      </c>
      <c r="H41" s="3" t="s">
        <v>13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f>SUM($F41:AJ41)</f>
        <v>0</v>
      </c>
      <c r="AL41" s="6" t="s">
        <v>1846</v>
      </c>
      <c r="AM41" s="6" t="s">
        <v>13</v>
      </c>
      <c r="AN41" s="26" t="s">
        <v>13</v>
      </c>
      <c r="AO41" s="3"/>
    </row>
    <row r="42" spans="1:43" x14ac:dyDescent="0.35">
      <c r="A42" s="3" t="s">
        <v>13</v>
      </c>
      <c r="B42" s="24"/>
      <c r="C42" s="236" t="s">
        <v>13</v>
      </c>
      <c r="D42" s="3"/>
      <c r="E42" s="15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13</v>
      </c>
      <c r="AL42" s="22"/>
      <c r="AO42" s="14" t="s">
        <v>1558</v>
      </c>
      <c r="AP42" s="15">
        <f>+SUMIF(AL28:AL41,"CD",D28:D41)/1.19</f>
        <v>0</v>
      </c>
      <c r="AQ42" s="15" t="e">
        <f>+AP42*#REF!/#REF!</f>
        <v>#REF!</v>
      </c>
    </row>
    <row r="43" spans="1:43" x14ac:dyDescent="0.35">
      <c r="A43" s="4"/>
      <c r="B43" s="24"/>
      <c r="C43" s="67"/>
      <c r="D43" s="3"/>
      <c r="E43" s="153"/>
      <c r="F43" s="3" t="s">
        <v>13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 t="s">
        <v>13</v>
      </c>
      <c r="AL43" s="22"/>
      <c r="AO43" s="14" t="s">
        <v>1559</v>
      </c>
      <c r="AP43" s="15" t="e">
        <f>+#REF!-AP42</f>
        <v>#REF!</v>
      </c>
      <c r="AQ43" s="15" t="e">
        <f>+#REF!-AQ42</f>
        <v>#REF!</v>
      </c>
    </row>
    <row r="44" spans="1:43" x14ac:dyDescent="0.35">
      <c r="A44" s="4"/>
      <c r="B44" s="24"/>
      <c r="C44" s="67"/>
      <c r="D44" s="3"/>
      <c r="E44" s="15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13</v>
      </c>
      <c r="AL44" s="22"/>
      <c r="AO44" s="14" t="s">
        <v>1560</v>
      </c>
      <c r="AP44" s="327" t="e">
        <f>+AP43/#REF!</f>
        <v>#REF!</v>
      </c>
      <c r="AQ44" s="327" t="e">
        <f>+AQ43/#REF!</f>
        <v>#REF!</v>
      </c>
    </row>
    <row r="45" spans="1:43" x14ac:dyDescent="0.35">
      <c r="A45" s="4"/>
      <c r="B45" s="67"/>
      <c r="C45" s="236"/>
      <c r="E45" s="15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Y45" s="3"/>
      <c r="AJ45" s="3"/>
      <c r="AK45" s="3"/>
      <c r="AL45" s="22" t="s">
        <v>1388</v>
      </c>
      <c r="AM45" s="6" t="s">
        <v>1430</v>
      </c>
      <c r="AO45" s="14" t="s">
        <v>81</v>
      </c>
      <c r="AP45" s="15" t="e">
        <f>+SUMIF(AL28:AL41,"GAV",D28:D41)/1.19+SUMIF(#REF!,"REM",#REF!)</f>
        <v>#REF!</v>
      </c>
      <c r="AQ45" s="15" t="e">
        <f>+AP45*#REF!/#REF!</f>
        <v>#REF!</v>
      </c>
    </row>
    <row r="46" spans="1:43" x14ac:dyDescent="0.35">
      <c r="A46" s="2" t="s">
        <v>9</v>
      </c>
      <c r="D46" s="72" t="e">
        <f>SUM(D28:D44)-#REF!</f>
        <v>#REF!</v>
      </c>
      <c r="F46" s="3">
        <f t="shared" ref="F46:AJ46" si="2">SUM(F27:F45)</f>
        <v>0</v>
      </c>
      <c r="G46" s="3">
        <f t="shared" si="2"/>
        <v>0</v>
      </c>
      <c r="H46" s="3">
        <f t="shared" si="2"/>
        <v>0</v>
      </c>
      <c r="I46" s="3">
        <f t="shared" si="2"/>
        <v>0</v>
      </c>
      <c r="J46" s="3">
        <f t="shared" si="2"/>
        <v>0</v>
      </c>
      <c r="K46" s="3">
        <f t="shared" si="2"/>
        <v>0</v>
      </c>
      <c r="L46" s="3">
        <f t="shared" si="2"/>
        <v>0</v>
      </c>
      <c r="M46" s="3">
        <f t="shared" si="2"/>
        <v>0</v>
      </c>
      <c r="N46" s="3">
        <f t="shared" si="2"/>
        <v>0</v>
      </c>
      <c r="O46" s="3">
        <f t="shared" si="2"/>
        <v>0</v>
      </c>
      <c r="P46" s="3">
        <f t="shared" si="2"/>
        <v>0</v>
      </c>
      <c r="Q46" s="3">
        <f t="shared" si="2"/>
        <v>0</v>
      </c>
      <c r="R46" s="3">
        <f t="shared" si="2"/>
        <v>0</v>
      </c>
      <c r="S46" s="3">
        <f t="shared" si="2"/>
        <v>0</v>
      </c>
      <c r="T46" s="3">
        <f t="shared" si="2"/>
        <v>0</v>
      </c>
      <c r="U46" s="3">
        <f t="shared" si="2"/>
        <v>0</v>
      </c>
      <c r="V46" s="3">
        <f t="shared" si="2"/>
        <v>0</v>
      </c>
      <c r="W46" s="3">
        <f t="shared" si="2"/>
        <v>105244</v>
      </c>
      <c r="X46" s="3">
        <f t="shared" si="2"/>
        <v>305467</v>
      </c>
      <c r="Y46" s="3">
        <f t="shared" si="2"/>
        <v>0</v>
      </c>
      <c r="Z46" s="3">
        <f t="shared" si="2"/>
        <v>0</v>
      </c>
      <c r="AA46" s="3">
        <f t="shared" si="2"/>
        <v>0</v>
      </c>
      <c r="AB46" s="3">
        <f t="shared" si="2"/>
        <v>0</v>
      </c>
      <c r="AC46" s="3">
        <f t="shared" si="2"/>
        <v>0</v>
      </c>
      <c r="AD46" s="3">
        <f t="shared" si="2"/>
        <v>0</v>
      </c>
      <c r="AE46" s="3">
        <f t="shared" si="2"/>
        <v>0</v>
      </c>
      <c r="AF46" s="3">
        <f t="shared" si="2"/>
        <v>0</v>
      </c>
      <c r="AG46" s="3">
        <f t="shared" si="2"/>
        <v>0</v>
      </c>
      <c r="AH46" s="3">
        <f t="shared" si="2"/>
        <v>0</v>
      </c>
      <c r="AI46" s="3">
        <f t="shared" si="2"/>
        <v>0</v>
      </c>
      <c r="AJ46" s="3">
        <f t="shared" si="2"/>
        <v>0</v>
      </c>
      <c r="AK46" s="72" t="e">
        <f>SUM(AK27:AK44)-#REF!</f>
        <v>#REF!</v>
      </c>
      <c r="AL46" s="324" t="e">
        <f>+D46-AK46</f>
        <v>#REF!</v>
      </c>
      <c r="AM46" s="324" t="e">
        <f>+AJ47+AL22-AL46-1200000</f>
        <v>#VALUE!</v>
      </c>
      <c r="AO46" s="14" t="s">
        <v>1561</v>
      </c>
      <c r="AP46" s="15" t="e">
        <f>+AP43-AP45</f>
        <v>#REF!</v>
      </c>
      <c r="AQ46" s="15" t="e">
        <f>+AQ43-AQ45</f>
        <v>#REF!</v>
      </c>
    </row>
    <row r="47" spans="1:43" x14ac:dyDescent="0.35">
      <c r="A47" t="s">
        <v>8</v>
      </c>
      <c r="F47" s="3">
        <f t="shared" ref="F47:AJ47" si="3">+F22+F3-F46</f>
        <v>1937130.6548390845</v>
      </c>
      <c r="G47" s="3">
        <f t="shared" si="3"/>
        <v>1937130.6548390845</v>
      </c>
      <c r="H47" s="3">
        <f t="shared" si="3"/>
        <v>1937130.6548390845</v>
      </c>
      <c r="I47" s="3">
        <f t="shared" si="3"/>
        <v>1937130.6548390845</v>
      </c>
      <c r="J47" s="3">
        <f t="shared" si="3"/>
        <v>1937130.6548390845</v>
      </c>
      <c r="K47" s="3">
        <f t="shared" si="3"/>
        <v>1937130.6548390845</v>
      </c>
      <c r="L47" s="3">
        <f t="shared" si="3"/>
        <v>2105001.6548390845</v>
      </c>
      <c r="M47" s="3">
        <f t="shared" si="3"/>
        <v>2105001.6548390845</v>
      </c>
      <c r="N47" s="3">
        <f t="shared" si="3"/>
        <v>2105001.6548390845</v>
      </c>
      <c r="O47" s="3">
        <f t="shared" si="3"/>
        <v>2105001.6548390845</v>
      </c>
      <c r="P47" s="3">
        <f t="shared" si="3"/>
        <v>2105001.6548390845</v>
      </c>
      <c r="Q47" s="3">
        <f t="shared" si="3"/>
        <v>2105001.6548390845</v>
      </c>
      <c r="R47" s="3">
        <f t="shared" si="3"/>
        <v>2311390.6548390845</v>
      </c>
      <c r="S47" s="3">
        <f t="shared" si="3"/>
        <v>2311390.6548390845</v>
      </c>
      <c r="T47" s="3">
        <f t="shared" si="3"/>
        <v>2311390.6548390845</v>
      </c>
      <c r="U47" s="3">
        <f t="shared" si="3"/>
        <v>2311390.6548390845</v>
      </c>
      <c r="V47" s="3">
        <f t="shared" si="3"/>
        <v>2311390.6548390845</v>
      </c>
      <c r="W47" s="3">
        <f t="shared" si="3"/>
        <v>2206146.6548390845</v>
      </c>
      <c r="X47" s="3">
        <f t="shared" si="3"/>
        <v>1900679.6548390845</v>
      </c>
      <c r="Y47" s="3">
        <f t="shared" si="3"/>
        <v>1900679.6548390845</v>
      </c>
      <c r="Z47" s="3">
        <f t="shared" si="3"/>
        <v>2135781.6548390845</v>
      </c>
      <c r="AA47" s="3">
        <f t="shared" si="3"/>
        <v>2135781.6548390845</v>
      </c>
      <c r="AB47" s="3">
        <f t="shared" si="3"/>
        <v>2135781.6548390845</v>
      </c>
      <c r="AC47" s="3">
        <f t="shared" si="3"/>
        <v>2135781.6548390845</v>
      </c>
      <c r="AD47" s="3">
        <f t="shared" si="3"/>
        <v>2135781.6548390845</v>
      </c>
      <c r="AE47" s="3">
        <f t="shared" si="3"/>
        <v>2135781.6548390845</v>
      </c>
      <c r="AF47" s="3">
        <f t="shared" si="3"/>
        <v>2135781.6548390845</v>
      </c>
      <c r="AG47" s="3">
        <f t="shared" si="3"/>
        <v>2135781.6548390845</v>
      </c>
      <c r="AH47" s="3" t="e">
        <f t="shared" si="3"/>
        <v>#VALUE!</v>
      </c>
      <c r="AI47" s="3" t="e">
        <f t="shared" si="3"/>
        <v>#VALUE!</v>
      </c>
      <c r="AJ47" s="3" t="e">
        <f t="shared" si="3"/>
        <v>#VALUE!</v>
      </c>
      <c r="AK47" s="3" t="s">
        <v>13</v>
      </c>
      <c r="AM47" s="22" t="s">
        <v>13</v>
      </c>
      <c r="AO47" s="14" t="s">
        <v>1563</v>
      </c>
      <c r="AP47" s="15">
        <f>+SUMIF(AL28:AL41,"GF",D28:D41)</f>
        <v>0</v>
      </c>
      <c r="AQ47" s="15">
        <v>0</v>
      </c>
    </row>
    <row r="48" spans="1:43" x14ac:dyDescent="0.35">
      <c r="F48" s="3"/>
      <c r="G48" s="3"/>
      <c r="H48" s="3"/>
      <c r="I48" s="3" t="s">
        <v>13</v>
      </c>
      <c r="J48" s="3"/>
      <c r="K48" s="3" t="s">
        <v>13</v>
      </c>
      <c r="L48" s="3"/>
      <c r="M48" s="3"/>
      <c r="N48" s="3"/>
      <c r="O48" s="3"/>
      <c r="P48" s="3" t="s">
        <v>13</v>
      </c>
      <c r="Q48" s="3"/>
      <c r="R48" s="3"/>
      <c r="S48" s="3"/>
      <c r="T48" s="3" t="s">
        <v>13</v>
      </c>
      <c r="U48" s="3"/>
      <c r="V48" s="3"/>
      <c r="W48" s="3"/>
      <c r="Y48" s="3" t="s">
        <v>13</v>
      </c>
      <c r="Z48" s="3" t="s">
        <v>13</v>
      </c>
      <c r="AA48" s="3" t="s">
        <v>13</v>
      </c>
      <c r="AB48" s="3" t="s">
        <v>13</v>
      </c>
      <c r="AO48" s="14" t="s">
        <v>82</v>
      </c>
      <c r="AP48" s="15">
        <v>0</v>
      </c>
      <c r="AQ48" s="15">
        <f>+SUMIF(AL28:AL41,"AF",D28:D41)/1.19</f>
        <v>0</v>
      </c>
    </row>
    <row r="49" spans="1:43" ht="15" thickBot="1" x14ac:dyDescent="0.4">
      <c r="F49" s="3" t="s">
        <v>13</v>
      </c>
      <c r="G49" s="3" t="s">
        <v>13</v>
      </c>
      <c r="H49" s="3" t="s">
        <v>13</v>
      </c>
      <c r="I49" s="3"/>
      <c r="J49" s="3"/>
      <c r="K49" s="3"/>
      <c r="L49" s="3"/>
      <c r="M49" s="3"/>
      <c r="N49" s="3"/>
      <c r="O49" s="3"/>
      <c r="P49" s="3" t="s">
        <v>13</v>
      </c>
      <c r="Q49" s="3" t="s">
        <v>13</v>
      </c>
      <c r="R49" s="3" t="s">
        <v>13</v>
      </c>
      <c r="S49" s="3"/>
      <c r="T49" s="3"/>
      <c r="U49" s="3" t="s">
        <v>13</v>
      </c>
      <c r="V49" s="3"/>
      <c r="W49" s="3"/>
      <c r="AB49" s="3" t="s">
        <v>13</v>
      </c>
      <c r="AG49" s="3" t="s">
        <v>13</v>
      </c>
      <c r="AJ49" s="3" t="s">
        <v>13</v>
      </c>
      <c r="AO49" s="16"/>
      <c r="AP49" s="19" t="e">
        <f>+AP46-AP47-AP48</f>
        <v>#REF!</v>
      </c>
      <c r="AQ49" s="19" t="e">
        <f>+AQ46-AQ47-AQ48</f>
        <v>#REF!</v>
      </c>
    </row>
    <row r="50" spans="1:43" x14ac:dyDescent="0.35">
      <c r="A50" t="s">
        <v>2163</v>
      </c>
      <c r="B50" s="3" t="e">
        <f>+'Ene-23'!AK56+'Ene-23'!AK57+'Ene-23'!AK58+'Ene-23'!AK59+'Feb-23'!AK60+'Feb-23'!AK61+'Feb-23'!AK62+'Feb-23'!AK63+'Feb-23'!AK65+'Mar-23'!AK63+'Mar-23'!AK66+'Abr-23'!AK58+'Abr-23'!AK60+'May-23'!AK47+'Jun-23'!AK40+'Jul-23'!AK54+'Ago-23'!#REF!</f>
        <v>#REF!</v>
      </c>
      <c r="C50" s="3" t="e">
        <f>+B50*0.16</f>
        <v>#REF!</v>
      </c>
      <c r="E50" s="6" t="s">
        <v>13</v>
      </c>
      <c r="F50" s="3"/>
      <c r="G50" s="3" t="s">
        <v>13</v>
      </c>
      <c r="H50" s="3" t="s">
        <v>13</v>
      </c>
      <c r="I50" s="3"/>
      <c r="J50" s="3"/>
      <c r="K50" s="3"/>
      <c r="L50" s="3"/>
      <c r="M50" s="3">
        <f>1920744-M47</f>
        <v>-184257.65483908448</v>
      </c>
      <c r="N50" s="3"/>
      <c r="O50" s="3"/>
      <c r="W50" s="3"/>
      <c r="AB50" s="3" t="s">
        <v>13</v>
      </c>
      <c r="AG50" s="3" t="s">
        <v>13</v>
      </c>
      <c r="AJ50" s="3" t="s">
        <v>13</v>
      </c>
      <c r="AO50" t="s">
        <v>1961</v>
      </c>
      <c r="AP50" s="26" t="e">
        <f ca="1">+AP$49+'May-23'!AP82</f>
        <v>#REF!</v>
      </c>
      <c r="AQ50" s="3" t="e">
        <f ca="1">+AQ$49+'May-23'!AQ82</f>
        <v>#REF!</v>
      </c>
    </row>
    <row r="51" spans="1:43" x14ac:dyDescent="0.35">
      <c r="F51" s="3"/>
      <c r="G51" s="3" t="s">
        <v>13</v>
      </c>
      <c r="H51" s="3"/>
      <c r="I51" s="3"/>
      <c r="J51" s="3"/>
      <c r="K51" s="3"/>
      <c r="L51" s="3"/>
      <c r="M51" s="3"/>
      <c r="N51" s="3"/>
      <c r="O51" s="3"/>
      <c r="W51" s="3" t="s">
        <v>13</v>
      </c>
      <c r="AB51" s="3" t="s">
        <v>13</v>
      </c>
      <c r="AD51" t="s">
        <v>13</v>
      </c>
      <c r="AE51" t="s">
        <v>13</v>
      </c>
      <c r="AG51" s="3" t="s">
        <v>13</v>
      </c>
      <c r="AJ51" s="3" t="s">
        <v>13</v>
      </c>
      <c r="AO51" t="s">
        <v>1960</v>
      </c>
      <c r="AP51" s="26" t="e">
        <f ca="1">+AP$49+'May-23'!AP83</f>
        <v>#REF!</v>
      </c>
      <c r="AQ51" s="3" t="e">
        <f ca="1">+AQ$49+'May-23'!AQ83</f>
        <v>#REF!</v>
      </c>
    </row>
    <row r="52" spans="1:43" x14ac:dyDescent="0.35">
      <c r="A52" t="s">
        <v>13</v>
      </c>
      <c r="F52" s="3" t="s">
        <v>13</v>
      </c>
      <c r="G52" s="3" t="s">
        <v>13</v>
      </c>
      <c r="H52" s="3"/>
      <c r="I52" s="3"/>
      <c r="J52" s="3"/>
      <c r="K52" s="3"/>
      <c r="L52" s="3"/>
      <c r="M52" s="3">
        <v>538500</v>
      </c>
      <c r="N52" s="3"/>
      <c r="O52" s="3"/>
      <c r="W52" s="3"/>
      <c r="AB52" s="3" t="s">
        <v>13</v>
      </c>
      <c r="AD52" t="s">
        <v>13</v>
      </c>
      <c r="AG52" s="3" t="s">
        <v>13</v>
      </c>
      <c r="AJ52" s="3" t="s">
        <v>13</v>
      </c>
    </row>
    <row r="53" spans="1:43" x14ac:dyDescent="0.35">
      <c r="B53" t="s">
        <v>13</v>
      </c>
      <c r="F53" s="3" t="s">
        <v>13</v>
      </c>
      <c r="G53" s="3" t="s">
        <v>13</v>
      </c>
      <c r="H53" s="3"/>
      <c r="I53" s="3"/>
      <c r="J53" s="3"/>
      <c r="K53" s="3"/>
      <c r="L53" s="3" t="s">
        <v>13</v>
      </c>
      <c r="M53" s="3">
        <v>682100</v>
      </c>
      <c r="N53" s="3"/>
      <c r="O53" s="3"/>
      <c r="W53" s="3"/>
      <c r="AB53" s="3" t="s">
        <v>13</v>
      </c>
      <c r="AG53" s="3" t="s">
        <v>13</v>
      </c>
      <c r="AJ53" s="3" t="s">
        <v>13</v>
      </c>
      <c r="AL53"/>
      <c r="AM53"/>
    </row>
    <row r="54" spans="1:43" x14ac:dyDescent="0.35">
      <c r="F54" s="3"/>
      <c r="G54" s="3" t="s">
        <v>13</v>
      </c>
      <c r="H54" s="3"/>
      <c r="I54" s="3"/>
      <c r="J54" s="3"/>
      <c r="K54" s="3"/>
      <c r="L54" s="3"/>
      <c r="M54" s="3">
        <f>SUM(M52:M53)</f>
        <v>1220600</v>
      </c>
      <c r="AG54" s="3" t="s">
        <v>13</v>
      </c>
      <c r="AJ54" s="3" t="s">
        <v>13</v>
      </c>
      <c r="AL54"/>
      <c r="AM54"/>
    </row>
    <row r="55" spans="1:43" x14ac:dyDescent="0.35">
      <c r="B55" t="s">
        <v>13</v>
      </c>
      <c r="F55" s="3"/>
      <c r="G55" s="3" t="s">
        <v>13</v>
      </c>
      <c r="H55" s="3"/>
      <c r="I55" s="3"/>
      <c r="J55" s="3"/>
      <c r="K55" s="3"/>
      <c r="L55" s="3"/>
      <c r="AB55" t="s">
        <v>13</v>
      </c>
      <c r="AG55" s="3" t="s">
        <v>13</v>
      </c>
      <c r="AJ55" s="3" t="s">
        <v>13</v>
      </c>
      <c r="AL55"/>
      <c r="AM55"/>
      <c r="AQ55" t="s">
        <v>13</v>
      </c>
    </row>
    <row r="56" spans="1:43" x14ac:dyDescent="0.35">
      <c r="B56" t="s">
        <v>13</v>
      </c>
      <c r="C56" t="s">
        <v>13</v>
      </c>
      <c r="F56" s="3"/>
      <c r="G56" s="3" t="s">
        <v>13</v>
      </c>
      <c r="H56" s="3"/>
      <c r="I56" s="3"/>
      <c r="J56" s="3"/>
      <c r="K56" s="3"/>
      <c r="L56" s="3"/>
      <c r="AG56" s="3" t="s">
        <v>13</v>
      </c>
      <c r="AJ56" s="3" t="s">
        <v>13</v>
      </c>
      <c r="AL56"/>
      <c r="AM56"/>
    </row>
    <row r="57" spans="1:43" x14ac:dyDescent="0.35">
      <c r="B57" t="s">
        <v>13</v>
      </c>
      <c r="C57" t="s">
        <v>13</v>
      </c>
      <c r="F57" s="3"/>
      <c r="G57" s="3" t="s">
        <v>2417</v>
      </c>
      <c r="H57" s="3"/>
      <c r="I57" s="3"/>
      <c r="J57" s="3"/>
      <c r="K57" s="3"/>
      <c r="L57" s="3"/>
      <c r="AG57" s="3" t="s">
        <v>13</v>
      </c>
      <c r="AJ57" s="3" t="s">
        <v>13</v>
      </c>
      <c r="AL57"/>
      <c r="AM57"/>
    </row>
    <row r="58" spans="1:43" x14ac:dyDescent="0.35">
      <c r="F58" s="3"/>
      <c r="G58" s="3" t="s">
        <v>13</v>
      </c>
      <c r="H58" s="3"/>
      <c r="I58" s="3"/>
      <c r="J58" s="3"/>
      <c r="K58" s="3"/>
      <c r="L58" s="3"/>
      <c r="AG58" s="3" t="s">
        <v>13</v>
      </c>
      <c r="AJ58" s="3" t="s">
        <v>13</v>
      </c>
      <c r="AL58"/>
      <c r="AM58"/>
    </row>
    <row r="59" spans="1:43" x14ac:dyDescent="0.35">
      <c r="B59" t="s">
        <v>13</v>
      </c>
      <c r="F59" s="3"/>
      <c r="G59" s="288">
        <f>212-60</f>
        <v>152</v>
      </c>
      <c r="H59" s="288">
        <f>+G59-60</f>
        <v>92</v>
      </c>
      <c r="I59" s="288">
        <f>+H59/3</f>
        <v>30.666666666666668</v>
      </c>
      <c r="J59" s="3"/>
      <c r="K59" s="3"/>
      <c r="L59" s="3"/>
      <c r="AG59" s="3" t="s">
        <v>13</v>
      </c>
      <c r="AJ59" s="3" t="s">
        <v>13</v>
      </c>
      <c r="AL59"/>
      <c r="AM59"/>
    </row>
    <row r="60" spans="1:43" x14ac:dyDescent="0.35">
      <c r="B60" t="s">
        <v>13</v>
      </c>
      <c r="F60" s="3"/>
      <c r="G60" s="288">
        <f>+G59/2</f>
        <v>76</v>
      </c>
      <c r="H60" s="288"/>
      <c r="I60" s="288"/>
      <c r="J60" s="3"/>
      <c r="K60" s="3"/>
      <c r="L60" s="3"/>
      <c r="AG60" s="3" t="s">
        <v>13</v>
      </c>
      <c r="AJ60" s="3" t="s">
        <v>13</v>
      </c>
      <c r="AL60"/>
      <c r="AM60"/>
    </row>
    <row r="61" spans="1:43" x14ac:dyDescent="0.35">
      <c r="B61" t="s">
        <v>13</v>
      </c>
      <c r="F61" s="3"/>
      <c r="G61" s="288">
        <f>+G60/2</f>
        <v>38</v>
      </c>
      <c r="H61" s="288"/>
      <c r="I61" s="288">
        <f>I59*3+60</f>
        <v>152</v>
      </c>
      <c r="J61" s="3"/>
      <c r="K61" s="3"/>
      <c r="L61" s="3"/>
      <c r="AG61" s="3" t="s">
        <v>13</v>
      </c>
      <c r="AJ61" s="3" t="s">
        <v>13</v>
      </c>
      <c r="AL61"/>
      <c r="AM61"/>
    </row>
    <row r="62" spans="1:43" x14ac:dyDescent="0.35">
      <c r="B62" t="s">
        <v>13</v>
      </c>
      <c r="F62" s="3"/>
      <c r="G62" s="288">
        <f>+G61-15</f>
        <v>23</v>
      </c>
      <c r="H62" s="288"/>
      <c r="I62" s="288"/>
      <c r="J62" s="3"/>
      <c r="K62" s="3"/>
      <c r="L62" s="3"/>
      <c r="AG62" s="3" t="s">
        <v>13</v>
      </c>
      <c r="AJ62" s="3" t="s">
        <v>13</v>
      </c>
      <c r="AL62"/>
      <c r="AM62"/>
    </row>
    <row r="63" spans="1:43" x14ac:dyDescent="0.35">
      <c r="B63" t="s">
        <v>13</v>
      </c>
      <c r="F63" s="3"/>
      <c r="G63" s="3" t="s">
        <v>13</v>
      </c>
      <c r="H63" s="3"/>
      <c r="I63" s="3"/>
      <c r="J63" s="3"/>
      <c r="K63" s="3"/>
      <c r="L63" s="3"/>
      <c r="AG63" s="3" t="s">
        <v>13</v>
      </c>
      <c r="AJ63" s="3" t="s">
        <v>13</v>
      </c>
      <c r="AL63"/>
      <c r="AM63"/>
    </row>
    <row r="64" spans="1:43" x14ac:dyDescent="0.35">
      <c r="B64" t="s">
        <v>13</v>
      </c>
      <c r="F64" s="3"/>
      <c r="G64" s="3" t="s">
        <v>13</v>
      </c>
      <c r="H64" s="3"/>
      <c r="I64" s="3"/>
      <c r="J64" s="3"/>
      <c r="K64" s="3"/>
      <c r="L64" s="3"/>
      <c r="AG64" s="3" t="s">
        <v>13</v>
      </c>
      <c r="AJ64" s="3" t="s">
        <v>13</v>
      </c>
      <c r="AL64"/>
      <c r="AM64"/>
    </row>
    <row r="65" spans="2:39" x14ac:dyDescent="0.35">
      <c r="B65" t="s">
        <v>13</v>
      </c>
      <c r="F65" s="3"/>
      <c r="G65" s="3" t="s">
        <v>13</v>
      </c>
      <c r="H65" s="3"/>
      <c r="I65" s="3"/>
      <c r="J65" s="3"/>
      <c r="K65" s="3"/>
      <c r="L65" s="3"/>
      <c r="AG65" s="3" t="s">
        <v>13</v>
      </c>
      <c r="AJ65" s="3" t="s">
        <v>13</v>
      </c>
      <c r="AL65"/>
      <c r="AM65"/>
    </row>
    <row r="66" spans="2:39" x14ac:dyDescent="0.35">
      <c r="B66" t="s">
        <v>13</v>
      </c>
      <c r="F66" s="3"/>
      <c r="G66" s="3" t="s">
        <v>13</v>
      </c>
      <c r="H66" s="3"/>
      <c r="I66" s="3"/>
      <c r="J66" s="3"/>
      <c r="K66" s="3"/>
      <c r="L66" s="3"/>
      <c r="AG66" s="3" t="s">
        <v>13</v>
      </c>
      <c r="AJ66" s="3" t="s">
        <v>13</v>
      </c>
      <c r="AL66"/>
      <c r="AM66"/>
    </row>
    <row r="67" spans="2:39" x14ac:dyDescent="0.35">
      <c r="B67" t="s">
        <v>13</v>
      </c>
      <c r="F67" s="3"/>
      <c r="G67" s="3" t="s">
        <v>13</v>
      </c>
      <c r="H67" s="3"/>
      <c r="I67" s="3"/>
      <c r="J67" s="3"/>
      <c r="K67" s="3"/>
      <c r="L67" s="3"/>
      <c r="AL67"/>
      <c r="AM67"/>
    </row>
    <row r="68" spans="2:39" x14ac:dyDescent="0.35">
      <c r="B68" t="s">
        <v>13</v>
      </c>
      <c r="F68" s="3"/>
      <c r="G68" s="3" t="s">
        <v>13</v>
      </c>
      <c r="H68" s="3"/>
      <c r="I68" s="3"/>
      <c r="J68" s="3"/>
      <c r="K68" s="3"/>
      <c r="L68" s="3"/>
      <c r="AL68"/>
      <c r="AM68"/>
    </row>
    <row r="69" spans="2:39" x14ac:dyDescent="0.35">
      <c r="B69" t="s">
        <v>13</v>
      </c>
      <c r="E69"/>
      <c r="AL69"/>
      <c r="AM69"/>
    </row>
    <row r="70" spans="2:39" x14ac:dyDescent="0.35">
      <c r="B70" t="s">
        <v>13</v>
      </c>
      <c r="E70"/>
      <c r="AL70"/>
      <c r="AM70"/>
    </row>
    <row r="71" spans="2:39" x14ac:dyDescent="0.35">
      <c r="B71" t="s">
        <v>13</v>
      </c>
      <c r="E71"/>
      <c r="AL71"/>
      <c r="AM71"/>
    </row>
    <row r="72" spans="2:39" x14ac:dyDescent="0.35">
      <c r="B72" t="s">
        <v>13</v>
      </c>
      <c r="E72"/>
      <c r="AL72"/>
      <c r="AM72"/>
    </row>
    <row r="73" spans="2:39" x14ac:dyDescent="0.35">
      <c r="B73" t="s">
        <v>13</v>
      </c>
      <c r="E73"/>
      <c r="AL73"/>
      <c r="AM73"/>
    </row>
    <row r="74" spans="2:39" x14ac:dyDescent="0.35">
      <c r="B74" t="s">
        <v>13</v>
      </c>
      <c r="E74"/>
      <c r="AL74"/>
      <c r="AM74"/>
    </row>
    <row r="75" spans="2:39" x14ac:dyDescent="0.35">
      <c r="B75" t="s">
        <v>13</v>
      </c>
      <c r="E75"/>
      <c r="AL75"/>
      <c r="AM75"/>
    </row>
    <row r="76" spans="2:39" x14ac:dyDescent="0.35">
      <c r="B76" t="s">
        <v>13</v>
      </c>
      <c r="E76"/>
      <c r="AL76"/>
      <c r="AM76"/>
    </row>
    <row r="77" spans="2:39" x14ac:dyDescent="0.35">
      <c r="B77" t="s">
        <v>13</v>
      </c>
      <c r="E77"/>
      <c r="AL77"/>
      <c r="AM77"/>
    </row>
    <row r="78" spans="2:39" x14ac:dyDescent="0.35">
      <c r="B78" t="s">
        <v>13</v>
      </c>
      <c r="E78"/>
      <c r="AL78"/>
      <c r="AM78"/>
    </row>
    <row r="79" spans="2:39" x14ac:dyDescent="0.35">
      <c r="B79" t="s">
        <v>13</v>
      </c>
      <c r="E79"/>
      <c r="AL79"/>
      <c r="AM79"/>
    </row>
    <row r="80" spans="2:39" x14ac:dyDescent="0.35">
      <c r="B80" t="s">
        <v>13</v>
      </c>
      <c r="E80"/>
      <c r="AL80"/>
      <c r="AM80"/>
    </row>
    <row r="81" spans="2:39" x14ac:dyDescent="0.35">
      <c r="B81" t="s">
        <v>13</v>
      </c>
      <c r="E81"/>
      <c r="AL81"/>
      <c r="AM81"/>
    </row>
    <row r="82" spans="2:39" x14ac:dyDescent="0.35">
      <c r="B82" t="s">
        <v>13</v>
      </c>
      <c r="E82"/>
      <c r="AL82"/>
      <c r="AM82"/>
    </row>
    <row r="83" spans="2:39" x14ac:dyDescent="0.35">
      <c r="B83" t="s">
        <v>13</v>
      </c>
      <c r="E83"/>
      <c r="AL83"/>
      <c r="AM83"/>
    </row>
    <row r="84" spans="2:39" x14ac:dyDescent="0.35">
      <c r="B84" t="s">
        <v>13</v>
      </c>
      <c r="E84"/>
      <c r="AL84"/>
      <c r="AM84"/>
    </row>
    <row r="85" spans="2:39" x14ac:dyDescent="0.35">
      <c r="B85" t="s">
        <v>13</v>
      </c>
      <c r="E85"/>
      <c r="AL85"/>
      <c r="AM85"/>
    </row>
    <row r="86" spans="2:39" x14ac:dyDescent="0.35">
      <c r="B86" t="s">
        <v>13</v>
      </c>
      <c r="E86"/>
      <c r="AL86"/>
      <c r="AM86"/>
    </row>
    <row r="87" spans="2:39" x14ac:dyDescent="0.35">
      <c r="B87" t="s">
        <v>13</v>
      </c>
      <c r="E87"/>
      <c r="AL87"/>
      <c r="AM87"/>
    </row>
    <row r="88" spans="2:39" x14ac:dyDescent="0.35">
      <c r="B88" t="s">
        <v>13</v>
      </c>
      <c r="E88"/>
      <c r="AL88"/>
      <c r="AM88"/>
    </row>
    <row r="89" spans="2:39" x14ac:dyDescent="0.35">
      <c r="B89" t="s">
        <v>13</v>
      </c>
      <c r="E89"/>
      <c r="AL89"/>
      <c r="AM89"/>
    </row>
    <row r="90" spans="2:39" x14ac:dyDescent="0.35">
      <c r="B90" t="s">
        <v>13</v>
      </c>
      <c r="E90"/>
      <c r="AL90"/>
      <c r="AM90"/>
    </row>
    <row r="91" spans="2:39" x14ac:dyDescent="0.35">
      <c r="B91" t="s">
        <v>13</v>
      </c>
      <c r="E91"/>
      <c r="AL91"/>
      <c r="AM91"/>
    </row>
    <row r="92" spans="2:39" x14ac:dyDescent="0.35">
      <c r="B92" t="s">
        <v>13</v>
      </c>
      <c r="E92"/>
      <c r="AL92"/>
      <c r="AM92"/>
    </row>
    <row r="93" spans="2:39" x14ac:dyDescent="0.35">
      <c r="B93" t="s">
        <v>13</v>
      </c>
      <c r="E93"/>
      <c r="AL93"/>
      <c r="AM93"/>
    </row>
    <row r="94" spans="2:39" x14ac:dyDescent="0.35">
      <c r="B94" t="s">
        <v>13</v>
      </c>
      <c r="E94"/>
      <c r="AL94"/>
      <c r="AM94"/>
    </row>
    <row r="95" spans="2:39" x14ac:dyDescent="0.35">
      <c r="B95" t="s">
        <v>13</v>
      </c>
      <c r="E95"/>
      <c r="AL95"/>
      <c r="AM95"/>
    </row>
    <row r="96" spans="2:39" x14ac:dyDescent="0.35">
      <c r="B96" t="s">
        <v>13</v>
      </c>
      <c r="E96"/>
      <c r="AL96"/>
      <c r="AM96"/>
    </row>
    <row r="97" spans="2:39" x14ac:dyDescent="0.35">
      <c r="B97" t="s">
        <v>13</v>
      </c>
      <c r="E97"/>
      <c r="AL97"/>
      <c r="AM97"/>
    </row>
    <row r="98" spans="2:39" x14ac:dyDescent="0.35">
      <c r="B98" t="s">
        <v>13</v>
      </c>
      <c r="E98"/>
      <c r="AL98"/>
      <c r="AM98"/>
    </row>
    <row r="99" spans="2:39" x14ac:dyDescent="0.35">
      <c r="B99" t="s">
        <v>13</v>
      </c>
      <c r="E99"/>
      <c r="AL99"/>
      <c r="AM99"/>
    </row>
    <row r="100" spans="2:39" x14ac:dyDescent="0.35">
      <c r="B100" t="s">
        <v>13</v>
      </c>
      <c r="E100"/>
      <c r="AL100"/>
      <c r="AM100"/>
    </row>
    <row r="101" spans="2:39" x14ac:dyDescent="0.35">
      <c r="B101" t="s">
        <v>13</v>
      </c>
      <c r="E101"/>
      <c r="AL101"/>
      <c r="AM101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O101"/>
  <sheetViews>
    <sheetView workbookViewId="0">
      <selection activeCell="G20" sqref="G20"/>
    </sheetView>
  </sheetViews>
  <sheetFormatPr baseColWidth="10" defaultColWidth="11.08984375" defaultRowHeight="14.5" x14ac:dyDescent="0.35"/>
  <cols>
    <col min="1" max="1" width="26.26953125" customWidth="1"/>
    <col min="2" max="3" width="12.81640625" style="3" customWidth="1"/>
    <col min="6" max="6" width="11.1796875" customWidth="1"/>
    <col min="12" max="12" width="11.08984375" customWidth="1"/>
    <col min="13" max="13" width="7.1796875" customWidth="1"/>
    <col min="14" max="14" width="8.6328125" customWidth="1"/>
    <col min="16" max="16" width="12.54296875" customWidth="1"/>
    <col min="17" max="19" width="11.54296875" bestFit="1" customWidth="1"/>
    <col min="20" max="23" width="11.54296875" customWidth="1"/>
    <col min="24" max="28" width="11.54296875" bestFit="1" customWidth="1"/>
    <col min="29" max="30" width="11.90625" bestFit="1" customWidth="1"/>
    <col min="31" max="31" width="9.54296875" customWidth="1"/>
    <col min="32" max="32" width="11.26953125" customWidth="1"/>
    <col min="33" max="34" width="11.54296875" bestFit="1" customWidth="1"/>
  </cols>
  <sheetData>
    <row r="1" spans="1:35" ht="15" thickBot="1" x14ac:dyDescent="0.4">
      <c r="P1" t="s">
        <v>1649</v>
      </c>
    </row>
    <row r="2" spans="1:35" x14ac:dyDescent="0.35">
      <c r="A2" s="226" t="s">
        <v>703</v>
      </c>
      <c r="B2" s="223"/>
      <c r="C2" s="53"/>
      <c r="Q2" s="179">
        <v>44621</v>
      </c>
      <c r="R2" s="179">
        <v>44652</v>
      </c>
      <c r="S2" s="179">
        <v>44682</v>
      </c>
      <c r="T2" s="179"/>
      <c r="U2" s="179"/>
      <c r="V2" s="179"/>
      <c r="W2" s="179"/>
      <c r="X2" s="179">
        <v>44713</v>
      </c>
      <c r="Y2" s="179">
        <v>44743</v>
      </c>
      <c r="Z2" s="179">
        <v>44774</v>
      </c>
      <c r="AA2" s="179">
        <v>44805</v>
      </c>
      <c r="AB2" s="179">
        <v>44835</v>
      </c>
      <c r="AC2" s="179">
        <v>44866</v>
      </c>
      <c r="AD2" s="179">
        <v>44896</v>
      </c>
      <c r="AE2" s="179">
        <v>44927</v>
      </c>
      <c r="AF2" s="179">
        <v>44958</v>
      </c>
      <c r="AG2" s="179">
        <v>44986</v>
      </c>
      <c r="AH2" s="179">
        <v>45017</v>
      </c>
    </row>
    <row r="3" spans="1:35" ht="15" thickBot="1" x14ac:dyDescent="0.4">
      <c r="A3" s="227"/>
      <c r="B3" s="229" t="s">
        <v>671</v>
      </c>
      <c r="C3" s="230" t="s">
        <v>672</v>
      </c>
      <c r="P3" t="s">
        <v>1343</v>
      </c>
    </row>
    <row r="4" spans="1:35" x14ac:dyDescent="0.35">
      <c r="A4" s="136"/>
      <c r="B4" s="228"/>
      <c r="C4" s="212"/>
      <c r="P4" t="s">
        <v>1506</v>
      </c>
      <c r="Q4" t="s">
        <v>13</v>
      </c>
    </row>
    <row r="5" spans="1:35" x14ac:dyDescent="0.35">
      <c r="A5" s="220" t="s">
        <v>673</v>
      </c>
      <c r="B5" s="224">
        <v>40080</v>
      </c>
      <c r="C5" s="15"/>
      <c r="P5" t="s">
        <v>579</v>
      </c>
    </row>
    <row r="6" spans="1:35" x14ac:dyDescent="0.35">
      <c r="A6" s="220" t="s">
        <v>674</v>
      </c>
      <c r="B6" s="224">
        <v>923399</v>
      </c>
      <c r="C6" s="15"/>
    </row>
    <row r="7" spans="1:35" x14ac:dyDescent="0.35">
      <c r="A7" s="220" t="s">
        <v>743</v>
      </c>
      <c r="B7" s="224" t="e">
        <f>Inventarios!K7*690</f>
        <v>#REF!</v>
      </c>
      <c r="C7" s="15"/>
      <c r="P7" s="2" t="s">
        <v>2016</v>
      </c>
    </row>
    <row r="8" spans="1:35" x14ac:dyDescent="0.35">
      <c r="A8" s="220" t="s">
        <v>675</v>
      </c>
      <c r="B8" s="224"/>
      <c r="C8" s="15">
        <v>3108841</v>
      </c>
      <c r="Q8" s="179">
        <v>44621</v>
      </c>
      <c r="R8" s="179">
        <v>44652</v>
      </c>
      <c r="S8" s="179">
        <v>44682</v>
      </c>
      <c r="T8" s="179"/>
      <c r="U8" s="179"/>
      <c r="V8" s="179"/>
      <c r="W8" s="179"/>
      <c r="X8" s="179">
        <v>44713</v>
      </c>
      <c r="Y8" s="179">
        <v>44743</v>
      </c>
      <c r="Z8" s="179">
        <v>44774</v>
      </c>
      <c r="AA8" s="179">
        <v>44805</v>
      </c>
      <c r="AB8" s="179">
        <v>44835</v>
      </c>
      <c r="AC8" s="179">
        <v>44866</v>
      </c>
      <c r="AD8" s="179">
        <v>44896</v>
      </c>
      <c r="AE8" s="179">
        <v>44927</v>
      </c>
      <c r="AF8" s="179">
        <v>44958</v>
      </c>
      <c r="AG8" s="179">
        <v>44986</v>
      </c>
      <c r="AH8" s="179">
        <v>45017</v>
      </c>
      <c r="AI8" s="179">
        <v>45047</v>
      </c>
    </row>
    <row r="9" spans="1:35" x14ac:dyDescent="0.35">
      <c r="A9" s="220" t="s">
        <v>702</v>
      </c>
      <c r="B9" s="224"/>
      <c r="C9" s="15">
        <v>3843734</v>
      </c>
      <c r="E9" s="64" t="s">
        <v>13</v>
      </c>
      <c r="P9" t="s">
        <v>1506</v>
      </c>
      <c r="Q9">
        <v>0</v>
      </c>
      <c r="R9">
        <v>0</v>
      </c>
      <c r="S9">
        <v>0</v>
      </c>
      <c r="X9">
        <v>0</v>
      </c>
      <c r="Y9">
        <v>0</v>
      </c>
      <c r="Z9">
        <v>0</v>
      </c>
      <c r="AA9">
        <f>+[3]Hoja1!$N$45</f>
        <v>20</v>
      </c>
      <c r="AB9">
        <f>+[3]Hoja1!$N$48</f>
        <v>0</v>
      </c>
      <c r="AC9" t="e">
        <f>+[3]Hoja1!#REF!</f>
        <v>#REF!</v>
      </c>
      <c r="AD9" t="e">
        <f>+[3]Hoja1!#REF!</f>
        <v>#REF!</v>
      </c>
      <c r="AE9" t="e">
        <f>+[3]Hoja1!#REF!</f>
        <v>#REF!</v>
      </c>
      <c r="AF9" t="e">
        <f>+[3]Hoja1!#REF!</f>
        <v>#REF!</v>
      </c>
      <c r="AG9" t="e">
        <f>+[3]Hoja1!#REF!</f>
        <v>#REF!</v>
      </c>
      <c r="AH9" t="e">
        <f>+[3]Hoja1!#REF!</f>
        <v>#REF!</v>
      </c>
      <c r="AI9" t="e">
        <f>+[3]Hoja1!#REF!</f>
        <v>#REF!</v>
      </c>
    </row>
    <row r="10" spans="1:35" x14ac:dyDescent="0.35">
      <c r="A10" s="220" t="s">
        <v>696</v>
      </c>
      <c r="B10" s="224"/>
      <c r="C10" s="15">
        <f>21185*22</f>
        <v>466070</v>
      </c>
      <c r="E10" t="s">
        <v>13</v>
      </c>
      <c r="P10" t="s">
        <v>2018</v>
      </c>
      <c r="Q10">
        <v>0</v>
      </c>
      <c r="R10">
        <v>0</v>
      </c>
      <c r="S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1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</row>
    <row r="11" spans="1:35" x14ac:dyDescent="0.35">
      <c r="A11" s="220" t="s">
        <v>676</v>
      </c>
      <c r="B11" s="224" t="e">
        <f>690*Inventarios!K6</f>
        <v>#REF!</v>
      </c>
      <c r="C11" s="15"/>
      <c r="P11" t="s">
        <v>2019</v>
      </c>
      <c r="AA11">
        <f>+AA9/AA10</f>
        <v>20</v>
      </c>
      <c r="AB11">
        <f t="shared" ref="AB11:AI11" si="0">+AB9/AB10</f>
        <v>0</v>
      </c>
      <c r="AC11" t="e">
        <f t="shared" si="0"/>
        <v>#REF!</v>
      </c>
      <c r="AD11" t="e">
        <f t="shared" si="0"/>
        <v>#REF!</v>
      </c>
      <c r="AE11" t="e">
        <f t="shared" si="0"/>
        <v>#REF!</v>
      </c>
      <c r="AF11" t="e">
        <f t="shared" si="0"/>
        <v>#REF!</v>
      </c>
      <c r="AG11" t="e">
        <f t="shared" si="0"/>
        <v>#REF!</v>
      </c>
      <c r="AH11" t="e">
        <f t="shared" si="0"/>
        <v>#REF!</v>
      </c>
      <c r="AI11" t="e">
        <f t="shared" si="0"/>
        <v>#REF!</v>
      </c>
    </row>
    <row r="12" spans="1:35" x14ac:dyDescent="0.35">
      <c r="A12" s="220"/>
      <c r="B12" s="224"/>
      <c r="C12" s="15"/>
    </row>
    <row r="13" spans="1:35" x14ac:dyDescent="0.35">
      <c r="A13" s="220" t="s">
        <v>253</v>
      </c>
      <c r="B13" s="224">
        <f>+'Valor Equipos'!K56</f>
        <v>5664175.9663865538</v>
      </c>
      <c r="C13" s="15"/>
      <c r="P13" t="s">
        <v>13</v>
      </c>
      <c r="Q13" t="s">
        <v>13</v>
      </c>
      <c r="X13" t="s">
        <v>13</v>
      </c>
    </row>
    <row r="14" spans="1:35" ht="15" thickBot="1" x14ac:dyDescent="0.4">
      <c r="A14" s="227"/>
      <c r="B14" s="225"/>
      <c r="C14" s="222"/>
    </row>
    <row r="15" spans="1:35" ht="15" thickBot="1" x14ac:dyDescent="0.4">
      <c r="A15" s="234" t="s">
        <v>704</v>
      </c>
      <c r="B15" s="90" t="e">
        <f>SUM(B5:B14)</f>
        <v>#REF!</v>
      </c>
      <c r="C15" s="231">
        <f>SUM(C5:C14)</f>
        <v>7418645</v>
      </c>
    </row>
    <row r="16" spans="1:35" ht="15" thickBot="1" x14ac:dyDescent="0.4">
      <c r="A16" s="233" t="s">
        <v>255</v>
      </c>
      <c r="B16" s="90" t="e">
        <f>+B15-C15</f>
        <v>#REF!</v>
      </c>
      <c r="C16" s="232"/>
    </row>
    <row r="18" spans="1:38" x14ac:dyDescent="0.35">
      <c r="A18" t="s">
        <v>677</v>
      </c>
      <c r="B18" s="3" t="s">
        <v>678</v>
      </c>
      <c r="C18" s="3">
        <f>1345370*1.19</f>
        <v>1600990.2999999998</v>
      </c>
      <c r="D18">
        <v>22584</v>
      </c>
      <c r="E18" s="168">
        <v>43754</v>
      </c>
    </row>
    <row r="19" spans="1:38" ht="15" thickBot="1" x14ac:dyDescent="0.4"/>
    <row r="20" spans="1:38" x14ac:dyDescent="0.35">
      <c r="A20" s="226" t="s">
        <v>703</v>
      </c>
      <c r="B20" s="223"/>
      <c r="C20" s="53"/>
    </row>
    <row r="21" spans="1:38" ht="15" thickBot="1" x14ac:dyDescent="0.4">
      <c r="A21" s="227"/>
      <c r="B21" s="229" t="s">
        <v>671</v>
      </c>
      <c r="C21" s="230" t="s">
        <v>672</v>
      </c>
    </row>
    <row r="22" spans="1:38" x14ac:dyDescent="0.35">
      <c r="A22" s="219"/>
      <c r="B22" s="228"/>
      <c r="C22" s="212"/>
    </row>
    <row r="23" spans="1:38" x14ac:dyDescent="0.35">
      <c r="A23" s="220" t="s">
        <v>673</v>
      </c>
      <c r="B23" s="224">
        <v>805193</v>
      </c>
      <c r="C23" s="15"/>
    </row>
    <row r="24" spans="1:38" x14ac:dyDescent="0.35">
      <c r="A24" s="220" t="s">
        <v>674</v>
      </c>
      <c r="B24" s="224">
        <v>923399</v>
      </c>
      <c r="C24" s="15"/>
    </row>
    <row r="25" spans="1:38" x14ac:dyDescent="0.35">
      <c r="A25" s="220" t="s">
        <v>743</v>
      </c>
      <c r="B25" s="224">
        <f>Inventarios!K27*690</f>
        <v>0</v>
      </c>
      <c r="C25" s="15"/>
    </row>
    <row r="26" spans="1:38" x14ac:dyDescent="0.35">
      <c r="A26" s="220" t="s">
        <v>675</v>
      </c>
      <c r="B26" s="224"/>
      <c r="C26" s="15">
        <v>470366</v>
      </c>
    </row>
    <row r="27" spans="1:38" x14ac:dyDescent="0.35">
      <c r="A27" s="220" t="s">
        <v>702</v>
      </c>
      <c r="B27" s="224"/>
      <c r="C27" s="15">
        <v>3843734</v>
      </c>
      <c r="G27" t="s">
        <v>13</v>
      </c>
    </row>
    <row r="28" spans="1:38" x14ac:dyDescent="0.35">
      <c r="A28" s="220" t="s">
        <v>696</v>
      </c>
      <c r="B28" s="224"/>
      <c r="C28" s="15">
        <v>411913</v>
      </c>
      <c r="G28" t="s">
        <v>13</v>
      </c>
      <c r="P28" s="2" t="s">
        <v>1507</v>
      </c>
    </row>
    <row r="29" spans="1:38" x14ac:dyDescent="0.35">
      <c r="A29" s="220" t="s">
        <v>880</v>
      </c>
      <c r="B29" s="224"/>
      <c r="C29" s="15">
        <v>3000000</v>
      </c>
      <c r="G29" t="s">
        <v>13</v>
      </c>
      <c r="Q29" s="179">
        <v>44621</v>
      </c>
      <c r="R29" s="179">
        <v>44652</v>
      </c>
      <c r="S29" s="179">
        <v>44682</v>
      </c>
      <c r="T29" s="179"/>
      <c r="U29" s="179"/>
      <c r="V29" s="179"/>
      <c r="W29" s="179"/>
      <c r="X29" s="179">
        <v>44713</v>
      </c>
      <c r="Y29" s="179">
        <v>44743</v>
      </c>
      <c r="Z29" s="179">
        <v>44774</v>
      </c>
      <c r="AA29" s="179">
        <v>44805</v>
      </c>
      <c r="AB29" s="179">
        <v>44835</v>
      </c>
      <c r="AC29" s="179">
        <v>44866</v>
      </c>
      <c r="AD29" s="179">
        <v>44896</v>
      </c>
      <c r="AE29" s="179">
        <v>44927</v>
      </c>
      <c r="AF29" s="179">
        <v>44958</v>
      </c>
      <c r="AG29" s="179">
        <v>44986</v>
      </c>
      <c r="AH29" s="179">
        <v>45017</v>
      </c>
      <c r="AI29" s="179">
        <v>45047</v>
      </c>
      <c r="AJ29" s="179">
        <v>45078</v>
      </c>
      <c r="AK29" s="179">
        <v>45108</v>
      </c>
      <c r="AL29" s="179">
        <v>45139</v>
      </c>
    </row>
    <row r="30" spans="1:38" x14ac:dyDescent="0.35">
      <c r="A30" s="220" t="s">
        <v>676</v>
      </c>
      <c r="B30" s="224" t="e">
        <f>690*Inventarios!K8</f>
        <v>#REF!</v>
      </c>
      <c r="C30" s="15"/>
      <c r="E30" t="s">
        <v>13</v>
      </c>
      <c r="P30" t="s">
        <v>1343</v>
      </c>
      <c r="Q30" s="64" t="e">
        <f>+#REF!</f>
        <v>#REF!</v>
      </c>
      <c r="R30" s="64" t="e">
        <f>+#REF!</f>
        <v>#REF!</v>
      </c>
      <c r="S30" s="64" t="e">
        <f>+#REF!</f>
        <v>#REF!</v>
      </c>
      <c r="T30" s="64"/>
      <c r="U30" s="64"/>
      <c r="V30" s="64"/>
      <c r="W30" s="64"/>
      <c r="X30" s="64" t="e">
        <f>+#REF!</f>
        <v>#REF!</v>
      </c>
      <c r="Y30" s="64" t="e">
        <f>+#REF!</f>
        <v>#REF!</v>
      </c>
      <c r="Z30" s="64" t="e">
        <f>+#REF!</f>
        <v>#REF!</v>
      </c>
      <c r="AA30" s="64" t="e">
        <f>+#REF!</f>
        <v>#REF!</v>
      </c>
      <c r="AB30" s="64" t="e">
        <f>+#REF!</f>
        <v>#REF!</v>
      </c>
      <c r="AC30" s="64" t="e">
        <f>+#REF!</f>
        <v>#REF!</v>
      </c>
      <c r="AD30" s="64" t="e">
        <f>+#REF!</f>
        <v>#REF!</v>
      </c>
      <c r="AE30" s="64" t="e">
        <f>+#REF!</f>
        <v>#REF!</v>
      </c>
      <c r="AF30" s="64" t="e">
        <f>+#REF!</f>
        <v>#REF!</v>
      </c>
      <c r="AG30" s="64" t="e">
        <f>+#REF!</f>
        <v>#REF!</v>
      </c>
      <c r="AH30" s="64" t="e">
        <f>+#REF!</f>
        <v>#REF!</v>
      </c>
      <c r="AI30" s="64" t="e">
        <f>+#REF!</f>
        <v>#REF!</v>
      </c>
      <c r="AJ30" s="64" t="e">
        <f>+#REF!</f>
        <v>#REF!</v>
      </c>
      <c r="AK30" s="64" t="e">
        <f>+#REF!</f>
        <v>#REF!</v>
      </c>
      <c r="AL30" s="64" t="e">
        <f>+#REF!</f>
        <v>#REF!</v>
      </c>
    </row>
    <row r="31" spans="1:38" x14ac:dyDescent="0.35">
      <c r="A31" s="220" t="s">
        <v>253</v>
      </c>
      <c r="B31" s="224">
        <f>+'Valor Equipos'!K84</f>
        <v>69954</v>
      </c>
      <c r="C31" s="15"/>
      <c r="E31" t="s">
        <v>13</v>
      </c>
      <c r="P31" t="s">
        <v>1506</v>
      </c>
      <c r="Q31">
        <v>0</v>
      </c>
      <c r="R31">
        <v>0</v>
      </c>
      <c r="S31">
        <v>0</v>
      </c>
      <c r="X31">
        <v>0</v>
      </c>
      <c r="Y31">
        <v>0</v>
      </c>
      <c r="Z31">
        <v>0</v>
      </c>
      <c r="AA31">
        <f>+[3]Hoja1!$M$45</f>
        <v>250</v>
      </c>
      <c r="AB31" t="str">
        <f>+[3]Hoja1!$M$48</f>
        <v xml:space="preserve"> </v>
      </c>
      <c r="AC31" t="e">
        <f>+[3]Hoja1!#REF!</f>
        <v>#REF!</v>
      </c>
      <c r="AD31" t="e">
        <f>+[3]Hoja1!#REF!</f>
        <v>#REF!</v>
      </c>
      <c r="AE31" t="e">
        <f>+[3]Hoja1!#REF!</f>
        <v>#REF!</v>
      </c>
      <c r="AF31" t="e">
        <f>+[3]Hoja1!#REF!</f>
        <v>#REF!</v>
      </c>
      <c r="AG31" t="e">
        <f>+[3]Hoja1!#REF!</f>
        <v>#REF!</v>
      </c>
      <c r="AH31" t="e">
        <f>+[3]Hoja1!#REF!</f>
        <v>#REF!</v>
      </c>
      <c r="AI31" t="e">
        <f>+[3]Hoja1!#REF!</f>
        <v>#REF!</v>
      </c>
      <c r="AJ31" t="e">
        <f>+[3]Hoja1!#REF!</f>
        <v>#REF!</v>
      </c>
      <c r="AK31" t="e">
        <f>+[3]Hoja1!#REF!</f>
        <v>#REF!</v>
      </c>
      <c r="AL31" t="e">
        <f>+[3]Hoja1!#REF!</f>
        <v>#REF!</v>
      </c>
    </row>
    <row r="32" spans="1:38" ht="15" thickBot="1" x14ac:dyDescent="0.4">
      <c r="A32" s="227"/>
      <c r="B32" s="225"/>
      <c r="C32" s="222"/>
      <c r="P32" t="s">
        <v>579</v>
      </c>
      <c r="Q32" s="64" t="e">
        <f>SUM(Q30:Q31)</f>
        <v>#REF!</v>
      </c>
      <c r="R32" s="64" t="e">
        <f t="shared" ref="R32:AD32" si="1">SUM(R30:R31)</f>
        <v>#REF!</v>
      </c>
      <c r="S32" s="64" t="e">
        <f t="shared" si="1"/>
        <v>#REF!</v>
      </c>
      <c r="T32" s="64"/>
      <c r="U32" s="64"/>
      <c r="V32" s="64"/>
      <c r="W32" s="64"/>
      <c r="X32" s="64" t="e">
        <f t="shared" si="1"/>
        <v>#REF!</v>
      </c>
      <c r="Y32" s="64" t="e">
        <f t="shared" si="1"/>
        <v>#REF!</v>
      </c>
      <c r="Z32" s="64" t="e">
        <f t="shared" si="1"/>
        <v>#REF!</v>
      </c>
      <c r="AA32" s="64" t="e">
        <f t="shared" si="1"/>
        <v>#REF!</v>
      </c>
      <c r="AB32" s="64" t="e">
        <f t="shared" si="1"/>
        <v>#REF!</v>
      </c>
      <c r="AC32" s="64" t="e">
        <f t="shared" si="1"/>
        <v>#REF!</v>
      </c>
      <c r="AD32" s="64" t="e">
        <f t="shared" si="1"/>
        <v>#REF!</v>
      </c>
      <c r="AE32" s="64" t="e">
        <f t="shared" ref="AE32:AL32" si="2">SUM(AE30:AE31)</f>
        <v>#REF!</v>
      </c>
      <c r="AF32" s="64" t="e">
        <f t="shared" si="2"/>
        <v>#REF!</v>
      </c>
      <c r="AG32" s="64" t="e">
        <f t="shared" si="2"/>
        <v>#REF!</v>
      </c>
      <c r="AH32" s="64" t="e">
        <f t="shared" si="2"/>
        <v>#REF!</v>
      </c>
      <c r="AI32" s="64" t="e">
        <f t="shared" si="2"/>
        <v>#REF!</v>
      </c>
      <c r="AJ32" s="64" t="e">
        <f t="shared" si="2"/>
        <v>#REF!</v>
      </c>
      <c r="AK32" s="64" t="e">
        <f t="shared" si="2"/>
        <v>#REF!</v>
      </c>
      <c r="AL32" s="64" t="e">
        <f t="shared" si="2"/>
        <v>#REF!</v>
      </c>
    </row>
    <row r="33" spans="1:37" ht="15" thickBot="1" x14ac:dyDescent="0.4">
      <c r="A33" s="234" t="s">
        <v>704</v>
      </c>
      <c r="B33" s="90" t="e">
        <f>SUM(B23:B32)</f>
        <v>#REF!</v>
      </c>
      <c r="C33" s="231">
        <f>SUM(C23:C32)</f>
        <v>7726013</v>
      </c>
      <c r="P33" t="s">
        <v>2017</v>
      </c>
      <c r="Q33">
        <v>5</v>
      </c>
      <c r="R33">
        <v>5</v>
      </c>
      <c r="S33">
        <v>5</v>
      </c>
      <c r="X33">
        <v>5</v>
      </c>
      <c r="Y33">
        <v>5</v>
      </c>
      <c r="Z33">
        <v>5</v>
      </c>
      <c r="AA33">
        <v>6</v>
      </c>
      <c r="AB33">
        <v>6</v>
      </c>
      <c r="AC33">
        <v>6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6</v>
      </c>
      <c r="AK33">
        <v>6</v>
      </c>
    </row>
    <row r="34" spans="1:37" ht="15" thickBot="1" x14ac:dyDescent="0.4">
      <c r="A34" s="233" t="s">
        <v>255</v>
      </c>
      <c r="B34" s="90" t="e">
        <f>+B33-C33</f>
        <v>#REF!</v>
      </c>
      <c r="C34" s="232"/>
      <c r="P34" t="s">
        <v>2019</v>
      </c>
      <c r="Q34" s="64" t="e">
        <f>+Q32/Q33</f>
        <v>#REF!</v>
      </c>
      <c r="R34" s="64" t="e">
        <f t="shared" ref="R34:AK34" si="3">+R32/R33</f>
        <v>#REF!</v>
      </c>
      <c r="S34" s="64" t="e">
        <f t="shared" si="3"/>
        <v>#REF!</v>
      </c>
      <c r="T34" s="64"/>
      <c r="U34" s="64"/>
      <c r="V34" s="64"/>
      <c r="W34" s="64"/>
      <c r="X34" s="64" t="e">
        <f t="shared" si="3"/>
        <v>#REF!</v>
      </c>
      <c r="Y34" s="64" t="e">
        <f t="shared" si="3"/>
        <v>#REF!</v>
      </c>
      <c r="Z34" s="64" t="e">
        <f t="shared" si="3"/>
        <v>#REF!</v>
      </c>
      <c r="AA34" s="64" t="e">
        <f t="shared" si="3"/>
        <v>#REF!</v>
      </c>
      <c r="AB34" s="64" t="e">
        <f t="shared" si="3"/>
        <v>#REF!</v>
      </c>
      <c r="AC34" s="64" t="e">
        <f t="shared" si="3"/>
        <v>#REF!</v>
      </c>
      <c r="AD34" s="64" t="e">
        <f t="shared" si="3"/>
        <v>#REF!</v>
      </c>
      <c r="AE34" s="64" t="e">
        <f t="shared" si="3"/>
        <v>#REF!</v>
      </c>
      <c r="AF34" s="64" t="e">
        <f t="shared" si="3"/>
        <v>#REF!</v>
      </c>
      <c r="AG34" s="64" t="e">
        <f t="shared" si="3"/>
        <v>#REF!</v>
      </c>
      <c r="AH34" s="64" t="e">
        <f t="shared" si="3"/>
        <v>#REF!</v>
      </c>
      <c r="AI34" s="64" t="e">
        <f t="shared" si="3"/>
        <v>#REF!</v>
      </c>
      <c r="AJ34" s="64" t="e">
        <f t="shared" si="3"/>
        <v>#REF!</v>
      </c>
      <c r="AK34" s="64" t="e">
        <f t="shared" si="3"/>
        <v>#REF!</v>
      </c>
    </row>
    <row r="35" spans="1:37" ht="15" thickBot="1" x14ac:dyDescent="0.4"/>
    <row r="36" spans="1:37" x14ac:dyDescent="0.35">
      <c r="A36" s="226" t="s">
        <v>899</v>
      </c>
      <c r="B36" s="223"/>
      <c r="C36" s="53"/>
    </row>
    <row r="37" spans="1:37" ht="15" thickBot="1" x14ac:dyDescent="0.4">
      <c r="A37" s="227"/>
      <c r="B37" s="229" t="s">
        <v>671</v>
      </c>
      <c r="C37" s="230" t="s">
        <v>672</v>
      </c>
    </row>
    <row r="38" spans="1:37" x14ac:dyDescent="0.35">
      <c r="A38" s="219"/>
      <c r="B38" s="228"/>
      <c r="C38" s="212"/>
    </row>
    <row r="39" spans="1:37" x14ac:dyDescent="0.35">
      <c r="A39" s="220" t="s">
        <v>673</v>
      </c>
      <c r="B39" s="224">
        <v>805193</v>
      </c>
      <c r="C39" s="15"/>
    </row>
    <row r="40" spans="1:37" x14ac:dyDescent="0.35">
      <c r="A40" s="220" t="s">
        <v>674</v>
      </c>
      <c r="B40" s="224">
        <f>SUM('MAR-22'!D5:D18)</f>
        <v>1193331.7379000001</v>
      </c>
      <c r="C40" s="15"/>
    </row>
    <row r="41" spans="1:37" x14ac:dyDescent="0.35">
      <c r="A41" s="220" t="s">
        <v>743</v>
      </c>
      <c r="B41" s="224">
        <f>Inventarios!K40*690</f>
        <v>0</v>
      </c>
      <c r="C41" s="15"/>
    </row>
    <row r="42" spans="1:37" x14ac:dyDescent="0.35">
      <c r="A42" s="220" t="s">
        <v>675</v>
      </c>
      <c r="B42" s="224"/>
      <c r="C42" s="15">
        <v>470366</v>
      </c>
      <c r="F42" s="15">
        <f>200*31600</f>
        <v>6320000</v>
      </c>
    </row>
    <row r="43" spans="1:37" x14ac:dyDescent="0.35">
      <c r="A43" s="220" t="s">
        <v>702</v>
      </c>
      <c r="B43" s="224"/>
      <c r="C43" s="15">
        <f ca="1">+SUM('MAR-22'!D33:D40)</f>
        <v>3415768.7333333329</v>
      </c>
    </row>
    <row r="44" spans="1:37" x14ac:dyDescent="0.35">
      <c r="A44" s="220" t="s">
        <v>696</v>
      </c>
      <c r="B44" s="224"/>
      <c r="C44" s="15">
        <v>411913</v>
      </c>
    </row>
    <row r="45" spans="1:37" x14ac:dyDescent="0.35">
      <c r="A45" s="220" t="s">
        <v>880</v>
      </c>
      <c r="B45" s="224"/>
      <c r="C45" s="15">
        <v>3000000</v>
      </c>
      <c r="F45" s="272">
        <f>3000000/(31600*3)</f>
        <v>31.645569620253166</v>
      </c>
      <c r="G45" t="s">
        <v>901</v>
      </c>
    </row>
    <row r="46" spans="1:37" x14ac:dyDescent="0.35">
      <c r="A46" s="220" t="s">
        <v>881</v>
      </c>
      <c r="B46" s="224"/>
      <c r="C46" s="15">
        <f>+SUM('MAR-22'!D44:D46)+SUM('MAR-22'!D55:D56)+SUM('MAR-22'!D61:D62)</f>
        <v>559302</v>
      </c>
    </row>
    <row r="47" spans="1:37" x14ac:dyDescent="0.35">
      <c r="A47" s="220" t="s">
        <v>743</v>
      </c>
      <c r="B47" s="224" t="e">
        <f>+Inventarios!K8</f>
        <v>#REF!</v>
      </c>
      <c r="C47" s="15"/>
    </row>
    <row r="48" spans="1:37" x14ac:dyDescent="0.35">
      <c r="A48" s="220" t="s">
        <v>253</v>
      </c>
      <c r="B48" s="224">
        <f>+'Valor Equipos'!K56</f>
        <v>5664175.9663865538</v>
      </c>
      <c r="C48" s="15"/>
      <c r="AC48" s="3"/>
      <c r="AI48">
        <f>837143-586000</f>
        <v>251143</v>
      </c>
    </row>
    <row r="49" spans="1:41" ht="15" thickBot="1" x14ac:dyDescent="0.4">
      <c r="A49" s="265"/>
      <c r="B49" s="225"/>
      <c r="C49" s="222"/>
      <c r="AC49" s="3"/>
    </row>
    <row r="50" spans="1:41" x14ac:dyDescent="0.35">
      <c r="A50" s="266" t="s">
        <v>704</v>
      </c>
      <c r="B50" s="223" t="e">
        <f>SUM(B39:B49)</f>
        <v>#REF!</v>
      </c>
      <c r="C50" s="53">
        <f ca="1">SUM(C39:C49)</f>
        <v>7857349.7333333325</v>
      </c>
      <c r="AC50" s="3"/>
    </row>
    <row r="51" spans="1:41" ht="15" thickBot="1" x14ac:dyDescent="0.4">
      <c r="A51" s="267" t="s">
        <v>255</v>
      </c>
      <c r="B51" s="268">
        <f ca="1">+B50-C50</f>
        <v>-194649.02904677857</v>
      </c>
      <c r="C51" s="19"/>
      <c r="AC51" s="3"/>
    </row>
    <row r="52" spans="1:41" ht="15" thickBot="1" x14ac:dyDescent="0.4">
      <c r="A52" s="269" t="s">
        <v>900</v>
      </c>
      <c r="B52" s="270"/>
      <c r="C52" s="271">
        <f ca="1">+SUM(B39:B40)-SUM(C42:C46)</f>
        <v>-5858824.9954333324</v>
      </c>
      <c r="AC52" s="3"/>
    </row>
    <row r="53" spans="1:41" ht="24" thickBot="1" x14ac:dyDescent="0.6">
      <c r="L53" s="414" t="s">
        <v>1562</v>
      </c>
      <c r="M53" s="415"/>
      <c r="N53" s="415"/>
      <c r="O53" s="415"/>
      <c r="P53" s="415"/>
      <c r="Q53" s="415"/>
      <c r="R53" s="415"/>
      <c r="S53" s="415"/>
      <c r="T53" s="415"/>
      <c r="U53" s="415"/>
      <c r="V53" s="415"/>
      <c r="W53" s="415"/>
      <c r="X53" s="415"/>
      <c r="Y53" s="415"/>
      <c r="Z53" s="416"/>
      <c r="AD53" s="3" t="s">
        <v>13</v>
      </c>
      <c r="AE53" s="3" t="s">
        <v>13</v>
      </c>
      <c r="AL53" t="s">
        <v>13</v>
      </c>
    </row>
    <row r="54" spans="1:41" x14ac:dyDescent="0.35">
      <c r="A54" s="27" t="s">
        <v>814</v>
      </c>
      <c r="B54" s="3">
        <f ca="1">+B51*0.333333333333333</f>
        <v>-64883.009682259457</v>
      </c>
      <c r="AC54" t="s">
        <v>13</v>
      </c>
    </row>
    <row r="55" spans="1:41" x14ac:dyDescent="0.35">
      <c r="A55" s="27" t="s">
        <v>815</v>
      </c>
      <c r="B55" s="3">
        <f ca="1">+B51-B54</f>
        <v>-129766.0193645191</v>
      </c>
      <c r="AC55" s="3" t="s">
        <v>13</v>
      </c>
    </row>
    <row r="56" spans="1:41" ht="15" thickBot="1" x14ac:dyDescent="0.4">
      <c r="F56" s="179">
        <v>44652</v>
      </c>
      <c r="G56" s="179">
        <v>44682</v>
      </c>
      <c r="H56" s="179">
        <v>44713</v>
      </c>
      <c r="I56" s="179">
        <v>44743</v>
      </c>
      <c r="J56" s="179">
        <v>44774</v>
      </c>
      <c r="K56" s="179">
        <v>44805</v>
      </c>
      <c r="L56" s="179">
        <v>44835</v>
      </c>
      <c r="M56" s="179">
        <v>44866</v>
      </c>
      <c r="N56" s="179">
        <v>44896</v>
      </c>
      <c r="O56" s="179">
        <v>44927</v>
      </c>
      <c r="P56" s="179">
        <v>44958</v>
      </c>
      <c r="Q56" s="179">
        <v>44986</v>
      </c>
      <c r="R56" s="179">
        <v>45017</v>
      </c>
      <c r="S56" s="179">
        <v>45047</v>
      </c>
      <c r="T56" s="179">
        <v>45078</v>
      </c>
      <c r="U56" s="179">
        <v>45108</v>
      </c>
      <c r="V56" s="179">
        <v>45139</v>
      </c>
      <c r="W56" s="179"/>
      <c r="X56" s="179">
        <v>44621</v>
      </c>
      <c r="Y56" s="179">
        <v>44652</v>
      </c>
      <c r="Z56" s="179">
        <v>44682</v>
      </c>
      <c r="AA56" s="179">
        <v>44713</v>
      </c>
      <c r="AB56" s="179">
        <v>44743</v>
      </c>
      <c r="AC56" s="179">
        <v>44774</v>
      </c>
      <c r="AD56" s="179">
        <v>44805</v>
      </c>
      <c r="AE56" s="179">
        <v>44835</v>
      </c>
      <c r="AF56" s="179">
        <v>44866</v>
      </c>
      <c r="AG56" s="179">
        <v>44896</v>
      </c>
      <c r="AH56" s="179">
        <v>44927</v>
      </c>
      <c r="AI56" s="179">
        <v>44958</v>
      </c>
      <c r="AJ56" s="179">
        <v>44986</v>
      </c>
      <c r="AK56" s="179">
        <v>45017</v>
      </c>
      <c r="AL56" s="179">
        <v>45047</v>
      </c>
      <c r="AM56" s="179">
        <v>45078</v>
      </c>
      <c r="AN56" s="179">
        <v>45108</v>
      </c>
      <c r="AO56" s="179">
        <v>45139</v>
      </c>
    </row>
    <row r="57" spans="1:41" x14ac:dyDescent="0.35">
      <c r="A57" s="226" t="s">
        <v>967</v>
      </c>
      <c r="B57" s="223"/>
      <c r="C57" s="53"/>
      <c r="E57" s="6" t="s">
        <v>1153</v>
      </c>
      <c r="F57" s="3">
        <f>+'ABR-22'!AK26/1000</f>
        <v>681.41</v>
      </c>
      <c r="G57" s="3">
        <f>+('May-22'!AK31-'May-22'!AK26)/1000</f>
        <v>761.928</v>
      </c>
      <c r="H57" s="3">
        <f>+'Jun-22'!AK28/1000</f>
        <v>997.42600000000004</v>
      </c>
      <c r="I57" s="3">
        <f>+'Jul-22'!AK27/1000</f>
        <v>1387.021</v>
      </c>
      <c r="J57" s="3">
        <f>+'Ago-22'!AK24/1000</f>
        <v>1127.886</v>
      </c>
      <c r="K57" s="3">
        <f>+'Sep-22'!AK29/1000</f>
        <v>707.83299999999997</v>
      </c>
      <c r="L57" s="3">
        <f>+'Oct-22'!AK44/1000</f>
        <v>2504.4459999999999</v>
      </c>
      <c r="M57" s="3">
        <f>+'Nov-22'!AK40/1000</f>
        <v>2166.61564</v>
      </c>
      <c r="N57" s="3">
        <f>+'Dic-22'!AK56/1000</f>
        <v>2747.2669999999998</v>
      </c>
      <c r="O57" s="3">
        <f>+'Ene-23'!AK52/1000</f>
        <v>2771.0439999999999</v>
      </c>
      <c r="P57" s="3">
        <f>+'Feb-23'!AK56/1000</f>
        <v>3672.2008344000001</v>
      </c>
      <c r="Q57" s="3">
        <f>+'Mar-23'!AK59/1000</f>
        <v>2865.8531400000002</v>
      </c>
      <c r="R57" s="3">
        <f>+'Abr-23'!AK54/1000</f>
        <v>2419</v>
      </c>
      <c r="S57" s="3">
        <f>+'May-23'!AK42/1000</f>
        <v>2648.6289131578947</v>
      </c>
      <c r="T57" s="3">
        <f>+'Jun-23'!AK34/1000</f>
        <v>562.29</v>
      </c>
      <c r="U57" s="3">
        <f>+'Jul-23'!AK48/1000</f>
        <v>2389.6294500000004</v>
      </c>
      <c r="V57" s="3">
        <f>+'Ago-23'!AK36/1000</f>
        <v>1590.442</v>
      </c>
      <c r="W57" s="3"/>
      <c r="X57" s="3">
        <f>+SUM('MAR-22'!D18:D23)/1000</f>
        <v>513.85199999999998</v>
      </c>
      <c r="Y57" s="3">
        <f>+SUM('ABR-22'!D12:D21)/1000</f>
        <v>797.31299999999999</v>
      </c>
      <c r="Z57" s="3">
        <f>+SUM('May-22'!D15:D25)/1000</f>
        <v>860.48099999999999</v>
      </c>
      <c r="AA57" s="3">
        <f>+SUM('Jun-22'!D14:D22)/1000</f>
        <v>812.11099999999999</v>
      </c>
      <c r="AB57" s="3">
        <f>+SUM('Jul-22'!D13:D24)/1000</f>
        <v>1039.27</v>
      </c>
      <c r="AC57" s="3">
        <f>+SUM('Ago-22'!D11:D24)/1000</f>
        <v>1067.702</v>
      </c>
      <c r="AD57" s="3">
        <f>+SUM('Sep-22'!D11:D28)/1000</f>
        <v>1460.355</v>
      </c>
      <c r="AE57" s="3">
        <f>+SUM('Oct-22'!D19:D41)/1000</f>
        <v>2419.0156400000001</v>
      </c>
      <c r="AF57" s="3">
        <f>+(SUM('Nov-22'!D19:D36)-'Nov-22'!D23)/1000</f>
        <v>1668.405</v>
      </c>
      <c r="AG57" s="3">
        <f>+SUM('Dic-22'!D13:D55)/1000</f>
        <v>3804.9989999999998</v>
      </c>
      <c r="AH57" s="3">
        <f>+SUM('Ene-23'!D20:D51)/1000</f>
        <v>4211.7560000000003</v>
      </c>
      <c r="AI57" s="3">
        <f>+SUM('Feb-23'!D22:D55)/1000</f>
        <v>3906.6718344000001</v>
      </c>
      <c r="AJ57" s="3">
        <f>+SUM('Mar-23'!D30:D57)/1000</f>
        <v>2467.9091400000002</v>
      </c>
      <c r="AK57" s="3">
        <f>+SUM('Abr-23'!D33:D51)/1000</f>
        <v>1636.6803131578947</v>
      </c>
      <c r="AL57" s="3">
        <f>+SUM('May-23'!D22:D37)/1000</f>
        <v>1224.644</v>
      </c>
      <c r="AM57" s="3">
        <f>+SUM('Jun-23'!D8:D31)/1000</f>
        <v>1916.80045</v>
      </c>
      <c r="AN57" s="3">
        <f>+SUM('Jul-23'!D24:D42)/1000</f>
        <v>1499.2529999999999</v>
      </c>
      <c r="AO57" s="3">
        <f>+SUM('Ago-23'!D13:D32)/1000</f>
        <v>1457.921</v>
      </c>
    </row>
    <row r="58" spans="1:41" x14ac:dyDescent="0.35">
      <c r="A58" s="332"/>
      <c r="B58" s="333"/>
      <c r="C58" s="334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t="s">
        <v>1591</v>
      </c>
      <c r="X58" s="3">
        <f>+X57</f>
        <v>513.85199999999998</v>
      </c>
      <c r="Y58" s="3">
        <f t="shared" ref="Y58:AL58" si="4">+X58+Y57</f>
        <v>1311.165</v>
      </c>
      <c r="Z58" s="3">
        <f t="shared" si="4"/>
        <v>2171.6459999999997</v>
      </c>
      <c r="AA58" s="3">
        <f t="shared" si="4"/>
        <v>2983.7569999999996</v>
      </c>
      <c r="AB58" s="3">
        <f t="shared" si="4"/>
        <v>4023.0269999999996</v>
      </c>
      <c r="AC58" s="3">
        <f t="shared" si="4"/>
        <v>5090.7289999999994</v>
      </c>
      <c r="AD58" s="3">
        <f t="shared" si="4"/>
        <v>6551.0839999999989</v>
      </c>
      <c r="AE58" s="3">
        <f t="shared" si="4"/>
        <v>8970.0996399999985</v>
      </c>
      <c r="AF58" s="3">
        <f t="shared" si="4"/>
        <v>10638.504639999999</v>
      </c>
      <c r="AG58" s="3">
        <f t="shared" si="4"/>
        <v>14443.503639999999</v>
      </c>
      <c r="AH58" s="3">
        <f t="shared" si="4"/>
        <v>18655.25964</v>
      </c>
      <c r="AI58" s="3">
        <f t="shared" si="4"/>
        <v>22561.9314744</v>
      </c>
      <c r="AJ58" s="3">
        <f t="shared" si="4"/>
        <v>25029.8406144</v>
      </c>
      <c r="AK58" s="3">
        <f t="shared" si="4"/>
        <v>26666.520927557896</v>
      </c>
      <c r="AL58" s="3">
        <f t="shared" si="4"/>
        <v>27891.164927557897</v>
      </c>
      <c r="AM58" s="3">
        <f>+AL58+AM57</f>
        <v>29807.965377557895</v>
      </c>
      <c r="AN58" s="3">
        <f>+AM58+AN57</f>
        <v>31307.218377557896</v>
      </c>
      <c r="AO58" s="3">
        <f>+AN58+AO57</f>
        <v>32765.139377557894</v>
      </c>
    </row>
    <row r="59" spans="1:41" ht="15" thickBot="1" x14ac:dyDescent="0.4">
      <c r="A59" s="227"/>
      <c r="B59" s="229" t="s">
        <v>671</v>
      </c>
      <c r="C59" s="230" t="s">
        <v>672</v>
      </c>
      <c r="F59" s="3"/>
      <c r="G59" s="3"/>
      <c r="M59" s="3"/>
      <c r="P59" t="s">
        <v>1343</v>
      </c>
      <c r="X59" s="3">
        <f>+SUMIF('MAR-22'!E18:E23,"F",'MAR-22'!D18:D23)/1000</f>
        <v>513.85199999999998</v>
      </c>
      <c r="Y59" s="3">
        <f>+SUMIF('ABR-22'!E12:E21,"F",'ABR-22'!D12:D21)/1000</f>
        <v>797.31299999999999</v>
      </c>
      <c r="Z59" s="3">
        <f>+SUMIF('May-22'!E15:E25,"F",'May-22'!D15:D25)/1000</f>
        <v>860.48099999999999</v>
      </c>
      <c r="AA59" s="3">
        <f>+SUMIF('Jun-22'!E14:E22,"F",'Jun-22'!D14:D22)/1000</f>
        <v>812.11099999999999</v>
      </c>
      <c r="AB59" s="3">
        <f>+SUMIF('Jul-22'!E13:E24,"F",'Jul-22'!D13:D24)/1000</f>
        <v>1039.27</v>
      </c>
      <c r="AC59" s="3">
        <f>+SUMIF('Ago-22'!E11:E22,"F",'Ago-22'!D11:D22)/1000</f>
        <v>859.39400000000001</v>
      </c>
      <c r="AD59" s="3">
        <f>+SUMIF('Sep-22'!E11:E27,"F",'Sep-22'!D11:D27)/1000</f>
        <v>1045.2180000000001</v>
      </c>
      <c r="AE59" s="3">
        <f>+SUMIF('Oct-22'!E19:E41,"F",'Oct-22'!D19:D41)/1000</f>
        <v>1157.4770000000001</v>
      </c>
      <c r="AF59" s="3">
        <f>+SUMIF('Nov-22'!E19:E36,"F",'Nov-22'!D19:D36)/1000</f>
        <v>611.39</v>
      </c>
      <c r="AG59" s="3">
        <f>+SUMIF('Dic-22'!E13:E55,"F",'Dic-22'!D13:D55)/1000</f>
        <v>1434.171</v>
      </c>
      <c r="AH59" s="3">
        <f>+SUMIF('Ene-23'!E20:E51,"F",'Ene-23'!D20:D51)/1000</f>
        <v>1486.732</v>
      </c>
      <c r="AI59" s="3">
        <f>+SUMIF('Feb-23'!E22:E55,"F",'Feb-23'!D22:D55)/1000</f>
        <v>1316.876</v>
      </c>
      <c r="AJ59" s="3">
        <f>+SUMIF('Mar-23'!E30:E57,"F",'Mar-23'!D30:D57)/1000</f>
        <v>1283.395</v>
      </c>
      <c r="AK59" s="3">
        <f>+SUMIF('Abr-23'!E33:E51,"F",'Abr-23'!D33:D51)/1000</f>
        <v>865.41899999999998</v>
      </c>
      <c r="AL59" s="3">
        <f>+SUMIF('May-23'!E$22:E$37,"F",'May-23'!D$22:D$37)/1000</f>
        <v>876.41099999999994</v>
      </c>
      <c r="AM59" s="3">
        <f ca="1">+SUMIF('Jun-23'!E$8:F$31,"F",'Jun-23'!D$8:D$31)/1000</f>
        <v>1031.586</v>
      </c>
      <c r="AN59" s="3">
        <f>+SUMIF('Jul-23'!E$24:E$42,"F",'Jul-23'!D$24:D$42)/1000</f>
        <v>1147.02</v>
      </c>
      <c r="AO59" s="3">
        <f>+SUMIF('Ago-23'!E13:E31,"F",'Ago-23'!D13:D31)/1000</f>
        <v>1275.5429999999999</v>
      </c>
    </row>
    <row r="60" spans="1:41" x14ac:dyDescent="0.35">
      <c r="A60" s="219"/>
      <c r="B60" s="228"/>
      <c r="C60" s="212"/>
      <c r="P60" t="s">
        <v>1344</v>
      </c>
      <c r="AC60" s="3">
        <f>+SUMIF('Ago-22'!E11:E22,"MD",'Ago-22'!D11:D22)/1000</f>
        <v>208.30799999999999</v>
      </c>
      <c r="AD60" s="3">
        <f>+SUMIF('Sep-22'!E11:E27,"MD",'Sep-22'!D11:D27)/1000</f>
        <v>415.137</v>
      </c>
      <c r="AE60" s="3">
        <f>+SUMIF('Oct-22'!E19:E41,"MD",'Oct-22'!D19:D41)/1000</f>
        <v>1261.5386400000002</v>
      </c>
      <c r="AF60" s="3">
        <f>+SUMIF('Nov-22'!E19:E36,"MD",'Nov-22'!D19:D36)/1000</f>
        <v>880.70699999999999</v>
      </c>
      <c r="AG60" s="3">
        <f>+SUMIF('Dic-22'!E13:E55,"MD",'Dic-22'!D13:D55)/1000</f>
        <v>1587.1610000000001</v>
      </c>
      <c r="AH60" s="3">
        <f>+SUMIF('Ene-23'!E23:E51,"MD",'Ene-23'!D23:D51)/1000</f>
        <v>645.17999999999995</v>
      </c>
      <c r="AI60" s="3">
        <f>+SUMIF('Feb-23'!E22:E55,"MD",'Feb-23'!D22:D55)/1000</f>
        <v>882.5118344</v>
      </c>
      <c r="AJ60" s="3">
        <f>+SUMIF('Mar-23'!E30:E57,"MD",'Mar-23'!D30:D57)/1000</f>
        <v>746.00914</v>
      </c>
      <c r="AK60" s="3">
        <f>+SUMIF('Abr-23'!E33:E51,"MD",'Abr-23'!D33:D51)/1000</f>
        <v>568.76639999999998</v>
      </c>
      <c r="AL60" s="3">
        <f>+SUMIF('May-23'!E$22:E$37,"MD",'May-23'!D$22:D$37)/1000</f>
        <v>348.233</v>
      </c>
      <c r="AM60" s="3">
        <f ca="1">+SUMIF('Jun-23'!E$8:F$31,"MD",'Jun-23'!D$8:D$31)/1000</f>
        <v>606.48299999999995</v>
      </c>
      <c r="AN60" s="3">
        <f>+SUMIF('Jul-23'!E$24:E$42,"MD",'Jul-23'!D$24:D$42)/1000</f>
        <v>352.233</v>
      </c>
      <c r="AO60" s="3">
        <f>+SUMIF('Ago-23'!E13:E31,"MD",'Ago-23'!D13:D31)/1000</f>
        <v>182.37799999999999</v>
      </c>
    </row>
    <row r="61" spans="1:41" x14ac:dyDescent="0.35">
      <c r="A61" s="220" t="s">
        <v>673</v>
      </c>
      <c r="B61" s="224">
        <v>341747.58700280089</v>
      </c>
      <c r="C61" s="15"/>
      <c r="P61" t="s">
        <v>1490</v>
      </c>
      <c r="AC61" s="3"/>
      <c r="AD61" s="3"/>
      <c r="AE61" s="3"/>
      <c r="AF61" s="3">
        <f>+SUMIF('Nov-22'!E19:E36,"MK",'Nov-22'!D19:D36)/1000</f>
        <v>176.30799999999999</v>
      </c>
      <c r="AG61" s="3">
        <f>+SUMIF('Dic-22'!E13:E55,"MK",'Dic-22'!D13:D55)/1000</f>
        <v>448.101</v>
      </c>
      <c r="AH61" s="3">
        <f>+SUMIF('Ene-23'!E23:E51,"MK",'Ene-23'!D23:D51)/1000</f>
        <v>1622.874</v>
      </c>
      <c r="AI61" s="3">
        <f>+SUMIF('Feb-23'!E22:E55,"MK",'Feb-23'!D22:D55)/1000</f>
        <v>1577.1690000000001</v>
      </c>
      <c r="AJ61" s="3">
        <f>+SUMIF('Mar-23'!E30:E57,"MK",'Mar-23'!D30:D57)/1000</f>
        <v>438.505</v>
      </c>
      <c r="AK61" s="3">
        <f>+SUMIF('Abr-23'!E33:E51,"MK",'Abr-23'!D33:D51)/1000</f>
        <v>202.49491315789473</v>
      </c>
      <c r="AL61" s="3">
        <f>+SUMIF('May-23'!E$22:E$37,"MK",'May-23'!D$22:D$37)/1000</f>
        <v>0</v>
      </c>
      <c r="AM61" s="3">
        <f>+SUMIF('May-23'!F$22:F$37,"MK",'May-23'!E$22:E$37)/1000</f>
        <v>0</v>
      </c>
      <c r="AN61" s="3">
        <f>+SUMIF('May-23'!G$22:G$37,"MK",'May-23'!F$22:F$37)/1000</f>
        <v>0</v>
      </c>
      <c r="AO61" s="3">
        <f>+SUMIF('May-23'!H$22:H$37,"MK",'May-23'!G$22:G$37)/1000</f>
        <v>0</v>
      </c>
    </row>
    <row r="62" spans="1:41" x14ac:dyDescent="0.35">
      <c r="A62" s="220"/>
      <c r="B62" s="224"/>
      <c r="C62" s="15"/>
      <c r="P62" t="s">
        <v>1505</v>
      </c>
      <c r="AF62" s="3">
        <v>0</v>
      </c>
      <c r="AG62" s="3">
        <f>+SUMIF('Dic-22'!E13:E55,"PN",'Dic-22'!D13:D55)/1000</f>
        <v>335.56599999999997</v>
      </c>
      <c r="AH62" s="3">
        <f>+SUMIF('Ene-23'!E20:E51,"PN",'Ene-23'!D20:D51)/1000</f>
        <v>50.323</v>
      </c>
    </row>
    <row r="63" spans="1:41" x14ac:dyDescent="0.35">
      <c r="A63" s="220"/>
      <c r="B63" s="224"/>
      <c r="C63" s="15"/>
      <c r="P63" t="s">
        <v>1402</v>
      </c>
      <c r="X63" s="3">
        <f>+X59</f>
        <v>513.85199999999998</v>
      </c>
      <c r="Y63" s="3">
        <f t="shared" ref="Y63:AF63" si="5">+X63+Y59</f>
        <v>1311.165</v>
      </c>
      <c r="Z63" s="3">
        <f t="shared" si="5"/>
        <v>2171.6459999999997</v>
      </c>
      <c r="AA63" s="3">
        <f t="shared" si="5"/>
        <v>2983.7569999999996</v>
      </c>
      <c r="AB63" s="3">
        <f t="shared" si="5"/>
        <v>4023.0269999999996</v>
      </c>
      <c r="AC63" s="3">
        <f t="shared" si="5"/>
        <v>4882.4209999999994</v>
      </c>
      <c r="AD63" s="3">
        <f t="shared" si="5"/>
        <v>5927.6389999999992</v>
      </c>
      <c r="AE63" s="3">
        <f t="shared" si="5"/>
        <v>7085.1159999999991</v>
      </c>
      <c r="AF63" s="3">
        <f t="shared" si="5"/>
        <v>7696.5059999999994</v>
      </c>
      <c r="AG63" s="3">
        <f t="shared" ref="AG63:AL65" si="6">+AF63+AG59</f>
        <v>9130.6769999999997</v>
      </c>
      <c r="AH63" s="3">
        <f t="shared" si="6"/>
        <v>10617.409</v>
      </c>
      <c r="AI63" s="3">
        <f t="shared" si="6"/>
        <v>11934.285</v>
      </c>
      <c r="AJ63" s="3">
        <f t="shared" si="6"/>
        <v>13217.68</v>
      </c>
      <c r="AK63" s="3">
        <f t="shared" si="6"/>
        <v>14083.099</v>
      </c>
      <c r="AL63" s="3">
        <f t="shared" si="6"/>
        <v>14959.51</v>
      </c>
      <c r="AM63" s="3">
        <f ca="1">+AL63+AM59</f>
        <v>15991.096</v>
      </c>
      <c r="AN63" s="3">
        <f t="shared" ref="AN63:AO65" ca="1" si="7">+AM63+AN59</f>
        <v>17138.115999999998</v>
      </c>
      <c r="AO63" s="3">
        <f t="shared" ca="1" si="7"/>
        <v>18413.659</v>
      </c>
    </row>
    <row r="64" spans="1:41" x14ac:dyDescent="0.35">
      <c r="A64" s="220" t="s">
        <v>674</v>
      </c>
      <c r="B64" s="224">
        <v>794234</v>
      </c>
      <c r="C64" s="15"/>
      <c r="P64" t="s">
        <v>1403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f>+AC60</f>
        <v>208.30799999999999</v>
      </c>
      <c r="AD64" s="3">
        <f>+AC64+AD60</f>
        <v>623.44499999999994</v>
      </c>
      <c r="AE64" s="3">
        <f>+AD64+AE60</f>
        <v>1884.9836400000002</v>
      </c>
      <c r="AF64" s="3">
        <f>+AE64+AF60</f>
        <v>2765.6906400000003</v>
      </c>
      <c r="AG64" s="3">
        <f t="shared" si="6"/>
        <v>4352.8516400000008</v>
      </c>
      <c r="AH64" s="3">
        <f t="shared" si="6"/>
        <v>4998.0316400000011</v>
      </c>
      <c r="AI64" s="3">
        <f t="shared" si="6"/>
        <v>5880.5434744000013</v>
      </c>
      <c r="AJ64" s="3">
        <f t="shared" si="6"/>
        <v>6626.5526144000014</v>
      </c>
      <c r="AK64" s="3">
        <f t="shared" si="6"/>
        <v>7195.3190144000018</v>
      </c>
      <c r="AL64" s="3">
        <f t="shared" si="6"/>
        <v>7543.552014400002</v>
      </c>
      <c r="AM64" s="3">
        <f ca="1">+AL64+AM60</f>
        <v>8150.0350144000022</v>
      </c>
      <c r="AN64" s="3">
        <f t="shared" ca="1" si="7"/>
        <v>8502.2680144000024</v>
      </c>
      <c r="AO64" s="3">
        <f t="shared" ca="1" si="7"/>
        <v>8684.646014400003</v>
      </c>
    </row>
    <row r="65" spans="1:41" x14ac:dyDescent="0.35">
      <c r="A65" s="220" t="s">
        <v>743</v>
      </c>
      <c r="B65" s="224">
        <f>Inventarios!K61*690</f>
        <v>0</v>
      </c>
      <c r="C65" s="15"/>
      <c r="G65" t="s">
        <v>13</v>
      </c>
      <c r="P65" t="s">
        <v>1729</v>
      </c>
      <c r="AE65" s="3"/>
      <c r="AF65" s="3">
        <f>+AE65+AF61</f>
        <v>176.30799999999999</v>
      </c>
      <c r="AG65" s="3">
        <f>+AF65+AG61</f>
        <v>624.40899999999999</v>
      </c>
      <c r="AH65" s="3">
        <f t="shared" si="6"/>
        <v>2247.2829999999999</v>
      </c>
      <c r="AI65" s="3">
        <f t="shared" si="6"/>
        <v>3824.4520000000002</v>
      </c>
      <c r="AJ65" s="3">
        <f t="shared" si="6"/>
        <v>4262.9570000000003</v>
      </c>
      <c r="AK65" s="3">
        <f t="shared" si="6"/>
        <v>4465.4519131578954</v>
      </c>
      <c r="AL65" s="3">
        <f t="shared" si="6"/>
        <v>4465.4519131578954</v>
      </c>
      <c r="AM65" s="3">
        <f>+AL65+AM61</f>
        <v>4465.4519131578954</v>
      </c>
      <c r="AN65" s="3">
        <f t="shared" si="7"/>
        <v>4465.4519131578954</v>
      </c>
      <c r="AO65" s="3">
        <f t="shared" si="7"/>
        <v>4465.4519131578954</v>
      </c>
    </row>
    <row r="66" spans="1:41" x14ac:dyDescent="0.35">
      <c r="A66" s="220" t="s">
        <v>675</v>
      </c>
      <c r="B66" s="224"/>
      <c r="C66" s="15">
        <v>0</v>
      </c>
    </row>
    <row r="67" spans="1:41" x14ac:dyDescent="0.35">
      <c r="A67" s="220" t="s">
        <v>702</v>
      </c>
      <c r="B67" s="224"/>
      <c r="C67" s="15">
        <v>7615769</v>
      </c>
    </row>
    <row r="68" spans="1:41" x14ac:dyDescent="0.35">
      <c r="A68" s="220" t="s">
        <v>696</v>
      </c>
      <c r="B68" s="224"/>
      <c r="C68" s="15">
        <v>411913</v>
      </c>
    </row>
    <row r="69" spans="1:41" x14ac:dyDescent="0.35">
      <c r="A69" s="220" t="s">
        <v>989</v>
      </c>
      <c r="B69" s="224"/>
      <c r="C69" s="15">
        <f>+(95.69*7/8)*32015.4</f>
        <v>2680609.4227499999</v>
      </c>
      <c r="AG69" t="s">
        <v>13</v>
      </c>
    </row>
    <row r="70" spans="1:41" x14ac:dyDescent="0.35">
      <c r="A70" s="220" t="s">
        <v>969</v>
      </c>
      <c r="B70" s="224"/>
      <c r="C70" s="15">
        <f>+SUM('ABR-22'!D41:D45)+SUM('ABR-22'!D50:D51)+SUM('ABR-22'!D56:D59)</f>
        <v>68766</v>
      </c>
    </row>
    <row r="71" spans="1:41" x14ac:dyDescent="0.35">
      <c r="A71" s="220" t="s">
        <v>968</v>
      </c>
      <c r="B71" s="224" t="s">
        <v>13</v>
      </c>
      <c r="C71" s="15">
        <f>5000000+6500000</f>
        <v>11500000</v>
      </c>
      <c r="AA71">
        <v>8</v>
      </c>
    </row>
    <row r="72" spans="1:41" x14ac:dyDescent="0.35">
      <c r="A72" s="220" t="s">
        <v>253</v>
      </c>
      <c r="B72" s="224">
        <f>+B48</f>
        <v>5664175.9663865538</v>
      </c>
      <c r="C72" s="15"/>
      <c r="AE72" t="s">
        <v>13</v>
      </c>
    </row>
    <row r="73" spans="1:41" ht="15" thickBot="1" x14ac:dyDescent="0.4">
      <c r="A73" s="265"/>
      <c r="B73" s="225"/>
      <c r="C73" s="222"/>
    </row>
    <row r="74" spans="1:41" x14ac:dyDescent="0.35">
      <c r="A74" s="266" t="s">
        <v>704</v>
      </c>
      <c r="B74" s="223">
        <f>SUM(B61:B73)</f>
        <v>6800157.5533893546</v>
      </c>
      <c r="C74" s="53">
        <f>SUM(C61:C73)</f>
        <v>22277057.42275</v>
      </c>
      <c r="L74" s="325">
        <f>1939-2212</f>
        <v>-273</v>
      </c>
    </row>
    <row r="75" spans="1:41" ht="15" thickBot="1" x14ac:dyDescent="0.4">
      <c r="A75" s="267" t="s">
        <v>255</v>
      </c>
      <c r="B75" s="268">
        <f>+B74-C74</f>
        <v>-15476899.869360644</v>
      </c>
      <c r="C75" s="19"/>
    </row>
    <row r="76" spans="1:41" ht="15" thickBot="1" x14ac:dyDescent="0.4">
      <c r="A76" s="269" t="s">
        <v>900</v>
      </c>
      <c r="B76" s="270"/>
      <c r="C76" s="271">
        <f>+SUM(B61:B64)-SUM(C66:C70)</f>
        <v>-9641075.8357471991</v>
      </c>
    </row>
    <row r="77" spans="1:41" ht="15" thickBot="1" x14ac:dyDescent="0.4"/>
    <row r="78" spans="1:41" x14ac:dyDescent="0.35">
      <c r="A78" s="226" t="s">
        <v>1350</v>
      </c>
      <c r="B78" s="223"/>
      <c r="C78" s="53"/>
    </row>
    <row r="79" spans="1:41" ht="15" thickBot="1" x14ac:dyDescent="0.4">
      <c r="A79" s="227"/>
      <c r="B79" s="229" t="s">
        <v>671</v>
      </c>
      <c r="C79" s="230" t="s">
        <v>672</v>
      </c>
    </row>
    <row r="80" spans="1:41" x14ac:dyDescent="0.35">
      <c r="A80" s="219"/>
      <c r="B80" s="228"/>
      <c r="C80" s="212"/>
      <c r="I80" s="27" t="s">
        <v>1352</v>
      </c>
      <c r="J80" s="3">
        <f>+SUM('Oct-22'!D6:D43)-'Oct-22'!AK44</f>
        <v>1196367.6400000001</v>
      </c>
    </row>
    <row r="81" spans="1:16" x14ac:dyDescent="0.35">
      <c r="A81" s="220" t="s">
        <v>673</v>
      </c>
      <c r="B81" s="224">
        <v>1116674</v>
      </c>
      <c r="C81" s="15"/>
      <c r="I81" s="27" t="s">
        <v>13</v>
      </c>
      <c r="J81" s="3" t="s">
        <v>13</v>
      </c>
    </row>
    <row r="82" spans="1:16" x14ac:dyDescent="0.35">
      <c r="A82" s="220" t="s">
        <v>674</v>
      </c>
      <c r="B82" s="224">
        <f>+SUM('Oct-22'!D9:D29)-'Oct-22'!D16-577389</f>
        <v>1400306</v>
      </c>
      <c r="C82" s="15"/>
      <c r="J82" s="3" t="s">
        <v>13</v>
      </c>
    </row>
    <row r="83" spans="1:16" x14ac:dyDescent="0.35">
      <c r="A83" s="220" t="s">
        <v>743</v>
      </c>
      <c r="B83" s="224">
        <f>Inventarios!K79*690</f>
        <v>0</v>
      </c>
      <c r="C83" s="15"/>
    </row>
    <row r="84" spans="1:16" x14ac:dyDescent="0.35">
      <c r="A84" s="220" t="s">
        <v>675</v>
      </c>
      <c r="B84" s="224"/>
      <c r="C84" s="15">
        <f>+'Oct-22'!D56+'Oct-22'!D58+'Oct-22'!D60+'Oct-22'!D100+'Oct-22'!D101</f>
        <v>2539121.2750500003</v>
      </c>
      <c r="D84" s="3" t="s">
        <v>13</v>
      </c>
    </row>
    <row r="85" spans="1:16" x14ac:dyDescent="0.35">
      <c r="A85" s="220" t="s">
        <v>702</v>
      </c>
      <c r="B85" s="224"/>
      <c r="C85" s="15" t="s">
        <v>13</v>
      </c>
    </row>
    <row r="86" spans="1:16" x14ac:dyDescent="0.35">
      <c r="A86" s="220" t="s">
        <v>696</v>
      </c>
      <c r="B86" s="224"/>
      <c r="C86" s="15" t="s">
        <v>13</v>
      </c>
    </row>
    <row r="87" spans="1:16" x14ac:dyDescent="0.35">
      <c r="A87" s="220" t="s">
        <v>989</v>
      </c>
      <c r="B87" s="224"/>
      <c r="C87" s="15" t="s">
        <v>13</v>
      </c>
    </row>
    <row r="88" spans="1:16" x14ac:dyDescent="0.35">
      <c r="A88" s="220" t="s">
        <v>969</v>
      </c>
      <c r="B88" s="224"/>
      <c r="C88" s="15" t="s">
        <v>13</v>
      </c>
    </row>
    <row r="89" spans="1:16" x14ac:dyDescent="0.35">
      <c r="A89" s="220" t="s">
        <v>968</v>
      </c>
      <c r="B89" s="224" t="s">
        <v>13</v>
      </c>
      <c r="C89" s="15">
        <f>5000000+6500000</f>
        <v>11500000</v>
      </c>
    </row>
    <row r="90" spans="1:16" x14ac:dyDescent="0.35">
      <c r="A90" s="220" t="s">
        <v>253</v>
      </c>
      <c r="B90" s="224">
        <f>+B69</f>
        <v>0</v>
      </c>
      <c r="C90" s="15"/>
    </row>
    <row r="91" spans="1:16" ht="15" thickBot="1" x14ac:dyDescent="0.4">
      <c r="A91" s="265"/>
      <c r="B91" s="225"/>
      <c r="C91" s="222"/>
    </row>
    <row r="92" spans="1:16" x14ac:dyDescent="0.35">
      <c r="A92" s="266" t="s">
        <v>704</v>
      </c>
      <c r="B92" s="223">
        <f>SUM(B81:B91)</f>
        <v>2516980</v>
      </c>
      <c r="C92" s="53">
        <f>SUM(C81:C91)</f>
        <v>14039121.275049999</v>
      </c>
    </row>
    <row r="93" spans="1:16" ht="15" thickBot="1" x14ac:dyDescent="0.4">
      <c r="A93" s="267" t="s">
        <v>255</v>
      </c>
      <c r="B93" s="268">
        <f>+B92-C92</f>
        <v>-11522141.275049999</v>
      </c>
      <c r="C93" s="19"/>
    </row>
    <row r="94" spans="1:16" ht="52.75" customHeight="1" thickBot="1" x14ac:dyDescent="0.4">
      <c r="A94" s="269" t="s">
        <v>900</v>
      </c>
      <c r="B94" s="270"/>
      <c r="C94" s="271">
        <f>+SUM(B81:B82)-SUM(C84:C88)</f>
        <v>-22141.275050000288</v>
      </c>
    </row>
    <row r="95" spans="1:16" ht="21.5" customHeight="1" thickBot="1" x14ac:dyDescent="0.4"/>
    <row r="96" spans="1:16" ht="58" x14ac:dyDescent="0.35">
      <c r="L96" s="11"/>
      <c r="M96" s="198"/>
      <c r="N96" s="314" t="s">
        <v>1399</v>
      </c>
      <c r="O96" s="315" t="s">
        <v>1400</v>
      </c>
      <c r="P96" s="315" t="s">
        <v>1589</v>
      </c>
    </row>
    <row r="97" spans="12:18" x14ac:dyDescent="0.35">
      <c r="L97" s="316" t="s">
        <v>1372</v>
      </c>
      <c r="M97" s="49"/>
      <c r="N97" s="319">
        <f>+P97*0.75*1.19/10</f>
        <v>2400.0217499999999</v>
      </c>
      <c r="O97" s="320">
        <f>+N97*0.19/0.75</f>
        <v>608.00550999999996</v>
      </c>
      <c r="P97" s="320">
        <v>26891</v>
      </c>
      <c r="Q97">
        <f>600*1.19*0.75</f>
        <v>535.5</v>
      </c>
      <c r="R97" s="323">
        <f>+(N97-Q97)/N97</f>
        <v>0.77687702205198761</v>
      </c>
    </row>
    <row r="98" spans="12:18" x14ac:dyDescent="0.35">
      <c r="L98" s="316" t="s">
        <v>1401</v>
      </c>
      <c r="M98" s="49"/>
      <c r="N98" s="319">
        <f>+P98*0.75*1.19/10</f>
        <v>3399.9787499999998</v>
      </c>
      <c r="O98" s="320">
        <f>+N98*0.19/0.75</f>
        <v>861.32794999999999</v>
      </c>
      <c r="P98" s="320">
        <v>38095</v>
      </c>
      <c r="Q98" t="s">
        <v>13</v>
      </c>
    </row>
    <row r="99" spans="12:18" x14ac:dyDescent="0.35">
      <c r="L99" s="316" t="s">
        <v>1398</v>
      </c>
      <c r="M99" s="49"/>
      <c r="N99" s="319">
        <f>+P99*0.75*1.19/10</f>
        <v>3100.0094999999997</v>
      </c>
      <c r="O99" s="320">
        <f>+N99*0.19/0.75</f>
        <v>785.33573999999999</v>
      </c>
      <c r="P99" s="320">
        <v>34734</v>
      </c>
      <c r="Q99" t="s">
        <v>13</v>
      </c>
    </row>
    <row r="100" spans="12:18" ht="87" x14ac:dyDescent="0.35">
      <c r="L100" s="317" t="s">
        <v>1396</v>
      </c>
      <c r="M100" s="49"/>
      <c r="N100" s="319">
        <f>+P100*0.75*1.19/10</f>
        <v>3929.6775000000002</v>
      </c>
      <c r="O100" s="320">
        <f>+N100*0.19/0.75</f>
        <v>995.51830000000007</v>
      </c>
      <c r="P100" s="320">
        <v>44030</v>
      </c>
      <c r="Q100" t="s">
        <v>13</v>
      </c>
    </row>
    <row r="101" spans="12:18" ht="73" thickBot="1" x14ac:dyDescent="0.4">
      <c r="L101" s="318" t="s">
        <v>1397</v>
      </c>
      <c r="M101" s="277"/>
      <c r="N101" s="321">
        <f>+P101*0.75*1.19/10</f>
        <v>3929.6775000000002</v>
      </c>
      <c r="O101" s="322">
        <f>+N101*0.19/0.75</f>
        <v>995.51830000000007</v>
      </c>
      <c r="P101" s="322">
        <v>44030</v>
      </c>
      <c r="Q101" t="s">
        <v>13</v>
      </c>
    </row>
  </sheetData>
  <mergeCells count="1">
    <mergeCell ref="L53:Z53"/>
  </mergeCells>
  <pageMargins left="0.7" right="0.7" top="0.75" bottom="0.75" header="0.3" footer="0.3"/>
  <pageSetup orientation="portrait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2:U116"/>
  <sheetViews>
    <sheetView topLeftCell="A48" workbookViewId="0">
      <selection activeCell="B60" sqref="B60"/>
    </sheetView>
  </sheetViews>
  <sheetFormatPr baseColWidth="10" defaultColWidth="11.08984375" defaultRowHeight="14.5" x14ac:dyDescent="0.35"/>
  <cols>
    <col min="2" max="2" width="20.81640625" customWidth="1"/>
    <col min="3" max="11" width="11.81640625" customWidth="1"/>
    <col min="12" max="12" width="14.36328125" customWidth="1"/>
  </cols>
  <sheetData>
    <row r="2" spans="2:15" ht="15" thickBot="1" x14ac:dyDescent="0.4"/>
    <row r="3" spans="2:15" x14ac:dyDescent="0.35">
      <c r="B3" s="11"/>
      <c r="C3" s="12"/>
      <c r="D3" s="12"/>
      <c r="E3" s="57" t="s">
        <v>264</v>
      </c>
    </row>
    <row r="4" spans="2:15" x14ac:dyDescent="0.35">
      <c r="B4" s="14" t="s">
        <v>45</v>
      </c>
      <c r="C4" s="8"/>
      <c r="D4" s="8"/>
      <c r="E4" s="15">
        <f>(423691+13625+530+10600+84913+83200)*1.19</f>
        <v>733705.21</v>
      </c>
    </row>
    <row r="5" spans="2:15" x14ac:dyDescent="0.35">
      <c r="B5" s="14" t="s">
        <v>46</v>
      </c>
      <c r="C5" s="8"/>
      <c r="D5" s="8"/>
      <c r="E5" s="15">
        <f>(436411+165540+60251+17088+28768+3028+2725+15000)*1.19</f>
        <v>867285.09</v>
      </c>
      <c r="H5" s="15">
        <f>(436411+82770+60251+17088+28768+3028+2725)*1.19</f>
        <v>750938.78999999992</v>
      </c>
      <c r="I5" t="s">
        <v>374</v>
      </c>
    </row>
    <row r="6" spans="2:15" x14ac:dyDescent="0.35">
      <c r="B6" s="14"/>
      <c r="C6" s="8"/>
      <c r="D6" s="8" t="s">
        <v>13</v>
      </c>
      <c r="E6" s="15" t="s">
        <v>13</v>
      </c>
      <c r="K6" t="s">
        <v>841</v>
      </c>
    </row>
    <row r="7" spans="2:15" x14ac:dyDescent="0.35">
      <c r="B7" s="14" t="s">
        <v>53</v>
      </c>
      <c r="C7" s="8"/>
      <c r="D7" s="8"/>
      <c r="E7" s="15">
        <f>180000*1.19</f>
        <v>214200</v>
      </c>
      <c r="H7" s="3">
        <f>+(E5+E16)/1.19</f>
        <v>1158911</v>
      </c>
      <c r="I7" t="s">
        <v>840</v>
      </c>
      <c r="K7" s="3">
        <f>+H7/12</f>
        <v>96575.916666666672</v>
      </c>
    </row>
    <row r="8" spans="2:15" ht="15" thickBot="1" x14ac:dyDescent="0.4">
      <c r="B8" s="16" t="s">
        <v>52</v>
      </c>
      <c r="C8" s="17" t="s">
        <v>54</v>
      </c>
      <c r="D8" s="17"/>
      <c r="E8" s="19">
        <f>290000*1.19</f>
        <v>345100</v>
      </c>
      <c r="O8" t="s">
        <v>13</v>
      </c>
    </row>
    <row r="9" spans="2:15" ht="15" thickBot="1" x14ac:dyDescent="0.4"/>
    <row r="10" spans="2:15" x14ac:dyDescent="0.35">
      <c r="B10" s="36"/>
      <c r="C10" s="66"/>
      <c r="D10" s="66"/>
      <c r="E10" s="40" t="s">
        <v>260</v>
      </c>
    </row>
    <row r="11" spans="2:15" x14ac:dyDescent="0.35">
      <c r="B11" s="41"/>
      <c r="C11" t="s">
        <v>259</v>
      </c>
      <c r="E11" s="74">
        <f>+(E4+E7)*1.19</f>
        <v>1128007.1998999999</v>
      </c>
    </row>
    <row r="12" spans="2:15" ht="15" thickBot="1" x14ac:dyDescent="0.4">
      <c r="B12" s="43"/>
      <c r="C12" s="76" t="s">
        <v>258</v>
      </c>
      <c r="D12" s="76"/>
      <c r="E12" s="119">
        <f>+(E5+E8)*1.19</f>
        <v>1442738.2570999998</v>
      </c>
      <c r="F12" s="3">
        <f>+E12+E16</f>
        <v>1954557.2570999998</v>
      </c>
    </row>
    <row r="13" spans="2:15" x14ac:dyDescent="0.35">
      <c r="B13" s="41"/>
      <c r="E13" s="74"/>
    </row>
    <row r="14" spans="2:15" x14ac:dyDescent="0.35">
      <c r="B14" s="75" t="s">
        <v>272</v>
      </c>
      <c r="E14" s="95">
        <f>1500*800*1.19</f>
        <v>1428000</v>
      </c>
    </row>
    <row r="15" spans="2:15" x14ac:dyDescent="0.35">
      <c r="B15" s="41" t="s">
        <v>265</v>
      </c>
      <c r="E15" s="84"/>
    </row>
    <row r="16" spans="2:15" x14ac:dyDescent="0.35">
      <c r="B16" s="75" t="s">
        <v>263</v>
      </c>
      <c r="C16" s="2"/>
      <c r="D16" s="2"/>
      <c r="E16" s="95">
        <f>430100*1.19</f>
        <v>511819</v>
      </c>
      <c r="G16">
        <v>430100</v>
      </c>
      <c r="H16">
        <v>38709</v>
      </c>
      <c r="I16">
        <f>+H16/G16</f>
        <v>0.09</v>
      </c>
    </row>
    <row r="17" spans="2:18" ht="15" thickBot="1" x14ac:dyDescent="0.4">
      <c r="B17" s="120" t="s">
        <v>394</v>
      </c>
      <c r="E17" s="74">
        <f>+(436411+165540+60251+17088+28768+3028+2725)*1.19</f>
        <v>849435.09</v>
      </c>
      <c r="H17">
        <f>+H16+G16</f>
        <v>468809</v>
      </c>
    </row>
    <row r="18" spans="2:18" x14ac:dyDescent="0.35">
      <c r="B18" s="96" t="s">
        <v>148</v>
      </c>
      <c r="E18" s="74">
        <f>88748*1.19</f>
        <v>105610.12</v>
      </c>
      <c r="H18" s="235" t="s">
        <v>684</v>
      </c>
      <c r="I18" s="12"/>
      <c r="J18" s="12"/>
      <c r="K18" s="147"/>
    </row>
    <row r="19" spans="2:18" ht="15" thickBot="1" x14ac:dyDescent="0.4">
      <c r="B19" s="96" t="s">
        <v>261</v>
      </c>
      <c r="E19" s="74">
        <f>115966*1.19</f>
        <v>137999.54</v>
      </c>
      <c r="H19" s="16" t="s">
        <v>679</v>
      </c>
      <c r="I19" s="17" t="s">
        <v>680</v>
      </c>
      <c r="J19" s="17" t="s">
        <v>682</v>
      </c>
      <c r="K19" s="149" t="s">
        <v>681</v>
      </c>
    </row>
    <row r="20" spans="2:18" x14ac:dyDescent="0.35">
      <c r="B20" s="96" t="s">
        <v>262</v>
      </c>
      <c r="E20" s="74">
        <f>+E8</f>
        <v>345100</v>
      </c>
      <c r="H20" s="116" t="s">
        <v>678</v>
      </c>
      <c r="I20" s="117">
        <v>22584</v>
      </c>
      <c r="J20" s="211">
        <v>43754</v>
      </c>
      <c r="K20" s="212">
        <v>1345370</v>
      </c>
    </row>
    <row r="21" spans="2:18" x14ac:dyDescent="0.35">
      <c r="B21" s="41" t="s">
        <v>266</v>
      </c>
      <c r="E21" s="95">
        <f>SUM(E17:E20)</f>
        <v>1438144.75</v>
      </c>
      <c r="H21" s="14" t="s">
        <v>685</v>
      </c>
      <c r="I21" s="8">
        <v>21</v>
      </c>
      <c r="J21" s="207">
        <v>43812</v>
      </c>
      <c r="K21" s="15">
        <f>180000+290000</f>
        <v>470000</v>
      </c>
    </row>
    <row r="22" spans="2:18" ht="15" thickBot="1" x14ac:dyDescent="0.4">
      <c r="B22" s="97" t="s">
        <v>267</v>
      </c>
      <c r="C22" s="98"/>
      <c r="D22" s="98"/>
      <c r="E22" s="99">
        <f>+E21+E16</f>
        <v>1949963.75</v>
      </c>
      <c r="H22" s="14" t="s">
        <v>686</v>
      </c>
      <c r="I22" s="8">
        <v>12404</v>
      </c>
      <c r="J22" s="207">
        <v>43822</v>
      </c>
      <c r="K22" s="15">
        <f>128137/1.19</f>
        <v>107678.15126050421</v>
      </c>
    </row>
    <row r="23" spans="2:18" ht="15" thickBot="1" x14ac:dyDescent="0.4">
      <c r="H23" s="14" t="s">
        <v>678</v>
      </c>
      <c r="I23" s="8">
        <v>23501</v>
      </c>
      <c r="J23" s="207">
        <v>43833</v>
      </c>
      <c r="K23" s="15">
        <f>930125/1.19</f>
        <v>781617.64705882361</v>
      </c>
    </row>
    <row r="24" spans="2:18" ht="30" customHeight="1" thickBot="1" x14ac:dyDescent="0.4">
      <c r="B24" s="417" t="s">
        <v>388</v>
      </c>
      <c r="C24" s="418"/>
      <c r="D24" s="418"/>
      <c r="E24" s="419"/>
      <c r="H24" s="14" t="s">
        <v>678</v>
      </c>
      <c r="I24" s="8">
        <v>23502</v>
      </c>
      <c r="J24" s="207">
        <v>43833</v>
      </c>
      <c r="K24" s="15">
        <f>3145/1.19</f>
        <v>2642.8571428571431</v>
      </c>
    </row>
    <row r="25" spans="2:18" x14ac:dyDescent="0.35">
      <c r="B25" s="116"/>
      <c r="C25" s="117"/>
      <c r="D25" s="117"/>
      <c r="E25" s="118"/>
      <c r="H25" s="14" t="s">
        <v>687</v>
      </c>
      <c r="I25" s="8">
        <v>21509946</v>
      </c>
      <c r="J25" s="207">
        <v>43836</v>
      </c>
      <c r="K25" s="15">
        <f>12380/1.19</f>
        <v>10403.361344537816</v>
      </c>
    </row>
    <row r="26" spans="2:18" x14ac:dyDescent="0.35">
      <c r="B26" s="14" t="s">
        <v>375</v>
      </c>
      <c r="C26" s="8"/>
      <c r="D26" s="8"/>
      <c r="E26" s="15">
        <f>430100*2</f>
        <v>860200</v>
      </c>
      <c r="H26" s="14" t="s">
        <v>687</v>
      </c>
      <c r="I26" s="8">
        <v>21519808</v>
      </c>
      <c r="J26" s="207">
        <v>43836</v>
      </c>
      <c r="K26" s="15">
        <f>17580/1.19</f>
        <v>14773.10924369748</v>
      </c>
    </row>
    <row r="27" spans="2:18" x14ac:dyDescent="0.35">
      <c r="B27" s="14" t="s">
        <v>376</v>
      </c>
      <c r="C27" s="8"/>
      <c r="D27" s="8"/>
      <c r="E27" s="15">
        <v>250000</v>
      </c>
      <c r="H27" s="14" t="s">
        <v>688</v>
      </c>
      <c r="I27" s="208">
        <v>102451374</v>
      </c>
      <c r="J27" s="207">
        <v>43836</v>
      </c>
      <c r="K27" s="15">
        <f>3690/1.19</f>
        <v>3100.840336134454</v>
      </c>
    </row>
    <row r="28" spans="2:18" x14ac:dyDescent="0.35">
      <c r="B28" s="14" t="s">
        <v>377</v>
      </c>
      <c r="C28" s="8"/>
      <c r="D28" s="8"/>
      <c r="E28" s="15">
        <v>115966</v>
      </c>
      <c r="H28" s="14" t="s">
        <v>683</v>
      </c>
      <c r="I28" s="8">
        <v>1065034</v>
      </c>
      <c r="J28" s="207">
        <v>43837</v>
      </c>
      <c r="K28" s="15">
        <v>249644</v>
      </c>
      <c r="L28" t="s">
        <v>13</v>
      </c>
    </row>
    <row r="29" spans="2:18" x14ac:dyDescent="0.35">
      <c r="B29" s="14" t="s">
        <v>378</v>
      </c>
      <c r="C29" s="8"/>
      <c r="D29" s="8"/>
      <c r="E29" s="15">
        <f>3028+2725</f>
        <v>5753</v>
      </c>
      <c r="H29" s="14" t="s">
        <v>689</v>
      </c>
      <c r="I29" s="208">
        <v>1065034</v>
      </c>
      <c r="J29" s="207">
        <v>43837</v>
      </c>
      <c r="K29" s="15">
        <f>297076/1.19</f>
        <v>249643.69747899161</v>
      </c>
      <c r="R29" t="s">
        <v>13</v>
      </c>
    </row>
    <row r="30" spans="2:18" x14ac:dyDescent="0.35">
      <c r="B30" s="14" t="s">
        <v>379</v>
      </c>
      <c r="C30" s="8"/>
      <c r="D30" s="8"/>
      <c r="E30" s="15">
        <v>18847</v>
      </c>
      <c r="H30" s="14" t="s">
        <v>678</v>
      </c>
      <c r="I30" s="8">
        <v>1990</v>
      </c>
      <c r="J30" s="207">
        <v>43843</v>
      </c>
      <c r="K30" s="15">
        <v>-82326</v>
      </c>
    </row>
    <row r="31" spans="2:18" x14ac:dyDescent="0.35">
      <c r="B31" s="14" t="s">
        <v>380</v>
      </c>
      <c r="C31" s="8"/>
      <c r="D31" s="8"/>
      <c r="E31" s="15">
        <v>5000</v>
      </c>
      <c r="H31" s="14" t="s">
        <v>685</v>
      </c>
      <c r="I31" s="208">
        <v>27</v>
      </c>
      <c r="J31" s="207">
        <v>43884</v>
      </c>
      <c r="K31" s="15">
        <v>150000</v>
      </c>
    </row>
    <row r="32" spans="2:18" ht="15" thickBot="1" x14ac:dyDescent="0.4">
      <c r="B32" s="16" t="s">
        <v>381</v>
      </c>
      <c r="C32" s="17"/>
      <c r="D32" s="17"/>
      <c r="E32" s="19">
        <f>SUM(E26:E31)*1.19</f>
        <v>1494361.54</v>
      </c>
      <c r="H32" s="199" t="s">
        <v>690</v>
      </c>
      <c r="I32" s="208">
        <v>3861</v>
      </c>
      <c r="J32" s="207">
        <v>43902</v>
      </c>
      <c r="K32" s="15">
        <f>11662/1.19</f>
        <v>9800</v>
      </c>
    </row>
    <row r="33" spans="2:21" ht="15" thickBot="1" x14ac:dyDescent="0.4">
      <c r="H33" s="199" t="s">
        <v>691</v>
      </c>
      <c r="I33" s="208">
        <v>58956</v>
      </c>
      <c r="J33" s="207">
        <v>43902</v>
      </c>
      <c r="K33" s="15">
        <f>4990/1.19</f>
        <v>4193.2773109243699</v>
      </c>
    </row>
    <row r="34" spans="2:21" ht="33" customHeight="1" thickBot="1" x14ac:dyDescent="0.4">
      <c r="B34" s="417" t="s">
        <v>389</v>
      </c>
      <c r="C34" s="418"/>
      <c r="D34" s="418"/>
      <c r="E34" s="419"/>
      <c r="H34" s="199" t="s">
        <v>692</v>
      </c>
      <c r="I34" s="8">
        <v>1069066</v>
      </c>
      <c r="J34" s="207">
        <v>44112</v>
      </c>
      <c r="K34" s="15">
        <f>60000</f>
        <v>60000</v>
      </c>
    </row>
    <row r="35" spans="2:21" x14ac:dyDescent="0.35">
      <c r="B35" s="116"/>
      <c r="C35" s="117"/>
      <c r="D35" s="117"/>
      <c r="E35" s="118"/>
      <c r="H35" s="199" t="s">
        <v>453</v>
      </c>
      <c r="I35" s="8">
        <v>107907716</v>
      </c>
      <c r="J35" s="207">
        <v>44127</v>
      </c>
      <c r="K35" s="15">
        <f>5489/1.19</f>
        <v>4612.6050420168067</v>
      </c>
    </row>
    <row r="36" spans="2:21" x14ac:dyDescent="0.35">
      <c r="B36" s="14" t="s">
        <v>375</v>
      </c>
      <c r="C36" s="8"/>
      <c r="D36" s="8"/>
      <c r="E36" s="15">
        <f>430100*2</f>
        <v>860200</v>
      </c>
      <c r="H36" s="199" t="s">
        <v>692</v>
      </c>
      <c r="I36" s="8">
        <v>1069330</v>
      </c>
      <c r="J36" s="207">
        <v>44137</v>
      </c>
      <c r="K36" s="15">
        <v>60000</v>
      </c>
    </row>
    <row r="37" spans="2:21" x14ac:dyDescent="0.35">
      <c r="B37" s="14" t="s">
        <v>376</v>
      </c>
      <c r="C37" s="8"/>
      <c r="D37" s="8"/>
      <c r="E37" s="15">
        <v>0</v>
      </c>
      <c r="H37" s="199" t="s">
        <v>693</v>
      </c>
      <c r="I37" s="8">
        <v>108312903</v>
      </c>
      <c r="J37" s="207">
        <v>44152</v>
      </c>
      <c r="K37" s="15">
        <f>1647</f>
        <v>1647</v>
      </c>
    </row>
    <row r="38" spans="2:21" x14ac:dyDescent="0.35">
      <c r="B38" s="14" t="s">
        <v>377</v>
      </c>
      <c r="C38" s="8"/>
      <c r="D38" s="8"/>
      <c r="E38" s="15">
        <v>0</v>
      </c>
      <c r="H38" s="199" t="s">
        <v>689</v>
      </c>
      <c r="I38" s="8">
        <v>1069553</v>
      </c>
      <c r="J38" s="207">
        <v>44153</v>
      </c>
      <c r="K38" s="15">
        <f>112020</f>
        <v>112020</v>
      </c>
    </row>
    <row r="39" spans="2:21" x14ac:dyDescent="0.35">
      <c r="B39" s="14" t="s">
        <v>378</v>
      </c>
      <c r="C39" s="8"/>
      <c r="D39" s="8"/>
      <c r="E39" s="15">
        <f>3028+2725</f>
        <v>5753</v>
      </c>
      <c r="H39" s="199" t="s">
        <v>500</v>
      </c>
      <c r="I39" s="28">
        <v>36586</v>
      </c>
      <c r="J39" s="207">
        <v>44166</v>
      </c>
      <c r="K39" s="15">
        <f>45130/1.19</f>
        <v>37924.36974789916</v>
      </c>
    </row>
    <row r="40" spans="2:21" x14ac:dyDescent="0.35">
      <c r="B40" s="14" t="s">
        <v>379</v>
      </c>
      <c r="C40" s="8"/>
      <c r="D40" s="8"/>
      <c r="E40" s="15">
        <v>18847</v>
      </c>
      <c r="H40" s="199" t="s">
        <v>694</v>
      </c>
      <c r="I40" s="28">
        <v>6499</v>
      </c>
      <c r="J40" s="207">
        <v>44167</v>
      </c>
      <c r="K40" s="15">
        <f>22000/1.19</f>
        <v>18487.394957983193</v>
      </c>
    </row>
    <row r="41" spans="2:21" x14ac:dyDescent="0.35">
      <c r="B41" s="14" t="s">
        <v>380</v>
      </c>
      <c r="C41" s="8"/>
      <c r="D41" s="8"/>
      <c r="E41" s="15">
        <v>5000</v>
      </c>
      <c r="H41" s="199" t="s">
        <v>692</v>
      </c>
      <c r="I41" s="8">
        <v>1069793</v>
      </c>
      <c r="J41" s="207">
        <v>44167</v>
      </c>
      <c r="K41" s="15">
        <f>60000*2</f>
        <v>120000</v>
      </c>
    </row>
    <row r="42" spans="2:21" ht="15" thickBot="1" x14ac:dyDescent="0.4">
      <c r="B42" s="16" t="s">
        <v>381</v>
      </c>
      <c r="C42" s="17"/>
      <c r="D42" s="17"/>
      <c r="E42" s="19">
        <f>SUM(E36:E41)*1.19</f>
        <v>1058862</v>
      </c>
      <c r="H42" s="199" t="s">
        <v>693</v>
      </c>
      <c r="I42" s="28">
        <v>108597127</v>
      </c>
      <c r="J42" s="207">
        <v>44168</v>
      </c>
      <c r="K42" s="15">
        <f>11180/1.19</f>
        <v>9394.957983193277</v>
      </c>
    </row>
    <row r="43" spans="2:21" ht="15" thickBot="1" x14ac:dyDescent="0.4">
      <c r="H43" s="199" t="s">
        <v>689</v>
      </c>
      <c r="I43" s="8">
        <v>1069820</v>
      </c>
      <c r="J43" s="207">
        <v>44168</v>
      </c>
      <c r="K43" s="15">
        <f>(65020+7000)</f>
        <v>72020</v>
      </c>
      <c r="Q43">
        <v>10350</v>
      </c>
    </row>
    <row r="44" spans="2:21" ht="31.5" customHeight="1" thickBot="1" x14ac:dyDescent="0.4">
      <c r="B44" s="417" t="s">
        <v>390</v>
      </c>
      <c r="C44" s="418"/>
      <c r="D44" s="418"/>
      <c r="E44" s="419"/>
      <c r="H44" s="199" t="s">
        <v>692</v>
      </c>
      <c r="I44" s="8">
        <v>1069822</v>
      </c>
      <c r="J44" s="207">
        <v>44168</v>
      </c>
      <c r="K44" s="15">
        <v>60000</v>
      </c>
      <c r="U44" s="405"/>
    </row>
    <row r="45" spans="2:21" x14ac:dyDescent="0.35">
      <c r="B45" s="116"/>
      <c r="C45" s="117"/>
      <c r="D45" s="117"/>
      <c r="E45" s="118"/>
      <c r="H45" s="199" t="s">
        <v>689</v>
      </c>
      <c r="I45" s="28">
        <v>1070271</v>
      </c>
      <c r="J45" s="207">
        <v>44202</v>
      </c>
      <c r="K45" s="15">
        <f>475030/1.19</f>
        <v>399184.87394957984</v>
      </c>
    </row>
    <row r="46" spans="2:21" x14ac:dyDescent="0.35">
      <c r="B46" s="14" t="s">
        <v>393</v>
      </c>
      <c r="C46" s="8"/>
      <c r="D46" s="8"/>
      <c r="E46" s="15">
        <f>430100</f>
        <v>430100</v>
      </c>
      <c r="H46" s="199" t="s">
        <v>547</v>
      </c>
      <c r="I46" s="28">
        <v>1070272</v>
      </c>
      <c r="J46" s="207">
        <v>44202</v>
      </c>
      <c r="K46" s="15">
        <f>60000*2</f>
        <v>120000</v>
      </c>
    </row>
    <row r="47" spans="2:21" x14ac:dyDescent="0.35">
      <c r="B47" s="14" t="s">
        <v>391</v>
      </c>
      <c r="C47" s="8"/>
      <c r="D47" s="8"/>
      <c r="E47" s="15">
        <v>280000</v>
      </c>
      <c r="H47" s="199" t="s">
        <v>695</v>
      </c>
      <c r="I47" s="8">
        <v>108</v>
      </c>
      <c r="J47" s="207">
        <v>44202</v>
      </c>
      <c r="K47" s="15">
        <f>(164901+7000)/1.19</f>
        <v>144454.62184873951</v>
      </c>
    </row>
    <row r="48" spans="2:21" x14ac:dyDescent="0.35">
      <c r="B48" s="14" t="s">
        <v>392</v>
      </c>
      <c r="C48" s="8"/>
      <c r="D48" s="8"/>
      <c r="E48" s="15">
        <f>93500*1.19</f>
        <v>111265</v>
      </c>
      <c r="H48" s="199" t="s">
        <v>683</v>
      </c>
      <c r="I48" s="28">
        <v>1070330</v>
      </c>
      <c r="J48" s="207">
        <v>44203</v>
      </c>
      <c r="K48" s="15">
        <f>283101/1.19</f>
        <v>237900</v>
      </c>
    </row>
    <row r="49" spans="2:11" x14ac:dyDescent="0.35">
      <c r="B49" s="14" t="s">
        <v>378</v>
      </c>
      <c r="C49" s="8"/>
      <c r="D49" s="8"/>
      <c r="E49" s="15">
        <f>(3028+2725)*2</f>
        <v>11506</v>
      </c>
      <c r="H49" s="199" t="s">
        <v>689</v>
      </c>
      <c r="I49" s="28">
        <v>1070344</v>
      </c>
      <c r="J49" s="207">
        <v>44203</v>
      </c>
      <c r="K49" s="15">
        <f>28988/1.19</f>
        <v>24359.663865546219</v>
      </c>
    </row>
    <row r="50" spans="2:11" x14ac:dyDescent="0.35">
      <c r="B50" s="14" t="s">
        <v>379</v>
      </c>
      <c r="C50" s="8"/>
      <c r="D50" s="8"/>
      <c r="E50" s="15">
        <v>18847</v>
      </c>
      <c r="H50" s="199" t="s">
        <v>689</v>
      </c>
      <c r="I50" s="28">
        <v>1070344</v>
      </c>
      <c r="J50" s="207">
        <v>44203</v>
      </c>
      <c r="K50" s="15">
        <f>28988/1.19</f>
        <v>24359.663865546219</v>
      </c>
    </row>
    <row r="51" spans="2:11" x14ac:dyDescent="0.35">
      <c r="B51" s="14" t="s">
        <v>380</v>
      </c>
      <c r="C51" s="8"/>
      <c r="D51" s="8"/>
      <c r="E51" s="15">
        <v>5000</v>
      </c>
      <c r="H51" s="199" t="s">
        <v>689</v>
      </c>
      <c r="I51" s="28">
        <v>1070817</v>
      </c>
      <c r="J51" s="207">
        <v>44229</v>
      </c>
      <c r="K51" s="15">
        <v>60000</v>
      </c>
    </row>
    <row r="52" spans="2:11" ht="15" thickBot="1" x14ac:dyDescent="0.4">
      <c r="B52" s="16" t="s">
        <v>381</v>
      </c>
      <c r="C52" s="17"/>
      <c r="D52" s="17"/>
      <c r="E52" s="19">
        <f>SUM(E46:E51)*1.19</f>
        <v>1019494.4199999999</v>
      </c>
      <c r="H52" s="199" t="s">
        <v>689</v>
      </c>
      <c r="I52" s="28">
        <v>1070818</v>
      </c>
      <c r="J52" s="207">
        <v>44229</v>
      </c>
      <c r="K52" s="15">
        <v>60000</v>
      </c>
    </row>
    <row r="53" spans="2:11" ht="15" thickBot="1" x14ac:dyDescent="0.4">
      <c r="H53" s="199" t="s">
        <v>689</v>
      </c>
      <c r="I53" s="28">
        <v>1071138</v>
      </c>
      <c r="J53" s="207">
        <v>44259</v>
      </c>
      <c r="K53" s="15">
        <f>475030/1.19</f>
        <v>399184.87394957984</v>
      </c>
    </row>
    <row r="54" spans="2:11" ht="31.5" customHeight="1" thickBot="1" x14ac:dyDescent="0.4">
      <c r="B54" s="417" t="s">
        <v>395</v>
      </c>
      <c r="C54" s="418"/>
      <c r="D54" s="418"/>
      <c r="E54" s="419"/>
      <c r="H54" s="199" t="s">
        <v>689</v>
      </c>
      <c r="I54" s="28">
        <v>1071139</v>
      </c>
      <c r="J54" s="207">
        <v>44259</v>
      </c>
      <c r="K54" s="15">
        <f>60000</f>
        <v>60000</v>
      </c>
    </row>
    <row r="55" spans="2:11" x14ac:dyDescent="0.35">
      <c r="B55" s="116"/>
      <c r="C55" s="117"/>
      <c r="D55" s="117"/>
      <c r="E55" s="118"/>
      <c r="H55" s="199" t="s">
        <v>689</v>
      </c>
      <c r="I55" s="28">
        <v>11071495</v>
      </c>
      <c r="J55" s="207">
        <v>44298</v>
      </c>
      <c r="K55" s="15">
        <f>262085</f>
        <v>262085</v>
      </c>
    </row>
    <row r="56" spans="2:11" ht="15" thickBot="1" x14ac:dyDescent="0.4">
      <c r="B56" s="14" t="s">
        <v>393</v>
      </c>
      <c r="C56" s="8"/>
      <c r="D56" s="8"/>
      <c r="E56" s="15">
        <f>430100</f>
        <v>430100</v>
      </c>
      <c r="H56" s="16"/>
      <c r="I56" s="17"/>
      <c r="J56" s="209"/>
      <c r="K56" s="210">
        <f>SUM(K20:K55)</f>
        <v>5664175.9663865538</v>
      </c>
    </row>
    <row r="57" spans="2:11" x14ac:dyDescent="0.35">
      <c r="B57" s="14" t="s">
        <v>391</v>
      </c>
      <c r="C57" s="8"/>
      <c r="D57" s="8"/>
      <c r="E57" s="15">
        <v>280000</v>
      </c>
    </row>
    <row r="58" spans="2:11" x14ac:dyDescent="0.35">
      <c r="B58" s="14" t="s">
        <v>396</v>
      </c>
      <c r="C58" s="8"/>
      <c r="D58" s="8"/>
      <c r="E58" s="15">
        <f>+(436411+28768+3028+2725)*1.19</f>
        <v>560409.07999999996</v>
      </c>
    </row>
    <row r="59" spans="2:11" x14ac:dyDescent="0.35">
      <c r="B59" s="14" t="s">
        <v>148</v>
      </c>
      <c r="C59" s="8"/>
      <c r="D59" s="8"/>
      <c r="E59" s="15">
        <f>88748*1.19</f>
        <v>105610.12</v>
      </c>
    </row>
    <row r="60" spans="2:11" x14ac:dyDescent="0.35">
      <c r="B60" s="14" t="s">
        <v>261</v>
      </c>
      <c r="C60" s="8"/>
      <c r="D60" s="8"/>
      <c r="E60" s="15">
        <f>115966*1.19</f>
        <v>137999.54</v>
      </c>
    </row>
    <row r="61" spans="2:11" x14ac:dyDescent="0.35">
      <c r="B61" s="14" t="s">
        <v>262</v>
      </c>
      <c r="C61" s="8"/>
      <c r="D61" s="8"/>
      <c r="E61" s="15">
        <v>290000</v>
      </c>
    </row>
    <row r="62" spans="2:11" x14ac:dyDescent="0.35">
      <c r="B62" s="14" t="s">
        <v>392</v>
      </c>
      <c r="C62" s="8"/>
      <c r="D62" s="8"/>
      <c r="E62" s="15">
        <f>93500*1.19</f>
        <v>111265</v>
      </c>
    </row>
    <row r="63" spans="2:11" x14ac:dyDescent="0.35">
      <c r="B63" s="14" t="s">
        <v>378</v>
      </c>
      <c r="C63" s="8"/>
      <c r="D63" s="8"/>
      <c r="E63" s="15">
        <f>(3028+2725)*2</f>
        <v>11506</v>
      </c>
    </row>
    <row r="64" spans="2:11" x14ac:dyDescent="0.35">
      <c r="B64" s="14" t="s">
        <v>379</v>
      </c>
      <c r="C64" s="8"/>
      <c r="D64" s="8"/>
      <c r="E64" s="15">
        <v>18847</v>
      </c>
    </row>
    <row r="65" spans="2:13" x14ac:dyDescent="0.35">
      <c r="B65" s="14" t="s">
        <v>380</v>
      </c>
      <c r="C65" s="8"/>
      <c r="D65" s="8"/>
      <c r="E65" s="15">
        <v>5000</v>
      </c>
    </row>
    <row r="66" spans="2:13" ht="15" thickBot="1" x14ac:dyDescent="0.4">
      <c r="B66" s="16" t="s">
        <v>381</v>
      </c>
      <c r="C66" s="17"/>
      <c r="D66" s="17"/>
      <c r="E66" s="19">
        <f>SUM(E56:E65)*1.19</f>
        <v>2321376.7206000001</v>
      </c>
    </row>
    <row r="68" spans="2:13" ht="15" thickBot="1" x14ac:dyDescent="0.4">
      <c r="B68" s="176" t="s">
        <v>2075</v>
      </c>
    </row>
    <row r="69" spans="2:13" ht="30" customHeight="1" x14ac:dyDescent="0.35">
      <c r="B69" s="284" t="s">
        <v>1040</v>
      </c>
      <c r="C69" s="283" t="s">
        <v>1013</v>
      </c>
      <c r="D69" s="274" t="s">
        <v>1012</v>
      </c>
      <c r="E69" s="274" t="s">
        <v>128</v>
      </c>
      <c r="F69" s="274" t="s">
        <v>132</v>
      </c>
      <c r="G69" s="274" t="s">
        <v>1014</v>
      </c>
      <c r="H69" s="274" t="s">
        <v>1015</v>
      </c>
      <c r="I69" s="274" t="s">
        <v>1016</v>
      </c>
      <c r="J69" s="274" t="s">
        <v>1017</v>
      </c>
      <c r="K69" s="274" t="s">
        <v>1018</v>
      </c>
      <c r="L69" s="275" t="s">
        <v>579</v>
      </c>
    </row>
    <row r="70" spans="2:13" x14ac:dyDescent="0.35">
      <c r="B70" s="220" t="s">
        <v>1020</v>
      </c>
      <c r="C70" s="224">
        <v>15000</v>
      </c>
      <c r="D70" s="49">
        <v>79319</v>
      </c>
      <c r="E70" s="10">
        <f>63000+7000</f>
        <v>70000</v>
      </c>
      <c r="F70" s="10">
        <v>29412</v>
      </c>
      <c r="G70" s="10"/>
      <c r="H70" s="10"/>
      <c r="I70" s="10"/>
      <c r="J70" s="10"/>
      <c r="K70" s="10"/>
      <c r="L70" s="276">
        <f>SUM(C70:K70)</f>
        <v>193731</v>
      </c>
      <c r="M70" t="s">
        <v>1031</v>
      </c>
    </row>
    <row r="71" spans="2:13" x14ac:dyDescent="0.35">
      <c r="B71" s="220" t="s">
        <v>1021</v>
      </c>
      <c r="C71" s="224">
        <v>15000</v>
      </c>
      <c r="D71" s="49">
        <v>79319</v>
      </c>
      <c r="E71" s="10">
        <f>63000+7000</f>
        <v>70000</v>
      </c>
      <c r="F71" s="10">
        <v>29412</v>
      </c>
      <c r="G71" s="10"/>
      <c r="H71" s="10"/>
      <c r="I71" s="10">
        <v>120000</v>
      </c>
      <c r="J71" s="10">
        <v>50000</v>
      </c>
      <c r="K71" s="10"/>
      <c r="L71" s="276">
        <f>SUM(C71:K71)</f>
        <v>363731</v>
      </c>
      <c r="M71" t="s">
        <v>1032</v>
      </c>
    </row>
    <row r="72" spans="2:13" x14ac:dyDescent="0.35">
      <c r="B72" s="220" t="s">
        <v>1019</v>
      </c>
      <c r="C72" s="224">
        <v>15000</v>
      </c>
      <c r="D72" s="49">
        <v>79319</v>
      </c>
      <c r="E72" s="8"/>
      <c r="F72" s="8"/>
      <c r="G72" s="8"/>
      <c r="H72" s="8"/>
      <c r="I72" s="8"/>
      <c r="J72" s="8"/>
      <c r="K72" s="8"/>
      <c r="L72" s="276">
        <f t="shared" ref="L72:L84" si="0">SUM(C72:K72)</f>
        <v>94319</v>
      </c>
    </row>
    <row r="73" spans="2:13" x14ac:dyDescent="0.35">
      <c r="B73" s="220" t="s">
        <v>1022</v>
      </c>
      <c r="C73" s="224">
        <v>15000</v>
      </c>
      <c r="D73" s="49">
        <v>79319</v>
      </c>
      <c r="E73" s="8"/>
      <c r="F73" s="8"/>
      <c r="G73" s="8"/>
      <c r="H73" s="8"/>
      <c r="I73" s="8"/>
      <c r="J73" s="8"/>
      <c r="K73" s="8"/>
      <c r="L73" s="276">
        <f t="shared" si="0"/>
        <v>94319</v>
      </c>
    </row>
    <row r="74" spans="2:13" x14ac:dyDescent="0.35">
      <c r="B74" s="220" t="s">
        <v>1023</v>
      </c>
      <c r="C74" s="224">
        <v>15000</v>
      </c>
      <c r="D74" s="49">
        <v>79319</v>
      </c>
      <c r="E74" s="10">
        <f>63000+7000</f>
        <v>70000</v>
      </c>
      <c r="F74" s="10">
        <v>29412</v>
      </c>
      <c r="G74" s="10">
        <v>900117</v>
      </c>
      <c r="H74" s="10"/>
      <c r="I74" s="10">
        <v>120000</v>
      </c>
      <c r="J74" s="10">
        <v>50000</v>
      </c>
      <c r="K74" s="10" t="s">
        <v>13</v>
      </c>
      <c r="L74" s="276">
        <f t="shared" si="0"/>
        <v>1263848</v>
      </c>
      <c r="M74" t="s">
        <v>13</v>
      </c>
    </row>
    <row r="75" spans="2:13" x14ac:dyDescent="0.35">
      <c r="B75" s="220" t="s">
        <v>1030</v>
      </c>
      <c r="C75" s="224">
        <v>15000</v>
      </c>
      <c r="D75" s="49">
        <v>79319</v>
      </c>
      <c r="E75" s="10">
        <f>63000+7000</f>
        <v>70000</v>
      </c>
      <c r="F75" s="10">
        <v>29412</v>
      </c>
      <c r="G75" s="10">
        <v>900117</v>
      </c>
      <c r="H75" s="10"/>
      <c r="I75" s="10">
        <v>120000</v>
      </c>
      <c r="J75" s="10">
        <v>50000</v>
      </c>
      <c r="K75" s="10" t="s">
        <v>13</v>
      </c>
      <c r="L75" s="276">
        <f t="shared" si="0"/>
        <v>1263848</v>
      </c>
    </row>
    <row r="76" spans="2:13" x14ac:dyDescent="0.35">
      <c r="B76" s="220" t="s">
        <v>1024</v>
      </c>
      <c r="C76" s="224">
        <v>15000</v>
      </c>
      <c r="D76" s="49" t="s">
        <v>13</v>
      </c>
      <c r="E76" s="10" t="s">
        <v>13</v>
      </c>
      <c r="F76" s="10" t="s">
        <v>13</v>
      </c>
      <c r="G76" s="10" t="s">
        <v>13</v>
      </c>
      <c r="H76" s="10">
        <v>550000</v>
      </c>
      <c r="I76" s="10" t="s">
        <v>13</v>
      </c>
      <c r="J76" s="10" t="s">
        <v>13</v>
      </c>
      <c r="K76" s="10" t="s">
        <v>13</v>
      </c>
      <c r="L76" s="276">
        <f t="shared" si="0"/>
        <v>565000</v>
      </c>
    </row>
    <row r="77" spans="2:13" x14ac:dyDescent="0.35">
      <c r="B77" s="220" t="s">
        <v>1025</v>
      </c>
      <c r="C77" s="224">
        <v>15000</v>
      </c>
      <c r="D77" s="49" t="s">
        <v>13</v>
      </c>
      <c r="E77" s="10" t="s">
        <v>13</v>
      </c>
      <c r="F77" s="10" t="s">
        <v>13</v>
      </c>
      <c r="G77" s="10" t="s">
        <v>13</v>
      </c>
      <c r="H77" s="10">
        <f>+H76</f>
        <v>550000</v>
      </c>
      <c r="I77" s="10">
        <v>120000</v>
      </c>
      <c r="J77" s="10">
        <v>50000</v>
      </c>
      <c r="K77" s="10" t="s">
        <v>13</v>
      </c>
      <c r="L77" s="276">
        <f t="shared" si="0"/>
        <v>735000</v>
      </c>
    </row>
    <row r="78" spans="2:13" x14ac:dyDescent="0.35">
      <c r="B78" s="220" t="s">
        <v>1026</v>
      </c>
      <c r="C78" s="224">
        <v>15000</v>
      </c>
      <c r="D78" s="49" t="s">
        <v>13</v>
      </c>
      <c r="E78" s="10">
        <f>63000+7000</f>
        <v>70000</v>
      </c>
      <c r="F78" s="10">
        <v>29412</v>
      </c>
      <c r="G78" s="10">
        <v>900117</v>
      </c>
      <c r="H78" s="10">
        <f>+H77</f>
        <v>550000</v>
      </c>
      <c r="I78" s="10">
        <v>120000</v>
      </c>
      <c r="J78" s="10">
        <v>50000</v>
      </c>
      <c r="K78" s="10" t="s">
        <v>13</v>
      </c>
      <c r="L78" s="276">
        <f t="shared" si="0"/>
        <v>1734529</v>
      </c>
      <c r="M78" t="s">
        <v>13</v>
      </c>
    </row>
    <row r="79" spans="2:13" x14ac:dyDescent="0.35">
      <c r="B79" s="220" t="s">
        <v>1027</v>
      </c>
      <c r="C79" s="224">
        <v>15000</v>
      </c>
      <c r="D79" s="49" t="s">
        <v>13</v>
      </c>
      <c r="E79" s="10" t="s">
        <v>13</v>
      </c>
      <c r="F79" s="10">
        <f>+F78</f>
        <v>29412</v>
      </c>
      <c r="G79" s="10" t="s">
        <v>13</v>
      </c>
      <c r="H79" s="10">
        <f>+H78</f>
        <v>550000</v>
      </c>
      <c r="I79" s="10" t="s">
        <v>13</v>
      </c>
      <c r="J79" s="10" t="s">
        <v>13</v>
      </c>
      <c r="K79" s="10"/>
      <c r="L79" s="276">
        <f t="shared" si="0"/>
        <v>594412</v>
      </c>
    </row>
    <row r="80" spans="2:13" x14ac:dyDescent="0.35">
      <c r="B80" s="220" t="s">
        <v>1028</v>
      </c>
      <c r="C80" s="224">
        <f>+C79</f>
        <v>15000</v>
      </c>
      <c r="D80" s="10"/>
      <c r="E80" s="10">
        <f>63000+7000</f>
        <v>70000</v>
      </c>
      <c r="F80" s="10">
        <v>29412</v>
      </c>
      <c r="G80" s="10">
        <v>900117</v>
      </c>
      <c r="H80" s="10">
        <f>+H79</f>
        <v>550000</v>
      </c>
      <c r="I80" s="10">
        <v>120000</v>
      </c>
      <c r="J80" s="10">
        <v>50000</v>
      </c>
      <c r="K80" s="10"/>
      <c r="L80" s="276">
        <f t="shared" si="0"/>
        <v>1734529</v>
      </c>
    </row>
    <row r="81" spans="2:13" x14ac:dyDescent="0.35">
      <c r="B81" s="220" t="s">
        <v>1041</v>
      </c>
      <c r="C81" s="224">
        <v>15000</v>
      </c>
      <c r="D81" s="49" t="s">
        <v>13</v>
      </c>
      <c r="E81" s="10">
        <f>63000+7000</f>
        <v>70000</v>
      </c>
      <c r="F81" s="10">
        <f>29412*2</f>
        <v>58824</v>
      </c>
      <c r="G81" s="10" t="s">
        <v>13</v>
      </c>
      <c r="H81" s="10">
        <f>+H78*2</f>
        <v>1100000</v>
      </c>
      <c r="I81" s="10" t="s">
        <v>13</v>
      </c>
      <c r="J81" s="10" t="s">
        <v>13</v>
      </c>
      <c r="K81" s="10" t="s">
        <v>13</v>
      </c>
      <c r="L81" s="276">
        <f>SUM(C81:K81)</f>
        <v>1243824</v>
      </c>
    </row>
    <row r="82" spans="2:13" x14ac:dyDescent="0.35">
      <c r="B82" s="220" t="s">
        <v>1042</v>
      </c>
      <c r="C82" s="224">
        <v>15000</v>
      </c>
      <c r="D82" s="49" t="s">
        <v>13</v>
      </c>
      <c r="E82" s="10">
        <f>63000+7000</f>
        <v>70000</v>
      </c>
      <c r="F82" s="10">
        <f>29412*2</f>
        <v>58824</v>
      </c>
      <c r="G82" s="10" t="s">
        <v>13</v>
      </c>
      <c r="H82" s="10">
        <f>+H79*2</f>
        <v>1100000</v>
      </c>
      <c r="I82" s="10" t="s">
        <v>13</v>
      </c>
      <c r="J82" s="10" t="s">
        <v>13</v>
      </c>
      <c r="K82" s="10" t="s">
        <v>13</v>
      </c>
      <c r="L82" s="276">
        <f>SUM(C82:K82)</f>
        <v>1243824</v>
      </c>
    </row>
    <row r="83" spans="2:13" x14ac:dyDescent="0.35">
      <c r="B83" s="220" t="s">
        <v>1043</v>
      </c>
      <c r="C83" s="224">
        <v>15000</v>
      </c>
      <c r="D83" s="49" t="s">
        <v>13</v>
      </c>
      <c r="E83" s="10">
        <f>63000+7000</f>
        <v>70000</v>
      </c>
      <c r="F83" s="10">
        <f>29412*2</f>
        <v>58824</v>
      </c>
      <c r="G83" s="10">
        <v>900117</v>
      </c>
      <c r="H83" s="10">
        <f>+H80*2</f>
        <v>1100000</v>
      </c>
      <c r="I83" s="10">
        <v>120000</v>
      </c>
      <c r="J83" s="10" t="s">
        <v>13</v>
      </c>
      <c r="K83" s="10">
        <v>69954</v>
      </c>
      <c r="L83" s="276">
        <f t="shared" si="0"/>
        <v>2333895</v>
      </c>
    </row>
    <row r="84" spans="2:13" ht="15" thickBot="1" x14ac:dyDescent="0.4">
      <c r="B84" s="227" t="s">
        <v>1044</v>
      </c>
      <c r="C84" s="268">
        <v>15000</v>
      </c>
      <c r="D84" s="277">
        <v>79319</v>
      </c>
      <c r="E84" s="18">
        <f>63000+7000</f>
        <v>70000</v>
      </c>
      <c r="F84" s="18">
        <f>29412*2</f>
        <v>58824</v>
      </c>
      <c r="G84" s="18">
        <v>900117</v>
      </c>
      <c r="H84" s="18">
        <f>+H80</f>
        <v>550000</v>
      </c>
      <c r="I84" s="18">
        <v>120000</v>
      </c>
      <c r="J84" s="18" t="s">
        <v>13</v>
      </c>
      <c r="K84" s="18">
        <v>69954</v>
      </c>
      <c r="L84" s="210">
        <f t="shared" si="0"/>
        <v>1863214</v>
      </c>
      <c r="M84" t="s">
        <v>1033</v>
      </c>
    </row>
    <row r="85" spans="2:13" ht="15" thickBot="1" x14ac:dyDescent="0.4"/>
    <row r="86" spans="2:13" x14ac:dyDescent="0.35">
      <c r="B86" s="11"/>
      <c r="C86" s="279" t="s">
        <v>1037</v>
      </c>
      <c r="D86" s="279" t="s">
        <v>1038</v>
      </c>
      <c r="E86" s="57" t="s">
        <v>1039</v>
      </c>
    </row>
    <row r="87" spans="2:13" x14ac:dyDescent="0.35">
      <c r="B87" s="14" t="s">
        <v>1034</v>
      </c>
      <c r="C87" s="278">
        <f>+(420+(1800+1400/3)/10+30000/400)</f>
        <v>721.66666666666663</v>
      </c>
      <c r="D87" s="278">
        <v>2633</v>
      </c>
      <c r="E87" s="280">
        <f>+(D87-C87)/D87</f>
        <v>0.72591467274338528</v>
      </c>
      <c r="H87">
        <f>115*840*1.19</f>
        <v>114954</v>
      </c>
    </row>
    <row r="88" spans="2:13" x14ac:dyDescent="0.35">
      <c r="B88" s="14" t="s">
        <v>1035</v>
      </c>
      <c r="C88" s="278">
        <f>+(420+(1800+1400/3)/10+30000/400+323)/2</f>
        <v>522.33333333333326</v>
      </c>
      <c r="D88" s="278">
        <v>3810</v>
      </c>
      <c r="E88" s="280">
        <f>+(D88-C88)/D88</f>
        <v>0.86290463692038499</v>
      </c>
    </row>
    <row r="89" spans="2:13" ht="15" thickBot="1" x14ac:dyDescent="0.4">
      <c r="B89" s="16" t="s">
        <v>1036</v>
      </c>
      <c r="C89" s="285">
        <f>831+(1800+1400/3)/10</f>
        <v>1057.6666666666667</v>
      </c>
      <c r="D89" s="281">
        <v>3473</v>
      </c>
      <c r="E89" s="282">
        <f>+(D89-C89)/D89</f>
        <v>0.6954602169114118</v>
      </c>
    </row>
    <row r="91" spans="2:13" ht="15" thickBot="1" x14ac:dyDescent="0.4">
      <c r="B91" s="176" t="s">
        <v>2076</v>
      </c>
    </row>
    <row r="92" spans="2:13" ht="29.5" thickBot="1" x14ac:dyDescent="0.4">
      <c r="B92" s="366" t="s">
        <v>1040</v>
      </c>
      <c r="C92" s="367" t="s">
        <v>1013</v>
      </c>
      <c r="D92" s="368" t="s">
        <v>1012</v>
      </c>
      <c r="E92" s="368" t="s">
        <v>128</v>
      </c>
      <c r="F92" s="368" t="s">
        <v>132</v>
      </c>
      <c r="G92" s="368" t="s">
        <v>1014</v>
      </c>
      <c r="H92" s="368" t="s">
        <v>1015</v>
      </c>
      <c r="I92" s="368" t="s">
        <v>1016</v>
      </c>
      <c r="J92" s="368" t="s">
        <v>1017</v>
      </c>
      <c r="K92" s="368" t="s">
        <v>1018</v>
      </c>
      <c r="L92" s="369" t="s">
        <v>579</v>
      </c>
    </row>
    <row r="93" spans="2:13" x14ac:dyDescent="0.35">
      <c r="B93" s="11" t="s">
        <v>1020</v>
      </c>
      <c r="C93" s="198">
        <v>15000</v>
      </c>
      <c r="D93" s="370">
        <f t="shared" ref="D93:D98" si="1">85665*1.19</f>
        <v>101941.34999999999</v>
      </c>
      <c r="E93" s="198">
        <v>95000</v>
      </c>
      <c r="F93" s="198">
        <v>37000</v>
      </c>
      <c r="G93" s="198"/>
      <c r="H93" s="198"/>
      <c r="I93" s="198"/>
      <c r="J93" s="198"/>
      <c r="K93" s="198"/>
      <c r="L93" s="245">
        <f>SUM(C93:K93)</f>
        <v>248941.34999999998</v>
      </c>
      <c r="M93" t="s">
        <v>1031</v>
      </c>
    </row>
    <row r="94" spans="2:13" x14ac:dyDescent="0.35">
      <c r="B94" s="14" t="s">
        <v>1021</v>
      </c>
      <c r="C94" s="10">
        <v>15000</v>
      </c>
      <c r="D94" s="49">
        <f t="shared" si="1"/>
        <v>101941.34999999999</v>
      </c>
      <c r="E94" s="10">
        <v>95000</v>
      </c>
      <c r="F94" s="10">
        <v>37000</v>
      </c>
      <c r="G94" s="10"/>
      <c r="H94" s="10"/>
      <c r="I94" s="10">
        <v>120000</v>
      </c>
      <c r="J94" s="10">
        <v>50000</v>
      </c>
      <c r="K94" s="10"/>
      <c r="L94" s="276">
        <f>SUM(C94:K94)</f>
        <v>418941.35</v>
      </c>
      <c r="M94" t="s">
        <v>1032</v>
      </c>
    </row>
    <row r="95" spans="2:13" x14ac:dyDescent="0.35">
      <c r="B95" s="14" t="s">
        <v>1019</v>
      </c>
      <c r="C95" s="10">
        <v>15000</v>
      </c>
      <c r="D95" s="49">
        <f t="shared" si="1"/>
        <v>101941.34999999999</v>
      </c>
      <c r="E95" s="8"/>
      <c r="F95" s="8"/>
      <c r="G95" s="8"/>
      <c r="H95" s="8"/>
      <c r="I95" s="8"/>
      <c r="J95" s="8"/>
      <c r="K95" s="8"/>
      <c r="L95" s="276">
        <f t="shared" ref="L95:L103" si="2">SUM(C95:K95)</f>
        <v>116941.34999999999</v>
      </c>
    </row>
    <row r="96" spans="2:13" x14ac:dyDescent="0.35">
      <c r="B96" s="14" t="s">
        <v>1022</v>
      </c>
      <c r="C96" s="10">
        <v>15000</v>
      </c>
      <c r="D96" s="49">
        <f t="shared" si="1"/>
        <v>101941.34999999999</v>
      </c>
      <c r="E96" s="8"/>
      <c r="F96" s="8"/>
      <c r="G96" s="8"/>
      <c r="H96" s="8"/>
      <c r="I96" s="8"/>
      <c r="J96" s="8"/>
      <c r="K96" s="8"/>
      <c r="L96" s="276">
        <f t="shared" si="2"/>
        <v>116941.34999999999</v>
      </c>
    </row>
    <row r="97" spans="2:13" x14ac:dyDescent="0.35">
      <c r="B97" s="14" t="s">
        <v>1023</v>
      </c>
      <c r="C97" s="10">
        <v>15000</v>
      </c>
      <c r="D97" s="49">
        <f t="shared" si="1"/>
        <v>101941.34999999999</v>
      </c>
      <c r="E97" s="10">
        <v>95000</v>
      </c>
      <c r="F97" s="10">
        <v>37000</v>
      </c>
      <c r="G97" s="10">
        <f>780000*1.19</f>
        <v>928200</v>
      </c>
      <c r="H97" s="10"/>
      <c r="I97" s="10">
        <v>120000</v>
      </c>
      <c r="J97" s="10">
        <v>50000</v>
      </c>
      <c r="K97" s="10" t="s">
        <v>13</v>
      </c>
      <c r="L97" s="276">
        <f t="shared" si="2"/>
        <v>1347141.35</v>
      </c>
      <c r="M97" t="s">
        <v>13</v>
      </c>
    </row>
    <row r="98" spans="2:13" x14ac:dyDescent="0.35">
      <c r="B98" s="14" t="s">
        <v>1030</v>
      </c>
      <c r="C98" s="10">
        <v>15000</v>
      </c>
      <c r="D98" s="49">
        <f t="shared" si="1"/>
        <v>101941.34999999999</v>
      </c>
      <c r="E98" s="10">
        <v>95000</v>
      </c>
      <c r="F98" s="10">
        <v>37000</v>
      </c>
      <c r="G98" s="10">
        <f>780000*1.19</f>
        <v>928200</v>
      </c>
      <c r="H98" s="10"/>
      <c r="I98" s="10">
        <v>120000</v>
      </c>
      <c r="J98" s="10">
        <v>50000</v>
      </c>
      <c r="K98" s="10" t="s">
        <v>13</v>
      </c>
      <c r="L98" s="276">
        <f t="shared" si="2"/>
        <v>1347141.35</v>
      </c>
    </row>
    <row r="99" spans="2:13" x14ac:dyDescent="0.35">
      <c r="B99" s="14" t="s">
        <v>1024</v>
      </c>
      <c r="C99" s="10">
        <v>30000</v>
      </c>
      <c r="D99" s="49" t="s">
        <v>13</v>
      </c>
      <c r="E99" s="10" t="s">
        <v>13</v>
      </c>
      <c r="F99" s="10" t="s">
        <v>13</v>
      </c>
      <c r="G99" s="10" t="s">
        <v>13</v>
      </c>
      <c r="H99" s="10">
        <f>623000*1.19</f>
        <v>741370</v>
      </c>
      <c r="I99" s="10" t="s">
        <v>13</v>
      </c>
      <c r="J99" s="10" t="s">
        <v>13</v>
      </c>
      <c r="K99" s="10" t="s">
        <v>13</v>
      </c>
      <c r="L99" s="276">
        <f t="shared" si="2"/>
        <v>771370</v>
      </c>
    </row>
    <row r="100" spans="2:13" x14ac:dyDescent="0.35">
      <c r="B100" s="14" t="s">
        <v>1025</v>
      </c>
      <c r="C100" s="10">
        <v>30000</v>
      </c>
      <c r="D100" s="49" t="s">
        <v>13</v>
      </c>
      <c r="E100" s="10" t="s">
        <v>13</v>
      </c>
      <c r="F100" s="10" t="s">
        <v>13</v>
      </c>
      <c r="G100" s="10" t="s">
        <v>13</v>
      </c>
      <c r="H100" s="10">
        <f>+H99</f>
        <v>741370</v>
      </c>
      <c r="I100" s="10">
        <v>180000</v>
      </c>
      <c r="J100" s="10">
        <v>50000</v>
      </c>
      <c r="K100" s="10" t="s">
        <v>13</v>
      </c>
      <c r="L100" s="276">
        <f t="shared" si="2"/>
        <v>1001370</v>
      </c>
    </row>
    <row r="101" spans="2:13" x14ac:dyDescent="0.35">
      <c r="B101" s="14" t="s">
        <v>1026</v>
      </c>
      <c r="C101" s="10">
        <v>30000</v>
      </c>
      <c r="D101" s="49" t="s">
        <v>13</v>
      </c>
      <c r="E101" s="10">
        <v>95000</v>
      </c>
      <c r="F101" s="10">
        <v>37000</v>
      </c>
      <c r="G101" s="10">
        <f>780000*1.19</f>
        <v>928200</v>
      </c>
      <c r="H101" s="10">
        <f>+H100</f>
        <v>741370</v>
      </c>
      <c r="I101" s="10">
        <v>180000</v>
      </c>
      <c r="J101" s="10">
        <v>50000</v>
      </c>
      <c r="K101" s="10" t="s">
        <v>13</v>
      </c>
      <c r="L101" s="276">
        <f t="shared" si="2"/>
        <v>2061570</v>
      </c>
      <c r="M101" t="s">
        <v>13</v>
      </c>
    </row>
    <row r="102" spans="2:13" x14ac:dyDescent="0.35">
      <c r="B102" s="14" t="s">
        <v>1027</v>
      </c>
      <c r="C102" s="10">
        <v>30000</v>
      </c>
      <c r="D102" s="49" t="s">
        <v>13</v>
      </c>
      <c r="E102" s="10" t="s">
        <v>13</v>
      </c>
      <c r="F102" s="10">
        <v>37000</v>
      </c>
      <c r="G102" s="10" t="s">
        <v>13</v>
      </c>
      <c r="H102" s="10">
        <f>+H101</f>
        <v>741370</v>
      </c>
      <c r="I102" s="10" t="s">
        <v>13</v>
      </c>
      <c r="J102" s="10" t="s">
        <v>13</v>
      </c>
      <c r="K102" s="10"/>
      <c r="L102" s="276">
        <f t="shared" si="2"/>
        <v>808370</v>
      </c>
    </row>
    <row r="103" spans="2:13" x14ac:dyDescent="0.35">
      <c r="B103" s="14" t="s">
        <v>1028</v>
      </c>
      <c r="C103" s="10">
        <v>30000</v>
      </c>
      <c r="D103" s="10"/>
      <c r="E103" s="10">
        <v>95000</v>
      </c>
      <c r="F103" s="10">
        <v>37000</v>
      </c>
      <c r="G103" s="10">
        <f>780000*1.19</f>
        <v>928200</v>
      </c>
      <c r="H103" s="10">
        <f>+H102</f>
        <v>741370</v>
      </c>
      <c r="I103" s="10">
        <v>180000</v>
      </c>
      <c r="J103" s="10">
        <v>50000</v>
      </c>
      <c r="K103" s="10"/>
      <c r="L103" s="276">
        <f t="shared" si="2"/>
        <v>2061570</v>
      </c>
    </row>
    <row r="104" spans="2:13" x14ac:dyDescent="0.35">
      <c r="B104" s="14" t="s">
        <v>1041</v>
      </c>
      <c r="C104" s="10">
        <v>30000</v>
      </c>
      <c r="D104" s="49" t="s">
        <v>13</v>
      </c>
      <c r="E104" s="10">
        <v>150000</v>
      </c>
      <c r="F104" s="10">
        <f>+F103*2</f>
        <v>74000</v>
      </c>
      <c r="G104" s="10" t="s">
        <v>13</v>
      </c>
      <c r="H104" s="10">
        <f>+H101*2</f>
        <v>1482740</v>
      </c>
      <c r="I104" s="10" t="s">
        <v>13</v>
      </c>
      <c r="J104" s="10" t="s">
        <v>13</v>
      </c>
      <c r="K104" s="10" t="s">
        <v>13</v>
      </c>
      <c r="L104" s="276">
        <f>SUM(C104:K104)</f>
        <v>1736740</v>
      </c>
    </row>
    <row r="105" spans="2:13" x14ac:dyDescent="0.35">
      <c r="B105" s="14" t="s">
        <v>1042</v>
      </c>
      <c r="C105" s="10">
        <v>30000</v>
      </c>
      <c r="D105" s="49" t="s">
        <v>13</v>
      </c>
      <c r="E105" s="10">
        <v>150000</v>
      </c>
      <c r="F105" s="10">
        <f>+F104</f>
        <v>74000</v>
      </c>
      <c r="G105" s="10" t="s">
        <v>13</v>
      </c>
      <c r="H105" s="10">
        <f>+H102*2</f>
        <v>1482740</v>
      </c>
      <c r="I105" s="10" t="s">
        <v>13</v>
      </c>
      <c r="J105" s="10" t="s">
        <v>13</v>
      </c>
      <c r="K105" s="10" t="s">
        <v>13</v>
      </c>
      <c r="L105" s="276">
        <f>SUM(C105:K105)</f>
        <v>1736740</v>
      </c>
    </row>
    <row r="106" spans="2:13" x14ac:dyDescent="0.35">
      <c r="B106" s="14" t="s">
        <v>1043</v>
      </c>
      <c r="C106" s="10">
        <v>60000</v>
      </c>
      <c r="D106" s="49" t="s">
        <v>13</v>
      </c>
      <c r="E106" s="10">
        <v>150000</v>
      </c>
      <c r="F106" s="10">
        <f>+F105</f>
        <v>74000</v>
      </c>
      <c r="G106" s="10">
        <f>780000*1.19</f>
        <v>928200</v>
      </c>
      <c r="H106" s="10">
        <f>+H103*2</f>
        <v>1482740</v>
      </c>
      <c r="I106" s="10">
        <v>180000</v>
      </c>
      <c r="J106" s="10" t="s">
        <v>13</v>
      </c>
      <c r="K106" s="10">
        <v>69954</v>
      </c>
      <c r="L106" s="276">
        <f>SUM(C106:K106)</f>
        <v>2944894</v>
      </c>
    </row>
    <row r="107" spans="2:13" x14ac:dyDescent="0.35">
      <c r="B107" s="14" t="s">
        <v>1044</v>
      </c>
      <c r="C107" s="10">
        <v>60000</v>
      </c>
      <c r="D107" s="49">
        <f>85665*1.19</f>
        <v>101941.34999999999</v>
      </c>
      <c r="E107" s="10">
        <v>150000</v>
      </c>
      <c r="F107" s="10">
        <f>+F106</f>
        <v>74000</v>
      </c>
      <c r="G107" s="10">
        <f>780000*1.19</f>
        <v>928200</v>
      </c>
      <c r="H107" s="10">
        <f>+H103</f>
        <v>741370</v>
      </c>
      <c r="I107" s="10">
        <v>180000</v>
      </c>
      <c r="J107" s="10" t="s">
        <v>13</v>
      </c>
      <c r="K107" s="10">
        <v>69954</v>
      </c>
      <c r="L107" s="276">
        <f>SUM(C107:K107)</f>
        <v>2305465.35</v>
      </c>
      <c r="M107" t="s">
        <v>1033</v>
      </c>
    </row>
    <row r="108" spans="2:13" ht="15" thickBot="1" x14ac:dyDescent="0.4">
      <c r="B108" s="16" t="s">
        <v>2077</v>
      </c>
      <c r="C108" s="18">
        <v>90000</v>
      </c>
      <c r="D108" s="277">
        <f>85665*1.19</f>
        <v>101941.34999999999</v>
      </c>
      <c r="E108" s="18">
        <v>170000</v>
      </c>
      <c r="F108" s="18">
        <f>74000+37000</f>
        <v>111000</v>
      </c>
      <c r="G108" s="18">
        <f>780000*1.19</f>
        <v>928200</v>
      </c>
      <c r="H108" s="18">
        <f>+H104</f>
        <v>1482740</v>
      </c>
      <c r="I108" s="18">
        <v>180000</v>
      </c>
      <c r="J108" s="18">
        <v>50000</v>
      </c>
      <c r="K108" s="18">
        <v>69954</v>
      </c>
      <c r="L108" s="210">
        <f>SUM(C108:K108)</f>
        <v>3183835.35</v>
      </c>
    </row>
    <row r="111" spans="2:13" x14ac:dyDescent="0.35">
      <c r="B111" t="s">
        <v>2070</v>
      </c>
      <c r="G111">
        <v>133</v>
      </c>
    </row>
    <row r="112" spans="2:13" x14ac:dyDescent="0.35">
      <c r="B112" t="s">
        <v>2071</v>
      </c>
      <c r="G112">
        <v>623</v>
      </c>
    </row>
    <row r="113" spans="2:7" x14ac:dyDescent="0.35">
      <c r="B113" t="s">
        <v>2072</v>
      </c>
      <c r="G113">
        <v>86</v>
      </c>
    </row>
    <row r="114" spans="2:7" x14ac:dyDescent="0.35">
      <c r="B114" t="s">
        <v>2073</v>
      </c>
      <c r="G114">
        <v>100</v>
      </c>
    </row>
    <row r="115" spans="2:7" x14ac:dyDescent="0.35">
      <c r="B115" t="s">
        <v>2074</v>
      </c>
      <c r="G115">
        <v>20</v>
      </c>
    </row>
    <row r="116" spans="2:7" x14ac:dyDescent="0.35">
      <c r="G116">
        <v>780</v>
      </c>
    </row>
  </sheetData>
  <mergeCells count="4">
    <mergeCell ref="B24:E24"/>
    <mergeCell ref="B34:E34"/>
    <mergeCell ref="B44:E44"/>
    <mergeCell ref="B54:E54"/>
  </mergeCells>
  <conditionalFormatting sqref="O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2"/>
  <sheetViews>
    <sheetView workbookViewId="0">
      <selection activeCell="AK27" sqref="AK27"/>
    </sheetView>
  </sheetViews>
  <sheetFormatPr baseColWidth="10" defaultColWidth="11.08984375" defaultRowHeight="14.5" x14ac:dyDescent="0.35"/>
  <cols>
    <col min="1" max="1" width="16.26953125" customWidth="1"/>
    <col min="2" max="2" width="18.26953125" customWidth="1"/>
    <col min="4" max="4" width="13.54296875" customWidth="1"/>
    <col min="7" max="7" width="16.26953125" customWidth="1"/>
    <col min="10" max="10" width="15.54296875" customWidth="1"/>
  </cols>
  <sheetData>
    <row r="1" spans="1:11" ht="15" thickBot="1" x14ac:dyDescent="0.4">
      <c r="A1" t="s">
        <v>13</v>
      </c>
    </row>
    <row r="2" spans="1:11" ht="15" thickBot="1" x14ac:dyDescent="0.4">
      <c r="B2" s="420" t="s">
        <v>741</v>
      </c>
      <c r="C2" s="421"/>
      <c r="D2" s="422"/>
      <c r="E2" s="420" t="s">
        <v>683</v>
      </c>
      <c r="F2" s="421"/>
      <c r="G2" s="422"/>
      <c r="H2" s="420" t="s">
        <v>742</v>
      </c>
      <c r="I2" s="421"/>
      <c r="J2" s="422"/>
    </row>
    <row r="3" spans="1:11" x14ac:dyDescent="0.35">
      <c r="B3" s="11" t="s">
        <v>647</v>
      </c>
      <c r="C3" s="12" t="s">
        <v>648</v>
      </c>
      <c r="D3" s="147" t="s">
        <v>697</v>
      </c>
      <c r="E3" s="213" t="s">
        <v>647</v>
      </c>
      <c r="F3" s="12" t="s">
        <v>648</v>
      </c>
      <c r="G3" s="147" t="s">
        <v>698</v>
      </c>
      <c r="H3" s="213" t="s">
        <v>647</v>
      </c>
      <c r="I3" s="12" t="s">
        <v>648</v>
      </c>
      <c r="J3" s="218" t="s">
        <v>699</v>
      </c>
      <c r="K3" s="219" t="s">
        <v>700</v>
      </c>
    </row>
    <row r="4" spans="1:11" x14ac:dyDescent="0.35">
      <c r="A4" s="179">
        <v>44105</v>
      </c>
      <c r="B4" s="14">
        <v>120</v>
      </c>
      <c r="C4" s="8">
        <v>120</v>
      </c>
      <c r="D4" s="148">
        <v>0</v>
      </c>
      <c r="E4" s="214">
        <v>120</v>
      </c>
      <c r="F4" s="8"/>
      <c r="G4" s="148">
        <v>0</v>
      </c>
      <c r="H4" s="214" t="s">
        <v>13</v>
      </c>
      <c r="I4" s="8"/>
      <c r="J4" s="133" t="s">
        <v>13</v>
      </c>
      <c r="K4" s="220"/>
    </row>
    <row r="5" spans="1:11" ht="15" thickBot="1" x14ac:dyDescent="0.4">
      <c r="A5" s="179">
        <v>44136</v>
      </c>
      <c r="B5" s="14">
        <v>2700</v>
      </c>
      <c r="C5" s="8"/>
      <c r="D5" s="148"/>
      <c r="E5" s="214">
        <v>2700</v>
      </c>
      <c r="F5" s="8"/>
      <c r="G5" s="148"/>
      <c r="H5" s="214" t="s">
        <v>13</v>
      </c>
      <c r="I5" s="8"/>
      <c r="J5" s="133"/>
      <c r="K5" s="220"/>
    </row>
    <row r="6" spans="1:11" ht="15" thickBot="1" x14ac:dyDescent="0.4">
      <c r="A6" s="27" t="s">
        <v>701</v>
      </c>
      <c r="B6" s="217"/>
      <c r="C6" s="215">
        <v>0</v>
      </c>
      <c r="D6" s="152" t="e">
        <f>+#REF!-C6</f>
        <v>#REF!</v>
      </c>
      <c r="E6" s="217"/>
      <c r="F6" s="215">
        <v>140</v>
      </c>
      <c r="G6" s="152" t="e">
        <f>+#REF!-F6</f>
        <v>#REF!</v>
      </c>
      <c r="H6" s="217"/>
      <c r="I6" s="215">
        <v>80</v>
      </c>
      <c r="J6" s="221" t="e">
        <f>+#REF!-I6</f>
        <v>#REF!</v>
      </c>
      <c r="K6" s="87" t="e">
        <f>+J6+G6+D6</f>
        <v>#REF!</v>
      </c>
    </row>
    <row r="7" spans="1:11" ht="15" thickBot="1" x14ac:dyDescent="0.4">
      <c r="A7" s="27" t="s">
        <v>740</v>
      </c>
      <c r="B7" s="217">
        <v>0</v>
      </c>
      <c r="C7" s="215">
        <v>0</v>
      </c>
      <c r="D7" s="152" t="e">
        <f>+D6-C7</f>
        <v>#REF!</v>
      </c>
      <c r="E7" s="217">
        <v>0</v>
      </c>
      <c r="F7" s="215">
        <f>40+20</f>
        <v>60</v>
      </c>
      <c r="G7" s="152" t="e">
        <f>+G6-F7</f>
        <v>#REF!</v>
      </c>
      <c r="H7" s="217">
        <f>40+20</f>
        <v>60</v>
      </c>
      <c r="I7" s="215">
        <f>15+5+10+5</f>
        <v>35</v>
      </c>
      <c r="J7" s="221" t="e">
        <f>+J6-I7</f>
        <v>#REF!</v>
      </c>
      <c r="K7" s="87" t="e">
        <f>+J7+G7+D7</f>
        <v>#REF!</v>
      </c>
    </row>
    <row r="8" spans="1:11" ht="15" thickBot="1" x14ac:dyDescent="0.4">
      <c r="A8" t="s">
        <v>877</v>
      </c>
      <c r="B8" s="217"/>
      <c r="C8" s="215"/>
      <c r="D8" s="152">
        <v>0</v>
      </c>
      <c r="E8" s="217"/>
      <c r="F8" s="215"/>
      <c r="G8" s="152">
        <v>0</v>
      </c>
      <c r="H8" s="217"/>
      <c r="I8" s="215">
        <v>25</v>
      </c>
      <c r="J8" s="221" t="e">
        <f>+J7-I8</f>
        <v>#REF!</v>
      </c>
      <c r="K8" s="87" t="e">
        <f>+J8+G8+D8</f>
        <v>#REF!</v>
      </c>
    </row>
    <row r="9" spans="1:11" ht="15" thickBot="1" x14ac:dyDescent="0.4">
      <c r="B9" t="s">
        <v>824</v>
      </c>
      <c r="C9">
        <f>SUM(C4:C7)</f>
        <v>120</v>
      </c>
      <c r="D9" s="3">
        <f>+C9*690*1.19</f>
        <v>98532</v>
      </c>
      <c r="G9" s="3">
        <f>+F9*690*1.19</f>
        <v>0</v>
      </c>
    </row>
    <row r="10" spans="1:11" ht="15" thickBot="1" x14ac:dyDescent="0.4">
      <c r="B10" t="s">
        <v>825</v>
      </c>
      <c r="C10" s="1">
        <v>44258</v>
      </c>
      <c r="D10" s="3">
        <v>400000</v>
      </c>
      <c r="G10" s="152">
        <f>87189+30</f>
        <v>87219</v>
      </c>
    </row>
    <row r="11" spans="1:11" x14ac:dyDescent="0.35">
      <c r="B11" s="2" t="s">
        <v>826</v>
      </c>
      <c r="C11" s="2"/>
      <c r="D11" s="72">
        <f>+D9-D10</f>
        <v>-301468</v>
      </c>
      <c r="G11" t="s">
        <v>13</v>
      </c>
    </row>
    <row r="15" spans="1:11" x14ac:dyDescent="0.35">
      <c r="B15" t="s">
        <v>13</v>
      </c>
    </row>
    <row r="22" spans="5:6" x14ac:dyDescent="0.35">
      <c r="E22" s="172">
        <f>+E18+E20</f>
        <v>0</v>
      </c>
      <c r="F22" s="104" t="s">
        <v>13</v>
      </c>
    </row>
  </sheetData>
  <mergeCells count="3">
    <mergeCell ref="B2:D2"/>
    <mergeCell ref="E2:G2"/>
    <mergeCell ref="H2:J2"/>
  </mergeCells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P63"/>
  <sheetViews>
    <sheetView workbookViewId="0"/>
  </sheetViews>
  <sheetFormatPr baseColWidth="10" defaultColWidth="11.08984375" defaultRowHeight="14.5" x14ac:dyDescent="0.35"/>
  <cols>
    <col min="3" max="3" width="31.81640625" customWidth="1"/>
    <col min="4" max="4" width="11.81640625" bestFit="1" customWidth="1"/>
    <col min="5" max="5" width="15.26953125" customWidth="1"/>
    <col min="6" max="6" width="16.81640625" customWidth="1"/>
    <col min="8" max="8" width="13.1796875" customWidth="1"/>
    <col min="11" max="11" width="21.81640625" customWidth="1"/>
    <col min="13" max="14" width="15.7265625" customWidth="1"/>
    <col min="15" max="15" width="14.1796875" customWidth="1"/>
    <col min="16" max="16" width="13.1796875" customWidth="1"/>
  </cols>
  <sheetData>
    <row r="1" spans="3:16" ht="15" thickBot="1" x14ac:dyDescent="0.4"/>
    <row r="2" spans="3:16" ht="15" thickBot="1" x14ac:dyDescent="0.4">
      <c r="C2" s="178" t="s">
        <v>651</v>
      </c>
      <c r="D2" s="189" t="s">
        <v>649</v>
      </c>
      <c r="E2" s="190" t="s">
        <v>650</v>
      </c>
    </row>
    <row r="3" spans="3:16" x14ac:dyDescent="0.35">
      <c r="C3" s="180">
        <v>43753</v>
      </c>
      <c r="D3" s="184">
        <v>250000</v>
      </c>
      <c r="E3" s="182"/>
    </row>
    <row r="4" spans="3:16" x14ac:dyDescent="0.35">
      <c r="C4" s="181">
        <v>43754</v>
      </c>
      <c r="D4" s="185">
        <v>2750000</v>
      </c>
      <c r="E4" s="183">
        <v>3000000</v>
      </c>
    </row>
    <row r="5" spans="3:16" x14ac:dyDescent="0.35">
      <c r="C5" s="181">
        <v>43829</v>
      </c>
      <c r="D5" s="185"/>
      <c r="E5" s="183">
        <v>2500000</v>
      </c>
    </row>
    <row r="6" spans="3:16" x14ac:dyDescent="0.35">
      <c r="C6" s="181">
        <v>43837</v>
      </c>
      <c r="D6" s="185">
        <v>2500000</v>
      </c>
      <c r="E6" s="183"/>
    </row>
    <row r="7" spans="3:16" x14ac:dyDescent="0.35">
      <c r="C7" s="181">
        <v>43908</v>
      </c>
      <c r="D7" s="185"/>
      <c r="E7" s="183">
        <v>2500000</v>
      </c>
    </row>
    <row r="8" spans="3:16" x14ac:dyDescent="0.35">
      <c r="C8" s="181">
        <v>44145</v>
      </c>
      <c r="D8" s="185">
        <v>250000</v>
      </c>
      <c r="E8" s="183"/>
    </row>
    <row r="9" spans="3:16" x14ac:dyDescent="0.35">
      <c r="C9" s="181">
        <v>44148</v>
      </c>
      <c r="D9" s="185">
        <v>1950000</v>
      </c>
      <c r="E9" s="183"/>
    </row>
    <row r="10" spans="3:16" ht="15" thickBot="1" x14ac:dyDescent="0.4">
      <c r="C10" s="206">
        <v>44306</v>
      </c>
      <c r="D10" s="186">
        <v>300000</v>
      </c>
      <c r="E10" s="187"/>
    </row>
    <row r="11" spans="3:16" ht="15" thickBot="1" x14ac:dyDescent="0.4">
      <c r="C11" s="88"/>
      <c r="D11" s="90">
        <f>SUM(D3:D10)</f>
        <v>8000000</v>
      </c>
      <c r="E11" s="188">
        <f>SUM(E3:E10)</f>
        <v>8000000</v>
      </c>
      <c r="K11" s="243" t="s">
        <v>788</v>
      </c>
      <c r="L11" s="66" t="s">
        <v>790</v>
      </c>
      <c r="M11" s="66"/>
      <c r="N11" s="66"/>
      <c r="O11" s="66"/>
      <c r="P11" s="83"/>
    </row>
    <row r="12" spans="3:16" ht="15" thickBot="1" x14ac:dyDescent="0.4">
      <c r="K12" s="43"/>
      <c r="L12" s="76" t="s">
        <v>791</v>
      </c>
      <c r="M12" s="76"/>
      <c r="N12" s="76"/>
      <c r="O12" s="76"/>
      <c r="P12" s="239"/>
    </row>
    <row r="13" spans="3:16" ht="15" thickBot="1" x14ac:dyDescent="0.4">
      <c r="C13" t="s">
        <v>250</v>
      </c>
      <c r="E13" s="241">
        <v>44474</v>
      </c>
      <c r="K13" s="41" t="s">
        <v>250</v>
      </c>
      <c r="M13" s="242">
        <v>44474</v>
      </c>
      <c r="P13" s="84"/>
    </row>
    <row r="14" spans="3:16" ht="15" thickBot="1" x14ac:dyDescent="0.4">
      <c r="C14" s="36"/>
      <c r="D14" s="66"/>
      <c r="E14" s="80" t="s">
        <v>268</v>
      </c>
      <c r="F14" s="91" t="s">
        <v>269</v>
      </c>
      <c r="K14" s="36"/>
      <c r="L14" s="66"/>
      <c r="M14" s="80" t="s">
        <v>268</v>
      </c>
      <c r="N14" s="91" t="s">
        <v>269</v>
      </c>
      <c r="P14" s="84"/>
    </row>
    <row r="15" spans="3:16" ht="15" thickBot="1" x14ac:dyDescent="0.4">
      <c r="C15" s="36" t="s">
        <v>325</v>
      </c>
      <c r="D15" s="66"/>
      <c r="E15" s="81">
        <v>64792</v>
      </c>
      <c r="F15" s="110"/>
      <c r="K15" s="36" t="s">
        <v>325</v>
      </c>
      <c r="L15" s="66"/>
      <c r="M15" s="81">
        <v>64792</v>
      </c>
      <c r="N15" s="110"/>
      <c r="P15" s="84"/>
    </row>
    <row r="16" spans="3:16" x14ac:dyDescent="0.35">
      <c r="C16" s="36" t="s">
        <v>251</v>
      </c>
      <c r="D16" s="83"/>
      <c r="E16" s="92">
        <v>708414</v>
      </c>
      <c r="F16" s="92"/>
      <c r="K16" s="36" t="s">
        <v>251</v>
      </c>
      <c r="L16" s="83"/>
      <c r="M16" s="92">
        <v>708414</v>
      </c>
      <c r="N16" s="92"/>
      <c r="P16" s="84"/>
    </row>
    <row r="17" spans="3:16" x14ac:dyDescent="0.35">
      <c r="C17" s="41" t="s">
        <v>252</v>
      </c>
      <c r="D17" s="84"/>
      <c r="E17" s="93"/>
      <c r="F17" s="93">
        <f>3277507+1816970</f>
        <v>5094477</v>
      </c>
      <c r="H17" s="3">
        <f>3277507</f>
        <v>3277507</v>
      </c>
      <c r="I17" s="3">
        <f>+H17/13</f>
        <v>252115.92307692306</v>
      </c>
      <c r="J17" t="s">
        <v>786</v>
      </c>
      <c r="K17" s="41" t="s">
        <v>252</v>
      </c>
      <c r="L17" s="84"/>
      <c r="M17" s="93"/>
      <c r="N17" s="93">
        <f>3277507</f>
        <v>3277507</v>
      </c>
      <c r="P17" s="84"/>
    </row>
    <row r="18" spans="3:16" x14ac:dyDescent="0.35">
      <c r="C18" s="41" t="s">
        <v>653</v>
      </c>
      <c r="D18" s="84"/>
      <c r="E18" s="240"/>
      <c r="F18" s="93">
        <v>431741</v>
      </c>
      <c r="I18" s="3">
        <f>3000000/13</f>
        <v>230769.23076923078</v>
      </c>
      <c r="J18" t="s">
        <v>787</v>
      </c>
      <c r="K18" s="41" t="s">
        <v>653</v>
      </c>
      <c r="L18" s="84"/>
      <c r="M18" s="240"/>
      <c r="N18" s="93">
        <v>431741</v>
      </c>
      <c r="P18" s="84"/>
    </row>
    <row r="19" spans="3:16" x14ac:dyDescent="0.35">
      <c r="C19" s="41" t="s">
        <v>785</v>
      </c>
      <c r="D19" s="84"/>
      <c r="E19" s="93" t="e">
        <f>+Inventarios!K7*690</f>
        <v>#REF!</v>
      </c>
      <c r="F19" s="93"/>
      <c r="K19" s="41" t="s">
        <v>785</v>
      </c>
      <c r="L19" s="84"/>
      <c r="M19" s="93">
        <v>0</v>
      </c>
      <c r="N19" s="93"/>
      <c r="P19" s="84"/>
    </row>
    <row r="20" spans="3:16" ht="15" thickBot="1" x14ac:dyDescent="0.4">
      <c r="C20" s="43" t="s">
        <v>253</v>
      </c>
      <c r="D20" s="239"/>
      <c r="E20" s="94">
        <f>+E31+'EERR 19FEB20+AF Mar20 a Sep21'!D93</f>
        <v>7188256.4783193283</v>
      </c>
      <c r="F20" s="94"/>
      <c r="K20" s="43" t="s">
        <v>253</v>
      </c>
      <c r="L20" s="239"/>
      <c r="M20" s="94">
        <f>+E20/3</f>
        <v>2396085.4927731096</v>
      </c>
      <c r="N20" s="94"/>
      <c r="P20" s="84"/>
    </row>
    <row r="21" spans="3:16" ht="15" thickBot="1" x14ac:dyDescent="0.4">
      <c r="C21" s="111" t="s">
        <v>254</v>
      </c>
      <c r="D21" s="112"/>
      <c r="E21" s="113" t="e">
        <f>SUM(E15:E20)</f>
        <v>#REF!</v>
      </c>
      <c r="F21" s="90">
        <f>SUM(F16:F20)</f>
        <v>5526218</v>
      </c>
      <c r="K21" s="111" t="s">
        <v>254</v>
      </c>
      <c r="L21" s="112"/>
      <c r="M21" s="113">
        <f>SUM(M15:M20)</f>
        <v>3169291.4927731096</v>
      </c>
      <c r="N21" s="90">
        <f>SUM(N16:N20)</f>
        <v>3709248</v>
      </c>
      <c r="P21" s="84"/>
    </row>
    <row r="22" spans="3:16" ht="15" thickBot="1" x14ac:dyDescent="0.4">
      <c r="C22" s="111" t="s">
        <v>255</v>
      </c>
      <c r="D22" s="112"/>
      <c r="E22" s="113" t="e">
        <f>+E21-F21</f>
        <v>#REF!</v>
      </c>
      <c r="F22" s="232" t="s">
        <v>13</v>
      </c>
      <c r="K22" s="111" t="s">
        <v>794</v>
      </c>
      <c r="L22" s="112"/>
      <c r="M22" s="113">
        <f>+M21-N21</f>
        <v>-539956.50722689042</v>
      </c>
      <c r="N22" s="232" t="s">
        <v>13</v>
      </c>
      <c r="P22" s="84"/>
    </row>
    <row r="23" spans="3:16" ht="15" thickBot="1" x14ac:dyDescent="0.4">
      <c r="K23" s="43"/>
      <c r="L23" s="76"/>
      <c r="M23" s="76"/>
      <c r="N23" s="76"/>
      <c r="O23" s="76"/>
      <c r="P23" s="239"/>
    </row>
    <row r="24" spans="3:16" ht="15" thickBot="1" x14ac:dyDescent="0.4"/>
    <row r="25" spans="3:16" ht="15" thickBot="1" x14ac:dyDescent="0.4">
      <c r="C25" t="s">
        <v>250</v>
      </c>
      <c r="E25" s="168">
        <v>43915</v>
      </c>
      <c r="K25" s="243" t="s">
        <v>789</v>
      </c>
      <c r="L25" s="66" t="s">
        <v>792</v>
      </c>
      <c r="M25" s="66"/>
      <c r="N25" s="66"/>
      <c r="O25" s="66"/>
      <c r="P25" s="83"/>
    </row>
    <row r="26" spans="3:16" ht="15" thickBot="1" x14ac:dyDescent="0.4">
      <c r="C26" s="36"/>
      <c r="D26" s="66"/>
      <c r="E26" s="80" t="s">
        <v>268</v>
      </c>
      <c r="F26" s="91" t="s">
        <v>269</v>
      </c>
      <c r="K26" s="43"/>
      <c r="L26" s="76" t="s">
        <v>793</v>
      </c>
      <c r="M26" s="76"/>
      <c r="N26" s="76"/>
      <c r="O26" s="76"/>
      <c r="P26" s="239"/>
    </row>
    <row r="27" spans="3:16" ht="15" thickBot="1" x14ac:dyDescent="0.4">
      <c r="C27" s="36" t="s">
        <v>325</v>
      </c>
      <c r="D27" s="66"/>
      <c r="E27" s="81">
        <v>972305</v>
      </c>
      <c r="F27" s="110"/>
      <c r="K27" s="41"/>
      <c r="P27" s="84"/>
    </row>
    <row r="28" spans="3:16" ht="15" thickBot="1" x14ac:dyDescent="0.4">
      <c r="C28" s="36" t="s">
        <v>251</v>
      </c>
      <c r="D28" s="83"/>
      <c r="E28" s="81">
        <f>'MAR-20'!D5+SUM('ABR-20'!D6:D15)</f>
        <v>1829813.7379000001</v>
      </c>
      <c r="F28" s="92"/>
      <c r="K28" s="41" t="s">
        <v>250</v>
      </c>
      <c r="M28" s="241">
        <v>44474</v>
      </c>
      <c r="P28" s="84"/>
    </row>
    <row r="29" spans="3:16" ht="15" thickBot="1" x14ac:dyDescent="0.4">
      <c r="C29" s="41" t="s">
        <v>252</v>
      </c>
      <c r="D29" s="84"/>
      <c r="E29" s="77"/>
      <c r="F29" s="93">
        <v>667883</v>
      </c>
      <c r="K29" s="36"/>
      <c r="L29" s="66"/>
      <c r="M29" s="80" t="s">
        <v>268</v>
      </c>
      <c r="N29" s="91" t="s">
        <v>269</v>
      </c>
      <c r="P29" s="84"/>
    </row>
    <row r="30" spans="3:16" ht="15" thickBot="1" x14ac:dyDescent="0.4">
      <c r="C30" s="41" t="s">
        <v>204</v>
      </c>
      <c r="D30" s="84"/>
      <c r="E30" s="77">
        <v>2001574</v>
      </c>
      <c r="F30" s="93"/>
      <c r="K30" s="36" t="s">
        <v>325</v>
      </c>
      <c r="L30" s="66"/>
      <c r="M30" s="81">
        <v>64792</v>
      </c>
      <c r="N30" s="110"/>
      <c r="P30" s="84"/>
    </row>
    <row r="31" spans="3:16" ht="15" thickBot="1" x14ac:dyDescent="0.4">
      <c r="C31" s="41" t="s">
        <v>253</v>
      </c>
      <c r="D31" s="84"/>
      <c r="E31" s="77">
        <f>+SUM('EERR 19FEB20+AF Mar20 a Sep21'!D33:D38)+SUMIF('EERR 31DIC19'!E28:E54,"AF",'EERR 31DIC19'!D28:D54)</f>
        <v>3571195.7983193281</v>
      </c>
      <c r="F31" s="93"/>
      <c r="K31" s="36" t="s">
        <v>251</v>
      </c>
      <c r="L31" s="83"/>
      <c r="M31" s="92">
        <v>708414</v>
      </c>
      <c r="N31" s="92"/>
      <c r="P31" s="84"/>
    </row>
    <row r="32" spans="3:16" ht="15" thickBot="1" x14ac:dyDescent="0.4">
      <c r="C32" s="111" t="s">
        <v>254</v>
      </c>
      <c r="D32" s="112"/>
      <c r="E32" s="113">
        <f>SUM(E27:E31)</f>
        <v>8374888.5362193286</v>
      </c>
      <c r="F32" s="90">
        <f>SUM(F28:F31)</f>
        <v>667883</v>
      </c>
      <c r="K32" s="41" t="s">
        <v>252</v>
      </c>
      <c r="L32" s="84"/>
      <c r="M32" s="93"/>
      <c r="N32" s="93">
        <f>3277507+1816970</f>
        <v>5094477</v>
      </c>
      <c r="P32" s="84"/>
    </row>
    <row r="33" spans="2:16" x14ac:dyDescent="0.35">
      <c r="C33" s="75" t="s">
        <v>255</v>
      </c>
      <c r="D33" s="85"/>
      <c r="E33" s="78">
        <f>+E32-F32</f>
        <v>7707005.5362193286</v>
      </c>
      <c r="F33" s="93" t="s">
        <v>13</v>
      </c>
      <c r="K33" s="41" t="s">
        <v>653</v>
      </c>
      <c r="L33" s="84"/>
      <c r="M33" s="240"/>
      <c r="N33" s="93">
        <v>431741</v>
      </c>
      <c r="P33" s="84"/>
    </row>
    <row r="34" spans="2:16" ht="15" thickBot="1" x14ac:dyDescent="0.4">
      <c r="C34" s="86" t="s">
        <v>256</v>
      </c>
      <c r="D34" s="87"/>
      <c r="E34" s="82">
        <f>+'DIC-19'!AI12+'ENE-20'!K11+'OCT-19'!D5+'OCT-19'!D6+'MAR-20'!D12</f>
        <v>13500000</v>
      </c>
      <c r="F34" s="94"/>
      <c r="K34" s="41" t="s">
        <v>785</v>
      </c>
      <c r="L34" s="84"/>
      <c r="M34" s="93" t="e">
        <f>+E19</f>
        <v>#REF!</v>
      </c>
      <c r="N34" s="93"/>
      <c r="P34" s="84"/>
    </row>
    <row r="35" spans="2:16" ht="15" thickBot="1" x14ac:dyDescent="0.4">
      <c r="C35" s="43" t="s">
        <v>257</v>
      </c>
      <c r="D35" s="76"/>
      <c r="E35" s="79">
        <f>+(E34-E33)/9</f>
        <v>643666.05153118575</v>
      </c>
      <c r="F35" s="94"/>
      <c r="K35" s="43" t="s">
        <v>253</v>
      </c>
      <c r="L35" s="239"/>
      <c r="M35" s="94">
        <f>+E20*2/3</f>
        <v>4792170.9855462192</v>
      </c>
      <c r="N35" s="94"/>
      <c r="P35" s="84"/>
    </row>
    <row r="36" spans="2:16" ht="15" thickBot="1" x14ac:dyDescent="0.4">
      <c r="K36" s="111" t="s">
        <v>254</v>
      </c>
      <c r="L36" s="112"/>
      <c r="M36" s="113" t="e">
        <f>SUM(M30:M35)</f>
        <v>#REF!</v>
      </c>
      <c r="N36" s="90">
        <f>SUM(N31:N35)</f>
        <v>5526218</v>
      </c>
      <c r="P36" s="84"/>
    </row>
    <row r="37" spans="2:16" ht="15" thickBot="1" x14ac:dyDescent="0.4">
      <c r="C37" s="88" t="s">
        <v>270</v>
      </c>
      <c r="D37" s="89"/>
      <c r="E37" s="90" t="s">
        <v>13</v>
      </c>
      <c r="K37" s="111" t="s">
        <v>795</v>
      </c>
      <c r="L37" s="112"/>
      <c r="M37" s="113" t="e">
        <f>+M36-N36</f>
        <v>#REF!</v>
      </c>
      <c r="N37" s="232" t="s">
        <v>13</v>
      </c>
      <c r="O37" s="76"/>
      <c r="P37" s="239"/>
    </row>
    <row r="38" spans="2:16" ht="15" thickBot="1" x14ac:dyDescent="0.4"/>
    <row r="39" spans="2:16" ht="15" thickBot="1" x14ac:dyDescent="0.4">
      <c r="C39" s="88" t="s">
        <v>271</v>
      </c>
      <c r="D39" s="89"/>
      <c r="E39" s="90">
        <f>+'Valor Equipos'!E22</f>
        <v>1949963.75</v>
      </c>
      <c r="F39" s="72" t="s">
        <v>13</v>
      </c>
    </row>
    <row r="40" spans="2:16" ht="15" thickBot="1" x14ac:dyDescent="0.4">
      <c r="C40" s="88" t="s">
        <v>330</v>
      </c>
      <c r="D40" s="89"/>
      <c r="E40" s="90">
        <f>430100*1.19</f>
        <v>511819</v>
      </c>
      <c r="K40" s="55" t="s">
        <v>819</v>
      </c>
      <c r="L40" s="244" t="s">
        <v>13</v>
      </c>
      <c r="M40" s="218"/>
      <c r="N40" s="11" t="s">
        <v>796</v>
      </c>
      <c r="O40" s="245">
        <v>80</v>
      </c>
    </row>
    <row r="41" spans="2:16" x14ac:dyDescent="0.35">
      <c r="K41" s="14" t="s">
        <v>13</v>
      </c>
      <c r="L41" s="8" t="s">
        <v>13</v>
      </c>
      <c r="M41" s="133"/>
      <c r="N41" s="14" t="s">
        <v>797</v>
      </c>
      <c r="O41" s="246">
        <v>0.1</v>
      </c>
    </row>
    <row r="42" spans="2:16" ht="15" thickBot="1" x14ac:dyDescent="0.4">
      <c r="K42" s="216" t="s">
        <v>13</v>
      </c>
      <c r="L42" s="248" t="s">
        <v>13</v>
      </c>
      <c r="M42" s="140"/>
      <c r="N42" s="216" t="s">
        <v>13</v>
      </c>
      <c r="O42" s="249" t="s">
        <v>13</v>
      </c>
      <c r="P42" t="s">
        <v>13</v>
      </c>
    </row>
    <row r="43" spans="2:16" x14ac:dyDescent="0.35">
      <c r="K43" s="254" t="s">
        <v>813</v>
      </c>
      <c r="L43" s="257">
        <v>8</v>
      </c>
      <c r="M43" s="259">
        <f>+L43/L46</f>
        <v>0.10526315789473684</v>
      </c>
      <c r="N43" s="11" t="s">
        <v>816</v>
      </c>
      <c r="O43" s="252">
        <f>+(100%-O41)*M44</f>
        <v>9.4736842105263161E-2</v>
      </c>
    </row>
    <row r="44" spans="2:16" x14ac:dyDescent="0.35">
      <c r="B44" t="s">
        <v>13</v>
      </c>
      <c r="D44" s="3" t="s">
        <v>13</v>
      </c>
      <c r="F44" t="s">
        <v>13</v>
      </c>
      <c r="K44" s="255" t="s">
        <v>814</v>
      </c>
      <c r="L44" s="185">
        <v>8</v>
      </c>
      <c r="M44" s="260">
        <f>+L44/L46</f>
        <v>0.10526315789473684</v>
      </c>
      <c r="N44" s="14" t="s">
        <v>817</v>
      </c>
      <c r="O44" s="247">
        <f>+(100%-O41)*M44</f>
        <v>9.4736842105263161E-2</v>
      </c>
      <c r="P44" t="s">
        <v>13</v>
      </c>
    </row>
    <row r="45" spans="2:16" ht="15" thickBot="1" x14ac:dyDescent="0.4">
      <c r="D45" s="3" t="s">
        <v>13</v>
      </c>
      <c r="E45" s="170" t="s">
        <v>13</v>
      </c>
      <c r="F45" s="3" t="s">
        <v>13</v>
      </c>
      <c r="K45" s="256" t="s">
        <v>815</v>
      </c>
      <c r="L45" s="258">
        <v>60</v>
      </c>
      <c r="M45" s="261">
        <f>+L45/L46</f>
        <v>0.78947368421052633</v>
      </c>
      <c r="N45" s="16" t="s">
        <v>818</v>
      </c>
      <c r="O45" s="253">
        <f>+(100%-O41)*M45</f>
        <v>0.71052631578947367</v>
      </c>
    </row>
    <row r="46" spans="2:16" ht="15" thickBot="1" x14ac:dyDescent="0.4">
      <c r="D46" s="3"/>
      <c r="K46" s="250"/>
      <c r="L46" s="94">
        <f>SUM(L43:L45)</f>
        <v>76</v>
      </c>
      <c r="M46" s="262">
        <f>SUM(M43:M45)</f>
        <v>1</v>
      </c>
      <c r="N46" s="250"/>
      <c r="O46" s="251">
        <f>SUM(O43:O45)+O41</f>
        <v>1</v>
      </c>
    </row>
    <row r="47" spans="2:16" ht="15" thickBot="1" x14ac:dyDescent="0.4">
      <c r="D47" t="s">
        <v>13</v>
      </c>
      <c r="F47" t="s">
        <v>13</v>
      </c>
      <c r="O47" s="4" t="s">
        <v>13</v>
      </c>
    </row>
    <row r="48" spans="2:16" x14ac:dyDescent="0.35">
      <c r="D48" t="s">
        <v>13</v>
      </c>
      <c r="K48" s="243" t="s">
        <v>829</v>
      </c>
      <c r="L48" s="263" t="s">
        <v>830</v>
      </c>
      <c r="M48" s="66"/>
      <c r="N48" s="66"/>
      <c r="O48" s="66"/>
      <c r="P48" s="83"/>
    </row>
    <row r="49" spans="4:16" ht="15" thickBot="1" x14ac:dyDescent="0.4">
      <c r="D49" t="s">
        <v>13</v>
      </c>
      <c r="K49" s="43"/>
      <c r="L49" s="98" t="s">
        <v>13</v>
      </c>
      <c r="M49" s="76"/>
      <c r="N49" s="76"/>
      <c r="O49" s="76"/>
      <c r="P49" s="239"/>
    </row>
    <row r="50" spans="4:16" ht="15" thickBot="1" x14ac:dyDescent="0.4">
      <c r="K50" s="41" t="s">
        <v>250</v>
      </c>
      <c r="M50" s="242">
        <v>3</v>
      </c>
      <c r="P50" s="84"/>
    </row>
    <row r="51" spans="4:16" ht="15" thickBot="1" x14ac:dyDescent="0.4">
      <c r="K51" s="36"/>
      <c r="L51" s="66"/>
      <c r="M51" s="80" t="s">
        <v>268</v>
      </c>
      <c r="N51" s="91" t="s">
        <v>269</v>
      </c>
      <c r="P51" s="84"/>
    </row>
    <row r="52" spans="4:16" ht="15" thickBot="1" x14ac:dyDescent="0.4">
      <c r="K52" s="36" t="s">
        <v>325</v>
      </c>
      <c r="L52" s="66"/>
      <c r="M52" s="81">
        <v>803</v>
      </c>
      <c r="N52" s="110"/>
      <c r="P52" s="84"/>
    </row>
    <row r="53" spans="4:16" x14ac:dyDescent="0.35">
      <c r="K53" s="36" t="s">
        <v>251</v>
      </c>
      <c r="L53" s="83"/>
      <c r="M53" s="92">
        <f>+SUM('DIC-21'!D5:D10)</f>
        <v>708413.73789999995</v>
      </c>
      <c r="N53" s="92"/>
      <c r="P53" s="84"/>
    </row>
    <row r="54" spans="4:16" x14ac:dyDescent="0.35">
      <c r="K54" s="41" t="s">
        <v>252</v>
      </c>
      <c r="L54" s="84"/>
      <c r="M54" s="93"/>
      <c r="N54" s="93">
        <f ca="1">+SUM('DIC-21'!D20:D27)+'DIC-21'!D29-1+'DIC-21'!D30+'DIC-21'!D31+'DIC-21'!D32+SUM('DIC-21'!D33:D35)</f>
        <v>4385234.8833333328</v>
      </c>
      <c r="P54" s="84"/>
    </row>
    <row r="55" spans="4:16" x14ac:dyDescent="0.35">
      <c r="K55" s="41" t="s">
        <v>653</v>
      </c>
      <c r="L55" s="84"/>
      <c r="M55" s="240"/>
      <c r="N55" s="93">
        <v>431741</v>
      </c>
      <c r="O55" s="3">
        <f ca="1">+M53-N54-N55</f>
        <v>-4108562.1454333328</v>
      </c>
      <c r="P55" s="84"/>
    </row>
    <row r="56" spans="4:16" x14ac:dyDescent="0.35">
      <c r="K56" s="41" t="s">
        <v>785</v>
      </c>
      <c r="L56" s="84"/>
      <c r="M56" s="93">
        <v>0</v>
      </c>
      <c r="N56" s="93"/>
      <c r="P56" s="84"/>
    </row>
    <row r="57" spans="4:16" ht="15" thickBot="1" x14ac:dyDescent="0.4">
      <c r="K57" s="43" t="s">
        <v>253</v>
      </c>
      <c r="L57" s="239"/>
      <c r="M57" s="94">
        <f>+E20</f>
        <v>7188256.4783193283</v>
      </c>
      <c r="N57" s="94"/>
      <c r="P57" s="84"/>
    </row>
    <row r="58" spans="4:16" ht="15" thickBot="1" x14ac:dyDescent="0.4">
      <c r="K58" s="111" t="s">
        <v>254</v>
      </c>
      <c r="L58" s="112"/>
      <c r="M58" s="113">
        <f>SUM(M52:M57)</f>
        <v>7897473.2162193283</v>
      </c>
      <c r="N58" s="90">
        <f ca="1">SUM(N53:N57)</f>
        <v>4816975.8833333328</v>
      </c>
      <c r="P58" s="84"/>
    </row>
    <row r="59" spans="4:16" ht="15" thickBot="1" x14ac:dyDescent="0.4">
      <c r="K59" s="111" t="s">
        <v>831</v>
      </c>
      <c r="L59" s="112"/>
      <c r="M59" s="113">
        <f ca="1">+M58-N58</f>
        <v>3080497.3328859955</v>
      </c>
      <c r="N59" s="232" t="s">
        <v>13</v>
      </c>
      <c r="O59" s="3">
        <f ca="1">+M59/3</f>
        <v>1026832.4442953318</v>
      </c>
      <c r="P59" s="84"/>
    </row>
    <row r="60" spans="4:16" ht="15" thickBot="1" x14ac:dyDescent="0.4">
      <c r="K60" s="88" t="s">
        <v>833</v>
      </c>
      <c r="L60" s="112"/>
      <c r="M60" s="232">
        <f ca="1">+M53-N54-N55</f>
        <v>-4108562.1454333328</v>
      </c>
      <c r="N60" s="76"/>
      <c r="O60" s="76"/>
      <c r="P60" s="239"/>
    </row>
    <row r="63" spans="4:16" x14ac:dyDescent="0.35">
      <c r="O63" s="3">
        <f ca="1">+M57+O55</f>
        <v>3079694.3328859955</v>
      </c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111"/>
  <sheetViews>
    <sheetView topLeftCell="A25" workbookViewId="0">
      <selection activeCell="A47" sqref="A47"/>
    </sheetView>
  </sheetViews>
  <sheetFormatPr baseColWidth="10" defaultColWidth="11.08984375" defaultRowHeight="14.5" x14ac:dyDescent="0.35"/>
  <cols>
    <col min="1" max="1" width="39.1796875" customWidth="1"/>
    <col min="2" max="2" width="11.36328125" style="24" customWidth="1"/>
    <col min="4" max="4" width="14.54296875" customWidth="1"/>
    <col min="5" max="5" width="19" style="6" customWidth="1"/>
    <col min="6" max="6" width="17" customWidth="1"/>
    <col min="7" max="7" width="15.54296875" customWidth="1"/>
    <col min="8" max="8" width="12" customWidth="1"/>
  </cols>
  <sheetData>
    <row r="1" spans="1:10" ht="15" thickBot="1" x14ac:dyDescent="0.4"/>
    <row r="2" spans="1:10" ht="45" customHeight="1" x14ac:dyDescent="0.35">
      <c r="A2" s="54" t="s">
        <v>108</v>
      </c>
      <c r="B2" s="30"/>
      <c r="C2" s="12"/>
      <c r="D2" s="12"/>
      <c r="E2" s="56" t="s">
        <v>112</v>
      </c>
      <c r="F2" s="25" t="s">
        <v>13</v>
      </c>
    </row>
    <row r="3" spans="1:10" x14ac:dyDescent="0.35">
      <c r="A3" s="14" t="s">
        <v>92</v>
      </c>
      <c r="B3" s="28"/>
      <c r="C3" s="8"/>
      <c r="D3" s="8"/>
      <c r="E3" s="31">
        <f>+SUMIF(E20:E58,"V",D20:D58)/1.19</f>
        <v>1032100.8403361345</v>
      </c>
      <c r="F3" s="26" t="s">
        <v>13</v>
      </c>
    </row>
    <row r="4" spans="1:10" x14ac:dyDescent="0.35">
      <c r="A4" s="32" t="s">
        <v>115</v>
      </c>
      <c r="B4" s="29"/>
      <c r="C4" s="10"/>
      <c r="D4" s="10"/>
      <c r="E4" s="31">
        <f>+SUMIF(E20:E58,"CD",D20:D58)-G4-60*1250/1.19</f>
        <v>483193.27731092431</v>
      </c>
      <c r="F4" s="27" t="s">
        <v>99</v>
      </c>
      <c r="G4" s="22">
        <f>180*1250/1.19</f>
        <v>189075.63025210085</v>
      </c>
      <c r="H4" t="s">
        <v>100</v>
      </c>
      <c r="J4" s="3" t="s">
        <v>13</v>
      </c>
    </row>
    <row r="5" spans="1:10" x14ac:dyDescent="0.35">
      <c r="A5" s="14" t="s">
        <v>93</v>
      </c>
      <c r="B5" s="28"/>
      <c r="C5" s="8"/>
      <c r="D5" s="8"/>
      <c r="E5" s="31">
        <f>+E3-E4</f>
        <v>548907.56302521029</v>
      </c>
      <c r="F5" s="26" t="s">
        <v>13</v>
      </c>
    </row>
    <row r="6" spans="1:10" x14ac:dyDescent="0.35">
      <c r="A6" s="14" t="s">
        <v>101</v>
      </c>
      <c r="B6" s="28"/>
      <c r="C6" s="8"/>
      <c r="D6" s="8"/>
      <c r="E6" s="33">
        <f>+E5/E3</f>
        <v>0.53183520599250955</v>
      </c>
      <c r="F6" s="26"/>
    </row>
    <row r="7" spans="1:10" x14ac:dyDescent="0.35">
      <c r="A7" s="14" t="s">
        <v>81</v>
      </c>
      <c r="B7" s="28"/>
      <c r="C7" s="8"/>
      <c r="D7" s="8"/>
      <c r="E7" s="31">
        <f>+SUMIF(E20:E58,"GAV",D20:D58)</f>
        <v>3260953.0774976658</v>
      </c>
      <c r="F7" s="26" t="s">
        <v>13</v>
      </c>
      <c r="I7" t="s">
        <v>13</v>
      </c>
    </row>
    <row r="8" spans="1:10" ht="15" thickBot="1" x14ac:dyDescent="0.4">
      <c r="A8" s="16" t="s">
        <v>94</v>
      </c>
      <c r="B8" s="34"/>
      <c r="C8" s="17"/>
      <c r="D8" s="17"/>
      <c r="E8" s="35">
        <f>+E5-E7</f>
        <v>-2712045.5144724557</v>
      </c>
      <c r="F8" s="26" t="s">
        <v>13</v>
      </c>
    </row>
    <row r="9" spans="1:10" ht="15" thickBot="1" x14ac:dyDescent="0.4">
      <c r="E9" s="3"/>
      <c r="F9" s="26" t="s">
        <v>98</v>
      </c>
    </row>
    <row r="10" spans="1:10" x14ac:dyDescent="0.35">
      <c r="A10" s="55" t="s">
        <v>104</v>
      </c>
      <c r="B10" s="30"/>
      <c r="C10" s="12"/>
      <c r="D10" s="12"/>
      <c r="E10" s="53"/>
    </row>
    <row r="11" spans="1:10" x14ac:dyDescent="0.35">
      <c r="A11" s="14" t="s">
        <v>110</v>
      </c>
      <c r="B11" s="28"/>
      <c r="C11" s="8"/>
      <c r="D11" s="8"/>
      <c r="E11" s="15">
        <f>+'OCT-19'!D5+'OCT-19'!D6</f>
        <v>6000000</v>
      </c>
    </row>
    <row r="12" spans="1:10" x14ac:dyDescent="0.35">
      <c r="A12" s="14" t="s">
        <v>105</v>
      </c>
      <c r="B12" s="28"/>
      <c r="C12" s="8"/>
      <c r="D12" s="8"/>
      <c r="E12" s="15">
        <f>+'DIC-19'!W14</f>
        <v>160200</v>
      </c>
    </row>
    <row r="13" spans="1:10" x14ac:dyDescent="0.35">
      <c r="A13" s="14" t="s">
        <v>106</v>
      </c>
      <c r="B13" s="28"/>
      <c r="C13" s="8"/>
      <c r="D13" s="8"/>
      <c r="E13" s="15">
        <f>+G53</f>
        <v>5723988</v>
      </c>
    </row>
    <row r="14" spans="1:10" ht="15" thickBot="1" x14ac:dyDescent="0.4">
      <c r="A14" s="16" t="s">
        <v>107</v>
      </c>
      <c r="B14" s="34"/>
      <c r="C14" s="17"/>
      <c r="D14" s="17"/>
      <c r="E14" s="19">
        <f>+E11+E12-E13</f>
        <v>436212</v>
      </c>
    </row>
    <row r="15" spans="1:10" x14ac:dyDescent="0.35">
      <c r="E15" s="3"/>
    </row>
    <row r="16" spans="1:10" x14ac:dyDescent="0.35">
      <c r="E16" s="3"/>
    </row>
    <row r="17" spans="1:10" x14ac:dyDescent="0.35">
      <c r="E17" s="3"/>
    </row>
    <row r="18" spans="1:10" x14ac:dyDescent="0.35">
      <c r="A18" s="2" t="s">
        <v>109</v>
      </c>
      <c r="E18" s="3"/>
    </row>
    <row r="19" spans="1:10" ht="15" thickBot="1" x14ac:dyDescent="0.4"/>
    <row r="20" spans="1:10" x14ac:dyDescent="0.35">
      <c r="A20" s="36" t="s">
        <v>37</v>
      </c>
      <c r="B20" s="37" t="s">
        <v>39</v>
      </c>
      <c r="C20" s="38">
        <v>43790</v>
      </c>
      <c r="D20" s="39">
        <v>160200</v>
      </c>
      <c r="E20" s="40" t="s">
        <v>91</v>
      </c>
      <c r="F20" t="s">
        <v>13</v>
      </c>
      <c r="G20" t="s">
        <v>13</v>
      </c>
      <c r="H20" t="s">
        <v>13</v>
      </c>
    </row>
    <row r="21" spans="1:10" x14ac:dyDescent="0.35">
      <c r="A21" s="41" t="s">
        <v>38</v>
      </c>
      <c r="B21" s="24" t="s">
        <v>40</v>
      </c>
      <c r="C21" s="5">
        <v>43799</v>
      </c>
      <c r="D21" s="3">
        <v>267000</v>
      </c>
      <c r="E21" s="42" t="s">
        <v>91</v>
      </c>
    </row>
    <row r="22" spans="1:10" x14ac:dyDescent="0.35">
      <c r="A22" s="41" t="s">
        <v>79</v>
      </c>
      <c r="B22" s="24" t="s">
        <v>77</v>
      </c>
      <c r="C22" s="5">
        <v>43805</v>
      </c>
      <c r="D22" s="3">
        <v>267000</v>
      </c>
      <c r="E22" s="42" t="s">
        <v>91</v>
      </c>
    </row>
    <row r="23" spans="1:10" x14ac:dyDescent="0.35">
      <c r="A23" s="41" t="s">
        <v>80</v>
      </c>
      <c r="B23" s="24" t="s">
        <v>78</v>
      </c>
      <c r="C23" s="5">
        <v>43817</v>
      </c>
      <c r="D23" s="3">
        <v>267000</v>
      </c>
      <c r="E23" s="42" t="s">
        <v>91</v>
      </c>
    </row>
    <row r="24" spans="1:10" ht="15" thickBot="1" x14ac:dyDescent="0.4">
      <c r="A24" s="43" t="s">
        <v>89</v>
      </c>
      <c r="B24" s="44" t="s">
        <v>90</v>
      </c>
      <c r="C24" s="45">
        <v>43820</v>
      </c>
      <c r="D24" s="46">
        <v>267000</v>
      </c>
      <c r="E24" s="47" t="s">
        <v>91</v>
      </c>
      <c r="I24" s="3" t="s">
        <v>13</v>
      </c>
      <c r="J24" t="s">
        <v>13</v>
      </c>
    </row>
    <row r="25" spans="1:10" x14ac:dyDescent="0.35">
      <c r="C25" s="5"/>
      <c r="D25" s="3"/>
      <c r="I25" s="3"/>
    </row>
    <row r="26" spans="1:10" x14ac:dyDescent="0.35">
      <c r="C26" s="5"/>
      <c r="D26" s="3"/>
      <c r="I26" s="3"/>
    </row>
    <row r="27" spans="1:10" x14ac:dyDescent="0.35">
      <c r="D27" s="8" t="s">
        <v>102</v>
      </c>
      <c r="G27" s="8" t="s">
        <v>103</v>
      </c>
    </row>
    <row r="28" spans="1:10" x14ac:dyDescent="0.35">
      <c r="A28" s="8" t="s">
        <v>3</v>
      </c>
      <c r="B28" s="48" t="s">
        <v>11</v>
      </c>
      <c r="C28" s="9">
        <v>43754</v>
      </c>
      <c r="D28" s="10">
        <f>1600990/1.19</f>
        <v>1345369.7478991598</v>
      </c>
      <c r="E28" s="49" t="s">
        <v>82</v>
      </c>
      <c r="G28" s="10">
        <f>+D28*1.19</f>
        <v>1600990</v>
      </c>
    </row>
    <row r="29" spans="1:10" x14ac:dyDescent="0.35">
      <c r="A29" s="50" t="s">
        <v>35</v>
      </c>
      <c r="B29" s="28" t="s">
        <v>12</v>
      </c>
      <c r="C29" s="9">
        <v>43754</v>
      </c>
      <c r="D29" s="10">
        <f>1500000/0.9</f>
        <v>1666666.6666666665</v>
      </c>
      <c r="E29" s="51" t="s">
        <v>81</v>
      </c>
      <c r="F29" t="s">
        <v>13</v>
      </c>
      <c r="G29" s="10">
        <f>+D29*0.9</f>
        <v>1500000</v>
      </c>
    </row>
    <row r="30" spans="1:10" x14ac:dyDescent="0.35">
      <c r="A30" s="8" t="s">
        <v>14</v>
      </c>
      <c r="B30" s="48" t="s">
        <v>16</v>
      </c>
      <c r="C30" s="9">
        <v>43755</v>
      </c>
      <c r="D30" s="10">
        <f>16529/1.19</f>
        <v>13889.915966386556</v>
      </c>
      <c r="E30" s="51" t="s">
        <v>81</v>
      </c>
      <c r="G30" s="10">
        <f>16529</f>
        <v>16529</v>
      </c>
    </row>
    <row r="31" spans="1:10" x14ac:dyDescent="0.35">
      <c r="A31" s="50" t="s">
        <v>36</v>
      </c>
      <c r="B31" s="28" t="s">
        <v>34</v>
      </c>
      <c r="C31" s="9">
        <v>43774</v>
      </c>
      <c r="D31" s="10">
        <f>500000/0.9</f>
        <v>555555.5555555555</v>
      </c>
      <c r="E31" s="51" t="s">
        <v>81</v>
      </c>
      <c r="G31" s="10">
        <f>+D31*0.9</f>
        <v>499999.99999999994</v>
      </c>
    </row>
    <row r="32" spans="1:10" x14ac:dyDescent="0.35">
      <c r="A32" s="50" t="s">
        <v>17</v>
      </c>
      <c r="B32" s="28" t="s">
        <v>20</v>
      </c>
      <c r="C32" s="9">
        <v>43777</v>
      </c>
      <c r="D32" s="10">
        <f>22000/1.19</f>
        <v>18487.394957983193</v>
      </c>
      <c r="E32" s="51" t="s">
        <v>81</v>
      </c>
      <c r="G32" s="10">
        <f>22000</f>
        <v>22000</v>
      </c>
    </row>
    <row r="33" spans="1:7" x14ac:dyDescent="0.35">
      <c r="A33" s="8" t="s">
        <v>21</v>
      </c>
      <c r="B33" s="28" t="s">
        <v>19</v>
      </c>
      <c r="C33" s="9">
        <v>43780</v>
      </c>
      <c r="D33" s="10">
        <f>559300/1.19</f>
        <v>470000</v>
      </c>
      <c r="E33" s="51" t="s">
        <v>82</v>
      </c>
      <c r="G33" s="10">
        <f>559300</f>
        <v>559300</v>
      </c>
    </row>
    <row r="34" spans="1:7" x14ac:dyDescent="0.35">
      <c r="A34" s="8" t="s">
        <v>25</v>
      </c>
      <c r="B34" s="28" t="s">
        <v>57</v>
      </c>
      <c r="C34" s="9">
        <v>43789</v>
      </c>
      <c r="D34" s="10">
        <f>11305/1.19</f>
        <v>9500</v>
      </c>
      <c r="E34" s="51" t="s">
        <v>81</v>
      </c>
      <c r="G34" s="10">
        <f>11305</f>
        <v>11305</v>
      </c>
    </row>
    <row r="35" spans="1:7" x14ac:dyDescent="0.35">
      <c r="A35" s="8" t="s">
        <v>65</v>
      </c>
      <c r="B35" s="28" t="s">
        <v>55</v>
      </c>
      <c r="C35" s="9">
        <v>43789</v>
      </c>
      <c r="D35" s="10">
        <f>125000/1.19</f>
        <v>105042.01680672269</v>
      </c>
      <c r="E35" s="51" t="s">
        <v>83</v>
      </c>
      <c r="G35" s="10">
        <f>125000</f>
        <v>125000</v>
      </c>
    </row>
    <row r="36" spans="1:7" x14ac:dyDescent="0.35">
      <c r="A36" s="8" t="s">
        <v>22</v>
      </c>
      <c r="B36" s="28" t="s">
        <v>23</v>
      </c>
      <c r="C36" s="9">
        <v>43790</v>
      </c>
      <c r="D36" s="10">
        <f>12582/1.19</f>
        <v>10573.10924369748</v>
      </c>
      <c r="E36" s="51" t="s">
        <v>81</v>
      </c>
      <c r="G36" s="10">
        <f>12582</f>
        <v>12582</v>
      </c>
    </row>
    <row r="37" spans="1:7" x14ac:dyDescent="0.35">
      <c r="A37" s="8" t="s">
        <v>29</v>
      </c>
      <c r="B37" s="28" t="s">
        <v>30</v>
      </c>
      <c r="C37" s="9">
        <v>43791</v>
      </c>
      <c r="D37" s="52">
        <f>138000/1.19</f>
        <v>115966.38655462186</v>
      </c>
      <c r="E37" s="51" t="s">
        <v>82</v>
      </c>
      <c r="G37" s="52">
        <f>138000</f>
        <v>138000</v>
      </c>
    </row>
    <row r="38" spans="1:7" x14ac:dyDescent="0.35">
      <c r="A38" s="8" t="s">
        <v>32</v>
      </c>
      <c r="B38" s="28" t="s">
        <v>31</v>
      </c>
      <c r="C38" s="9">
        <v>43796</v>
      </c>
      <c r="D38" s="52">
        <f>4760/1.19</f>
        <v>4000</v>
      </c>
      <c r="E38" s="51" t="s">
        <v>81</v>
      </c>
      <c r="G38" s="52">
        <f>4760</f>
        <v>4760</v>
      </c>
    </row>
    <row r="39" spans="1:7" x14ac:dyDescent="0.35">
      <c r="A39" s="8" t="s">
        <v>86</v>
      </c>
      <c r="B39" s="28" t="s">
        <v>63</v>
      </c>
      <c r="C39" s="9">
        <v>43798</v>
      </c>
      <c r="D39" s="10">
        <f>250000/1.19</f>
        <v>210084.03361344538</v>
      </c>
      <c r="E39" s="51" t="s">
        <v>83</v>
      </c>
      <c r="G39" s="10">
        <f>250000</f>
        <v>250000</v>
      </c>
    </row>
    <row r="40" spans="1:7" x14ac:dyDescent="0.35">
      <c r="A40" s="50" t="s">
        <v>10</v>
      </c>
      <c r="B40" s="28" t="s">
        <v>73</v>
      </c>
      <c r="C40" s="9">
        <v>43799</v>
      </c>
      <c r="D40" s="10">
        <f>+(58000/1.19)*0.666666666666667</f>
        <v>32492.99719887957</v>
      </c>
      <c r="E40" s="51" t="s">
        <v>81</v>
      </c>
      <c r="G40" s="10">
        <f>58000</f>
        <v>58000</v>
      </c>
    </row>
    <row r="41" spans="1:7" x14ac:dyDescent="0.35">
      <c r="A41" s="50" t="s">
        <v>96</v>
      </c>
      <c r="B41" s="28" t="s">
        <v>97</v>
      </c>
      <c r="C41" s="9">
        <v>43804</v>
      </c>
      <c r="D41" s="10">
        <v>6000</v>
      </c>
      <c r="E41" s="51" t="s">
        <v>81</v>
      </c>
      <c r="G41" s="10">
        <v>6000</v>
      </c>
    </row>
    <row r="42" spans="1:7" x14ac:dyDescent="0.35">
      <c r="A42" s="8" t="s">
        <v>33</v>
      </c>
      <c r="B42" s="28"/>
      <c r="C42" s="9">
        <v>43799</v>
      </c>
      <c r="D42" s="10">
        <f>(100241+56578)/1.19</f>
        <v>131780.67226890757</v>
      </c>
      <c r="E42" s="51" t="s">
        <v>81</v>
      </c>
      <c r="G42" s="10">
        <f>(100241+56578)</f>
        <v>156819</v>
      </c>
    </row>
    <row r="43" spans="1:7" x14ac:dyDescent="0.35">
      <c r="A43" s="8" t="s">
        <v>76</v>
      </c>
      <c r="B43" s="28" t="s">
        <v>58</v>
      </c>
      <c r="C43" s="9">
        <v>43801</v>
      </c>
      <c r="D43" s="10">
        <f>162426</f>
        <v>162426</v>
      </c>
      <c r="E43" s="51" t="s">
        <v>81</v>
      </c>
      <c r="G43" s="10">
        <v>0</v>
      </c>
    </row>
    <row r="44" spans="1:7" x14ac:dyDescent="0.35">
      <c r="A44" s="50" t="s">
        <v>48</v>
      </c>
      <c r="B44" s="28" t="s">
        <v>95</v>
      </c>
      <c r="C44" s="9">
        <v>43804</v>
      </c>
      <c r="D44" s="10">
        <f>500000/0.9</f>
        <v>555555.5555555555</v>
      </c>
      <c r="E44" s="51" t="s">
        <v>81</v>
      </c>
      <c r="G44" s="10">
        <f>500000</f>
        <v>500000</v>
      </c>
    </row>
    <row r="45" spans="1:7" x14ac:dyDescent="0.35">
      <c r="A45" s="8" t="s">
        <v>62</v>
      </c>
      <c r="B45" s="28" t="s">
        <v>13</v>
      </c>
      <c r="C45" s="9">
        <v>43805</v>
      </c>
      <c r="D45" s="10">
        <v>166667</v>
      </c>
      <c r="E45" s="51" t="s">
        <v>84</v>
      </c>
      <c r="G45" s="10">
        <v>166667</v>
      </c>
    </row>
    <row r="46" spans="1:7" x14ac:dyDescent="0.35">
      <c r="A46" s="8" t="s">
        <v>61</v>
      </c>
      <c r="B46" s="28"/>
      <c r="C46" s="9">
        <v>43811</v>
      </c>
      <c r="D46" s="10">
        <v>59146</v>
      </c>
      <c r="E46" s="51" t="s">
        <v>84</v>
      </c>
      <c r="G46" s="10">
        <v>59146</v>
      </c>
    </row>
    <row r="47" spans="1:7" x14ac:dyDescent="0.35">
      <c r="A47" s="8" t="s">
        <v>71</v>
      </c>
      <c r="B47" s="48" t="s">
        <v>74</v>
      </c>
      <c r="C47" s="9">
        <v>43811</v>
      </c>
      <c r="D47" s="52">
        <f>32130/1.19</f>
        <v>27000</v>
      </c>
      <c r="E47" s="51" t="s">
        <v>81</v>
      </c>
      <c r="G47" s="52">
        <f>32130</f>
        <v>32130</v>
      </c>
    </row>
    <row r="48" spans="1:7" x14ac:dyDescent="0.35">
      <c r="A48" s="8" t="s">
        <v>66</v>
      </c>
      <c r="B48" s="28" t="s">
        <v>67</v>
      </c>
      <c r="C48" s="9">
        <v>43812</v>
      </c>
      <c r="D48" s="10">
        <f>250000/1.19</f>
        <v>210084.03361344538</v>
      </c>
      <c r="E48" s="51" t="s">
        <v>83</v>
      </c>
      <c r="G48" s="10">
        <v>0</v>
      </c>
    </row>
    <row r="49" spans="1:8" x14ac:dyDescent="0.35">
      <c r="A49" s="8" t="s">
        <v>69</v>
      </c>
      <c r="B49" s="28" t="s">
        <v>68</v>
      </c>
      <c r="C49" s="9">
        <v>43812</v>
      </c>
      <c r="D49" s="10">
        <f>559300/1.19</f>
        <v>470000</v>
      </c>
      <c r="E49" s="51" t="s">
        <v>82</v>
      </c>
      <c r="G49" s="10">
        <v>0</v>
      </c>
    </row>
    <row r="50" spans="1:8" x14ac:dyDescent="0.35">
      <c r="A50" s="8" t="s">
        <v>32</v>
      </c>
      <c r="B50" s="48" t="s">
        <v>72</v>
      </c>
      <c r="C50" s="9">
        <v>43815</v>
      </c>
      <c r="D50" s="10">
        <f>4760/1.19</f>
        <v>4000</v>
      </c>
      <c r="E50" s="51" t="s">
        <v>81</v>
      </c>
      <c r="G50" s="10">
        <f>4760</f>
        <v>4760</v>
      </c>
    </row>
    <row r="51" spans="1:8" x14ac:dyDescent="0.35">
      <c r="A51" s="8" t="s">
        <v>88</v>
      </c>
      <c r="B51" s="28" t="s">
        <v>87</v>
      </c>
      <c r="C51" s="9">
        <v>43819</v>
      </c>
      <c r="D51" s="52">
        <f>250000/1.19</f>
        <v>210084.03361344538</v>
      </c>
      <c r="E51" s="51" t="s">
        <v>83</v>
      </c>
      <c r="G51" s="52">
        <v>0</v>
      </c>
    </row>
    <row r="52" spans="1:8" x14ac:dyDescent="0.35">
      <c r="A52" s="8" t="s">
        <v>111</v>
      </c>
      <c r="B52" s="28"/>
      <c r="C52" s="9"/>
      <c r="D52" s="52">
        <f>60*1250/1.19</f>
        <v>63025.210084033613</v>
      </c>
      <c r="E52" s="51" t="s">
        <v>81</v>
      </c>
      <c r="G52" s="7"/>
    </row>
    <row r="53" spans="1:8" x14ac:dyDescent="0.35">
      <c r="D53" s="3" t="s">
        <v>13</v>
      </c>
      <c r="G53" s="3">
        <f>SUM(G28:G51)</f>
        <v>5723988</v>
      </c>
      <c r="H53" s="3">
        <f>6000000-G53</f>
        <v>276012</v>
      </c>
    </row>
    <row r="54" spans="1:8" x14ac:dyDescent="0.35">
      <c r="A54" s="4"/>
      <c r="D54" s="3" t="s">
        <v>13</v>
      </c>
    </row>
    <row r="55" spans="1:8" x14ac:dyDescent="0.35">
      <c r="A55" s="4" t="s">
        <v>41</v>
      </c>
      <c r="B55" s="24" t="s">
        <v>13</v>
      </c>
      <c r="D55" s="3">
        <v>1500000</v>
      </c>
      <c r="E55" s="6" t="s">
        <v>85</v>
      </c>
    </row>
    <row r="56" spans="1:8" x14ac:dyDescent="0.35">
      <c r="A56" t="s">
        <v>59</v>
      </c>
      <c r="B56" s="24" t="s">
        <v>13</v>
      </c>
      <c r="D56" s="3">
        <v>2217710.1799999997</v>
      </c>
      <c r="E56" s="6" t="s">
        <v>85</v>
      </c>
      <c r="H56" t="s">
        <v>13</v>
      </c>
    </row>
    <row r="57" spans="1:8" x14ac:dyDescent="0.35">
      <c r="A57" t="s">
        <v>47</v>
      </c>
      <c r="B57" s="24" t="s">
        <v>13</v>
      </c>
      <c r="D57" s="3">
        <f>881470/0.9</f>
        <v>979411.11111111112</v>
      </c>
      <c r="E57" s="6" t="s">
        <v>85</v>
      </c>
    </row>
    <row r="58" spans="1:8" x14ac:dyDescent="0.35">
      <c r="A58" t="s">
        <v>49</v>
      </c>
      <c r="D58" s="3">
        <f>+E3*0.17</f>
        <v>175457.1428571429</v>
      </c>
      <c r="E58" s="6" t="s">
        <v>85</v>
      </c>
    </row>
    <row r="60" spans="1:8" x14ac:dyDescent="0.35">
      <c r="E60" s="6" t="s">
        <v>82</v>
      </c>
      <c r="F60" s="10">
        <f>+SUMIF(E28:E52,"AF",D28:D52)*1.19</f>
        <v>2857590.0000000005</v>
      </c>
    </row>
    <row r="63" spans="1:8" x14ac:dyDescent="0.35">
      <c r="A63" t="s">
        <v>357</v>
      </c>
    </row>
    <row r="64" spans="1:8" x14ac:dyDescent="0.35">
      <c r="A64">
        <v>461</v>
      </c>
    </row>
    <row r="65" spans="1:1" x14ac:dyDescent="0.35">
      <c r="A65">
        <v>5488610</v>
      </c>
    </row>
    <row r="66" spans="1:1" x14ac:dyDescent="0.35">
      <c r="A66">
        <v>492</v>
      </c>
    </row>
    <row r="67" spans="1:1" x14ac:dyDescent="0.35">
      <c r="A67">
        <v>548861</v>
      </c>
    </row>
    <row r="68" spans="1:1" x14ac:dyDescent="0.35">
      <c r="A68" t="s">
        <v>169</v>
      </c>
    </row>
    <row r="69" spans="1:1" x14ac:dyDescent="0.35">
      <c r="A69" t="s">
        <v>358</v>
      </c>
    </row>
    <row r="70" spans="1:1" x14ac:dyDescent="0.35">
      <c r="A70">
        <v>545</v>
      </c>
    </row>
    <row r="71" spans="1:1" x14ac:dyDescent="0.35">
      <c r="A71" t="s">
        <v>169</v>
      </c>
    </row>
    <row r="72" spans="1:1" x14ac:dyDescent="0.35">
      <c r="A72" t="s">
        <v>359</v>
      </c>
    </row>
    <row r="73" spans="1:1" x14ac:dyDescent="0.35">
      <c r="A73">
        <v>856</v>
      </c>
    </row>
    <row r="74" spans="1:1" x14ac:dyDescent="0.35">
      <c r="A74" t="s">
        <v>169</v>
      </c>
    </row>
    <row r="75" spans="1:1" x14ac:dyDescent="0.35">
      <c r="A75" t="s">
        <v>360</v>
      </c>
    </row>
    <row r="76" spans="1:1" x14ac:dyDescent="0.35">
      <c r="A76">
        <v>547</v>
      </c>
    </row>
    <row r="77" spans="1:1" x14ac:dyDescent="0.35">
      <c r="A77">
        <v>5488610</v>
      </c>
    </row>
    <row r="78" spans="1:1" x14ac:dyDescent="0.35">
      <c r="A78" t="s">
        <v>170</v>
      </c>
    </row>
    <row r="79" spans="1:1" x14ac:dyDescent="0.35">
      <c r="A79" t="s">
        <v>361</v>
      </c>
    </row>
    <row r="80" spans="1:1" x14ac:dyDescent="0.35">
      <c r="A80">
        <v>617</v>
      </c>
    </row>
    <row r="81" spans="1:1" x14ac:dyDescent="0.35">
      <c r="A81" t="s">
        <v>169</v>
      </c>
    </row>
    <row r="82" spans="1:1" x14ac:dyDescent="0.35">
      <c r="A82" t="s">
        <v>362</v>
      </c>
    </row>
    <row r="83" spans="1:1" x14ac:dyDescent="0.35">
      <c r="A83">
        <v>770</v>
      </c>
    </row>
    <row r="84" spans="1:1" x14ac:dyDescent="0.35">
      <c r="A84" t="s">
        <v>363</v>
      </c>
    </row>
    <row r="85" spans="1:1" x14ac:dyDescent="0.35">
      <c r="A85" t="s">
        <v>364</v>
      </c>
    </row>
    <row r="86" spans="1:1" x14ac:dyDescent="0.35">
      <c r="A86">
        <v>872</v>
      </c>
    </row>
    <row r="87" spans="1:1" x14ac:dyDescent="0.35">
      <c r="A87" t="s">
        <v>363</v>
      </c>
    </row>
    <row r="88" spans="1:1" x14ac:dyDescent="0.35">
      <c r="A88" t="s">
        <v>365</v>
      </c>
    </row>
    <row r="89" spans="1:1" x14ac:dyDescent="0.35">
      <c r="A89">
        <v>465</v>
      </c>
    </row>
    <row r="90" spans="1:1" x14ac:dyDescent="0.35">
      <c r="A90" t="s">
        <v>363</v>
      </c>
    </row>
    <row r="91" spans="1:1" x14ac:dyDescent="0.35">
      <c r="A91" t="s">
        <v>366</v>
      </c>
    </row>
    <row r="92" spans="1:1" x14ac:dyDescent="0.35">
      <c r="A92">
        <v>494</v>
      </c>
    </row>
    <row r="93" spans="1:1" x14ac:dyDescent="0.35">
      <c r="A93" t="s">
        <v>363</v>
      </c>
    </row>
    <row r="94" spans="1:1" x14ac:dyDescent="0.35">
      <c r="A94" t="s">
        <v>367</v>
      </c>
    </row>
    <row r="95" spans="1:1" x14ac:dyDescent="0.35">
      <c r="A95">
        <v>850</v>
      </c>
    </row>
    <row r="96" spans="1:1" x14ac:dyDescent="0.35">
      <c r="A96" t="s">
        <v>363</v>
      </c>
    </row>
    <row r="97" spans="1:1" x14ac:dyDescent="0.35">
      <c r="A97" t="s">
        <v>368</v>
      </c>
    </row>
    <row r="98" spans="1:1" x14ac:dyDescent="0.35">
      <c r="A98">
        <v>467</v>
      </c>
    </row>
    <row r="99" spans="1:1" x14ac:dyDescent="0.35">
      <c r="A99">
        <v>5488610</v>
      </c>
    </row>
    <row r="100" spans="1:1" x14ac:dyDescent="0.35">
      <c r="A100" t="s">
        <v>170</v>
      </c>
    </row>
    <row r="101" spans="1:1" x14ac:dyDescent="0.35">
      <c r="A101" t="s">
        <v>369</v>
      </c>
    </row>
    <row r="102" spans="1:1" x14ac:dyDescent="0.35">
      <c r="A102">
        <v>479</v>
      </c>
    </row>
    <row r="103" spans="1:1" x14ac:dyDescent="0.35">
      <c r="A103">
        <v>491</v>
      </c>
    </row>
    <row r="104" spans="1:1" x14ac:dyDescent="0.35">
      <c r="A104" t="s">
        <v>169</v>
      </c>
    </row>
    <row r="105" spans="1:1" x14ac:dyDescent="0.35">
      <c r="A105" t="s">
        <v>370</v>
      </c>
    </row>
    <row r="106" spans="1:1" x14ac:dyDescent="0.35">
      <c r="A106">
        <v>618</v>
      </c>
    </row>
    <row r="107" spans="1:1" x14ac:dyDescent="0.35">
      <c r="A107">
        <v>5488610</v>
      </c>
    </row>
    <row r="108" spans="1:1" x14ac:dyDescent="0.35">
      <c r="A108" t="s">
        <v>170</v>
      </c>
    </row>
    <row r="109" spans="1:1" x14ac:dyDescent="0.35">
      <c r="A109">
        <v>619</v>
      </c>
    </row>
    <row r="110" spans="1:1" x14ac:dyDescent="0.35">
      <c r="A110">
        <v>548861</v>
      </c>
    </row>
    <row r="111" spans="1:1" x14ac:dyDescent="0.35">
      <c r="A111" t="s">
        <v>169</v>
      </c>
    </row>
  </sheetData>
  <pageMargins left="0.7" right="0.7" top="0.75" bottom="0.75" header="0.3" footer="0.3"/>
  <pageSetup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64"/>
  <sheetViews>
    <sheetView topLeftCell="A25" workbookViewId="0">
      <selection activeCell="A50" sqref="A50"/>
    </sheetView>
  </sheetViews>
  <sheetFormatPr baseColWidth="10" defaultColWidth="11.08984375" defaultRowHeight="14.5" x14ac:dyDescent="0.35"/>
  <cols>
    <col min="1" max="1" width="39.1796875" customWidth="1"/>
    <col min="2" max="2" width="11.36328125" style="24" customWidth="1"/>
    <col min="4" max="4" width="14.54296875" customWidth="1"/>
    <col min="5" max="5" width="19" style="6" customWidth="1"/>
    <col min="6" max="6" width="17" customWidth="1"/>
    <col min="7" max="7" width="15.54296875" customWidth="1"/>
    <col min="8" max="8" width="12" customWidth="1"/>
  </cols>
  <sheetData>
    <row r="1" spans="1:10" ht="15" thickBot="1" x14ac:dyDescent="0.4"/>
    <row r="2" spans="1:10" ht="45" customHeight="1" x14ac:dyDescent="0.35">
      <c r="A2" s="54" t="s">
        <v>108</v>
      </c>
      <c r="B2" s="30"/>
      <c r="C2" s="12"/>
      <c r="D2" s="12"/>
      <c r="E2" s="56" t="s">
        <v>175</v>
      </c>
      <c r="F2" s="25" t="s">
        <v>13</v>
      </c>
    </row>
    <row r="3" spans="1:10" x14ac:dyDescent="0.35">
      <c r="A3" s="14" t="s">
        <v>92</v>
      </c>
      <c r="B3" s="28"/>
      <c r="C3" s="8"/>
      <c r="D3" s="8"/>
      <c r="E3" s="31">
        <f>+SUMIF(E20:E64,"V",D20:D64)/1.19</f>
        <v>1032100.8403361345</v>
      </c>
      <c r="F3" s="26" t="s">
        <v>13</v>
      </c>
    </row>
    <row r="4" spans="1:10" x14ac:dyDescent="0.35">
      <c r="A4" s="32" t="s">
        <v>115</v>
      </c>
      <c r="B4" s="29"/>
      <c r="C4" s="10"/>
      <c r="D4" s="10"/>
      <c r="E4" s="31">
        <f>+SUMIF(E20:E64,"V",F20:F64)*1250/1.19</f>
        <v>483193.27731092437</v>
      </c>
      <c r="F4" s="27" t="s">
        <v>13</v>
      </c>
      <c r="G4" s="22" t="s">
        <v>13</v>
      </c>
      <c r="H4" t="s">
        <v>13</v>
      </c>
      <c r="J4" s="3" t="s">
        <v>13</v>
      </c>
    </row>
    <row r="5" spans="1:10" x14ac:dyDescent="0.35">
      <c r="A5" s="14" t="s">
        <v>93</v>
      </c>
      <c r="B5" s="28"/>
      <c r="C5" s="8"/>
      <c r="D5" s="8"/>
      <c r="E5" s="31">
        <f>+E3-E4</f>
        <v>548907.56302521017</v>
      </c>
      <c r="F5" s="26" t="s">
        <v>13</v>
      </c>
    </row>
    <row r="6" spans="1:10" x14ac:dyDescent="0.35">
      <c r="A6" s="14" t="s">
        <v>101</v>
      </c>
      <c r="B6" s="28"/>
      <c r="C6" s="8"/>
      <c r="D6" s="8"/>
      <c r="E6" s="33">
        <f>+E5/E3</f>
        <v>0.53183520599250944</v>
      </c>
      <c r="F6" s="26"/>
    </row>
    <row r="7" spans="1:10" x14ac:dyDescent="0.35">
      <c r="A7" s="14" t="s">
        <v>81</v>
      </c>
      <c r="B7" s="28"/>
      <c r="C7" s="8"/>
      <c r="D7" s="8"/>
      <c r="E7" s="31">
        <f>+SUMIF(E20:E64,"GAV",D20:D64)</f>
        <v>4927619.7441643327</v>
      </c>
      <c r="F7" s="26" t="s">
        <v>13</v>
      </c>
      <c r="I7" t="s">
        <v>13</v>
      </c>
    </row>
    <row r="8" spans="1:10" ht="15" thickBot="1" x14ac:dyDescent="0.4">
      <c r="A8" s="16" t="s">
        <v>94</v>
      </c>
      <c r="B8" s="34"/>
      <c r="C8" s="17"/>
      <c r="D8" s="17"/>
      <c r="E8" s="35">
        <f>+E5-E7</f>
        <v>-4378712.1811391227</v>
      </c>
      <c r="F8" s="26" t="s">
        <v>13</v>
      </c>
    </row>
    <row r="9" spans="1:10" ht="15" thickBot="1" x14ac:dyDescent="0.4">
      <c r="E9" s="3"/>
      <c r="F9" s="26" t="s">
        <v>98</v>
      </c>
    </row>
    <row r="10" spans="1:10" x14ac:dyDescent="0.35">
      <c r="A10" s="55" t="s">
        <v>104</v>
      </c>
      <c r="B10" s="30"/>
      <c r="C10" s="12"/>
      <c r="D10" s="12"/>
      <c r="E10" s="53"/>
    </row>
    <row r="11" spans="1:10" x14ac:dyDescent="0.35">
      <c r="A11" s="14" t="s">
        <v>110</v>
      </c>
      <c r="B11" s="28"/>
      <c r="C11" s="8"/>
      <c r="D11" s="8"/>
      <c r="E11" s="15">
        <f>+'OCT-19'!D5+'OCT-19'!D6</f>
        <v>6000000</v>
      </c>
    </row>
    <row r="12" spans="1:10" x14ac:dyDescent="0.35">
      <c r="A12" s="14" t="s">
        <v>105</v>
      </c>
      <c r="B12" s="28"/>
      <c r="C12" s="8"/>
      <c r="D12" s="8"/>
      <c r="E12" s="15">
        <f>+'DIC-19'!W14</f>
        <v>160200</v>
      </c>
    </row>
    <row r="13" spans="1:10" x14ac:dyDescent="0.35">
      <c r="A13" s="14" t="s">
        <v>106</v>
      </c>
      <c r="B13" s="28"/>
      <c r="C13" s="8"/>
      <c r="D13" s="8"/>
      <c r="E13" s="15">
        <f>+G59</f>
        <v>5723988</v>
      </c>
    </row>
    <row r="14" spans="1:10" ht="15" thickBot="1" x14ac:dyDescent="0.4">
      <c r="A14" s="16" t="s">
        <v>180</v>
      </c>
      <c r="B14" s="34"/>
      <c r="C14" s="17"/>
      <c r="D14" s="17"/>
      <c r="E14" s="19">
        <f>+E11+E12-E13</f>
        <v>436212</v>
      </c>
    </row>
    <row r="15" spans="1:10" x14ac:dyDescent="0.35">
      <c r="E15" s="3"/>
    </row>
    <row r="16" spans="1:10" x14ac:dyDescent="0.35">
      <c r="E16" s="3"/>
    </row>
    <row r="17" spans="1:10" x14ac:dyDescent="0.35">
      <c r="E17" s="3"/>
    </row>
    <row r="18" spans="1:10" x14ac:dyDescent="0.35">
      <c r="A18" s="2" t="s">
        <v>109</v>
      </c>
      <c r="E18" s="3"/>
    </row>
    <row r="19" spans="1:10" ht="15" thickBot="1" x14ac:dyDescent="0.4"/>
    <row r="20" spans="1:10" x14ac:dyDescent="0.35">
      <c r="A20" s="36" t="s">
        <v>37</v>
      </c>
      <c r="B20" s="37" t="s">
        <v>39</v>
      </c>
      <c r="C20" s="38">
        <v>43790</v>
      </c>
      <c r="D20" s="39">
        <v>160200</v>
      </c>
      <c r="E20" s="40" t="s">
        <v>91</v>
      </c>
      <c r="F20">
        <f>+D20/2670</f>
        <v>60</v>
      </c>
      <c r="G20" t="s">
        <v>13</v>
      </c>
      <c r="H20" t="s">
        <v>13</v>
      </c>
    </row>
    <row r="21" spans="1:10" x14ac:dyDescent="0.35">
      <c r="A21" s="41" t="s">
        <v>38</v>
      </c>
      <c r="B21" s="24" t="s">
        <v>40</v>
      </c>
      <c r="C21" s="5">
        <v>43799</v>
      </c>
      <c r="D21" s="3">
        <v>267000</v>
      </c>
      <c r="E21" s="42" t="s">
        <v>91</v>
      </c>
      <c r="F21">
        <f>+D21/2670</f>
        <v>100</v>
      </c>
    </row>
    <row r="22" spans="1:10" x14ac:dyDescent="0.35">
      <c r="A22" s="41" t="s">
        <v>79</v>
      </c>
      <c r="B22" s="24" t="s">
        <v>77</v>
      </c>
      <c r="C22" s="5">
        <v>43805</v>
      </c>
      <c r="D22" s="3">
        <v>267000</v>
      </c>
      <c r="E22" s="42" t="s">
        <v>91</v>
      </c>
      <c r="F22">
        <f>+D22/2670</f>
        <v>100</v>
      </c>
    </row>
    <row r="23" spans="1:10" x14ac:dyDescent="0.35">
      <c r="A23" s="41" t="s">
        <v>80</v>
      </c>
      <c r="B23" s="24" t="s">
        <v>78</v>
      </c>
      <c r="C23" s="5">
        <v>43817</v>
      </c>
      <c r="D23" s="3">
        <v>267000</v>
      </c>
      <c r="E23" s="42" t="s">
        <v>91</v>
      </c>
      <c r="F23">
        <f>+D23/2670</f>
        <v>100</v>
      </c>
    </row>
    <row r="24" spans="1:10" ht="15" thickBot="1" x14ac:dyDescent="0.4">
      <c r="A24" s="43" t="s">
        <v>89</v>
      </c>
      <c r="B24" s="44" t="s">
        <v>90</v>
      </c>
      <c r="C24" s="45">
        <v>43820</v>
      </c>
      <c r="D24" s="46">
        <v>267000</v>
      </c>
      <c r="E24" s="47" t="s">
        <v>91</v>
      </c>
      <c r="F24">
        <f>+D24/2670</f>
        <v>100</v>
      </c>
      <c r="I24" s="3" t="s">
        <v>13</v>
      </c>
      <c r="J24" t="s">
        <v>13</v>
      </c>
    </row>
    <row r="25" spans="1:10" x14ac:dyDescent="0.35">
      <c r="C25" s="5"/>
      <c r="D25" s="3"/>
      <c r="I25" s="3"/>
    </row>
    <row r="26" spans="1:10" x14ac:dyDescent="0.35">
      <c r="C26" s="5"/>
      <c r="D26" s="3"/>
      <c r="I26" s="3"/>
    </row>
    <row r="27" spans="1:10" x14ac:dyDescent="0.35">
      <c r="D27" s="8" t="s">
        <v>102</v>
      </c>
      <c r="G27" s="8" t="s">
        <v>103</v>
      </c>
    </row>
    <row r="28" spans="1:10" x14ac:dyDescent="0.35">
      <c r="A28" s="8" t="s">
        <v>3</v>
      </c>
      <c r="B28" s="48" t="s">
        <v>11</v>
      </c>
      <c r="C28" s="9">
        <v>43754</v>
      </c>
      <c r="D28" s="10">
        <f>1600990/1.19</f>
        <v>1345369.7478991598</v>
      </c>
      <c r="E28" s="49" t="s">
        <v>82</v>
      </c>
      <c r="G28" s="10">
        <f>+D28*1.19</f>
        <v>1600990</v>
      </c>
    </row>
    <row r="29" spans="1:10" x14ac:dyDescent="0.35">
      <c r="A29" s="50" t="s">
        <v>35</v>
      </c>
      <c r="B29" s="28" t="s">
        <v>12</v>
      </c>
      <c r="C29" s="9">
        <v>43754</v>
      </c>
      <c r="D29" s="10">
        <f>1500000/0.9</f>
        <v>1666666.6666666665</v>
      </c>
      <c r="E29" s="51" t="s">
        <v>81</v>
      </c>
      <c r="F29" t="s">
        <v>13</v>
      </c>
      <c r="G29" s="10">
        <f>+D29*0.9</f>
        <v>1500000</v>
      </c>
    </row>
    <row r="30" spans="1:10" x14ac:dyDescent="0.35">
      <c r="A30" s="8" t="s">
        <v>14</v>
      </c>
      <c r="B30" s="48" t="s">
        <v>16</v>
      </c>
      <c r="C30" s="9">
        <v>43755</v>
      </c>
      <c r="D30" s="10">
        <f>16529/1.19</f>
        <v>13889.915966386556</v>
      </c>
      <c r="E30" s="51" t="s">
        <v>81</v>
      </c>
      <c r="G30" s="10">
        <f>16529</f>
        <v>16529</v>
      </c>
    </row>
    <row r="31" spans="1:10" x14ac:dyDescent="0.35">
      <c r="A31" s="50" t="s">
        <v>36</v>
      </c>
      <c r="B31" s="28" t="s">
        <v>34</v>
      </c>
      <c r="C31" s="9">
        <v>43774</v>
      </c>
      <c r="D31" s="10">
        <f>500000/0.9</f>
        <v>555555.5555555555</v>
      </c>
      <c r="E31" s="51" t="s">
        <v>81</v>
      </c>
      <c r="G31" s="10">
        <f>+D31*0.9</f>
        <v>499999.99999999994</v>
      </c>
    </row>
    <row r="32" spans="1:10" x14ac:dyDescent="0.35">
      <c r="A32" s="50" t="s">
        <v>17</v>
      </c>
      <c r="B32" s="28" t="s">
        <v>20</v>
      </c>
      <c r="C32" s="9">
        <v>43777</v>
      </c>
      <c r="D32" s="10">
        <f>22000/1.19</f>
        <v>18487.394957983193</v>
      </c>
      <c r="E32" s="51" t="s">
        <v>81</v>
      </c>
      <c r="G32" s="10">
        <f>22000</f>
        <v>22000</v>
      </c>
    </row>
    <row r="33" spans="1:7" x14ac:dyDescent="0.35">
      <c r="A33" s="8" t="s">
        <v>21</v>
      </c>
      <c r="B33" s="28" t="s">
        <v>19</v>
      </c>
      <c r="C33" s="9">
        <v>43780</v>
      </c>
      <c r="D33" s="10">
        <f>559300/1.19</f>
        <v>470000</v>
      </c>
      <c r="E33" s="51" t="s">
        <v>82</v>
      </c>
      <c r="G33" s="10">
        <f>559300</f>
        <v>559300</v>
      </c>
    </row>
    <row r="34" spans="1:7" x14ac:dyDescent="0.35">
      <c r="A34" s="8" t="s">
        <v>25</v>
      </c>
      <c r="B34" s="28" t="s">
        <v>57</v>
      </c>
      <c r="C34" s="9">
        <v>43789</v>
      </c>
      <c r="D34" s="10">
        <f>11305/1.19</f>
        <v>9500</v>
      </c>
      <c r="E34" s="51" t="s">
        <v>81</v>
      </c>
      <c r="G34" s="10">
        <f>11305</f>
        <v>11305</v>
      </c>
    </row>
    <row r="35" spans="1:7" x14ac:dyDescent="0.35">
      <c r="A35" s="8" t="s">
        <v>65</v>
      </c>
      <c r="B35" s="28" t="s">
        <v>55</v>
      </c>
      <c r="C35" s="9">
        <v>43789</v>
      </c>
      <c r="D35" s="10">
        <f>125000/1.19</f>
        <v>105042.01680672269</v>
      </c>
      <c r="E35" s="51" t="s">
        <v>83</v>
      </c>
      <c r="G35" s="10">
        <f>125000</f>
        <v>125000</v>
      </c>
    </row>
    <row r="36" spans="1:7" x14ac:dyDescent="0.35">
      <c r="A36" s="8" t="s">
        <v>22</v>
      </c>
      <c r="B36" s="28" t="s">
        <v>23</v>
      </c>
      <c r="C36" s="9">
        <v>43790</v>
      </c>
      <c r="D36" s="10">
        <f>12582/1.19</f>
        <v>10573.10924369748</v>
      </c>
      <c r="E36" s="51" t="s">
        <v>81</v>
      </c>
      <c r="G36" s="10">
        <f>12582</f>
        <v>12582</v>
      </c>
    </row>
    <row r="37" spans="1:7" x14ac:dyDescent="0.35">
      <c r="A37" s="8" t="s">
        <v>29</v>
      </c>
      <c r="B37" s="28" t="s">
        <v>30</v>
      </c>
      <c r="C37" s="9">
        <v>43791</v>
      </c>
      <c r="D37" s="52">
        <f>138000/1.19</f>
        <v>115966.38655462186</v>
      </c>
      <c r="E37" s="51" t="s">
        <v>82</v>
      </c>
      <c r="G37" s="52">
        <f>138000</f>
        <v>138000</v>
      </c>
    </row>
    <row r="38" spans="1:7" x14ac:dyDescent="0.35">
      <c r="A38" s="8" t="s">
        <v>32</v>
      </c>
      <c r="B38" s="28" t="s">
        <v>31</v>
      </c>
      <c r="C38" s="9">
        <v>43796</v>
      </c>
      <c r="D38" s="52">
        <f>4760/1.19</f>
        <v>4000</v>
      </c>
      <c r="E38" s="51" t="s">
        <v>81</v>
      </c>
      <c r="G38" s="52">
        <f>4760</f>
        <v>4760</v>
      </c>
    </row>
    <row r="39" spans="1:7" x14ac:dyDescent="0.35">
      <c r="A39" s="8" t="s">
        <v>86</v>
      </c>
      <c r="B39" s="28" t="s">
        <v>63</v>
      </c>
      <c r="C39" s="9">
        <v>43798</v>
      </c>
      <c r="D39" s="10">
        <f>250000/1.19</f>
        <v>210084.03361344538</v>
      </c>
      <c r="E39" s="51" t="s">
        <v>83</v>
      </c>
      <c r="G39" s="10">
        <f>250000</f>
        <v>250000</v>
      </c>
    </row>
    <row r="40" spans="1:7" x14ac:dyDescent="0.35">
      <c r="A40" s="50" t="s">
        <v>10</v>
      </c>
      <c r="B40" s="28" t="s">
        <v>73</v>
      </c>
      <c r="C40" s="9">
        <v>43799</v>
      </c>
      <c r="D40" s="10">
        <f>+(58000/1.19)*0.666666666666667</f>
        <v>32492.99719887957</v>
      </c>
      <c r="E40" s="51" t="s">
        <v>81</v>
      </c>
      <c r="G40" s="10">
        <f>58000</f>
        <v>58000</v>
      </c>
    </row>
    <row r="41" spans="1:7" x14ac:dyDescent="0.35">
      <c r="A41" s="50" t="s">
        <v>96</v>
      </c>
      <c r="B41" s="115" t="s">
        <v>97</v>
      </c>
      <c r="C41" s="9">
        <v>43804</v>
      </c>
      <c r="D41" s="10">
        <v>6000</v>
      </c>
      <c r="E41" s="51" t="s">
        <v>81</v>
      </c>
      <c r="G41" s="10">
        <v>6000</v>
      </c>
    </row>
    <row r="42" spans="1:7" x14ac:dyDescent="0.35">
      <c r="A42" s="8" t="s">
        <v>33</v>
      </c>
      <c r="B42" s="115"/>
      <c r="C42" s="9">
        <v>43799</v>
      </c>
      <c r="D42" s="10">
        <f>(100241+56578)/1.19</f>
        <v>131780.67226890757</v>
      </c>
      <c r="E42" s="51" t="s">
        <v>81</v>
      </c>
      <c r="G42" s="10">
        <f>(100241+56578)</f>
        <v>156819</v>
      </c>
    </row>
    <row r="43" spans="1:7" x14ac:dyDescent="0.35">
      <c r="A43" s="8" t="s">
        <v>76</v>
      </c>
      <c r="B43" s="28" t="s">
        <v>58</v>
      </c>
      <c r="C43" s="9">
        <v>43801</v>
      </c>
      <c r="D43" s="10">
        <f>162426</f>
        <v>162426</v>
      </c>
      <c r="E43" s="51" t="s">
        <v>81</v>
      </c>
      <c r="G43" s="10">
        <v>0</v>
      </c>
    </row>
    <row r="44" spans="1:7" x14ac:dyDescent="0.35">
      <c r="A44" s="50" t="s">
        <v>48</v>
      </c>
      <c r="B44" s="28" t="s">
        <v>95</v>
      </c>
      <c r="C44" s="9">
        <v>43804</v>
      </c>
      <c r="D44" s="10">
        <f>500000/0.9</f>
        <v>555555.5555555555</v>
      </c>
      <c r="E44" s="51" t="s">
        <v>81</v>
      </c>
      <c r="G44" s="10">
        <f>500000</f>
        <v>500000</v>
      </c>
    </row>
    <row r="45" spans="1:7" x14ac:dyDescent="0.35">
      <c r="A45" s="8" t="s">
        <v>62</v>
      </c>
      <c r="B45" s="28" t="s">
        <v>13</v>
      </c>
      <c r="C45" s="9">
        <v>43805</v>
      </c>
      <c r="D45" s="10">
        <v>166667</v>
      </c>
      <c r="E45" s="51" t="s">
        <v>84</v>
      </c>
      <c r="G45" s="10">
        <v>166667</v>
      </c>
    </row>
    <row r="46" spans="1:7" x14ac:dyDescent="0.35">
      <c r="A46" s="8" t="s">
        <v>61</v>
      </c>
      <c r="B46" s="28"/>
      <c r="C46" s="9">
        <v>43811</v>
      </c>
      <c r="D46" s="10">
        <v>59146</v>
      </c>
      <c r="E46" s="51" t="s">
        <v>84</v>
      </c>
      <c r="G46" s="10">
        <v>59146</v>
      </c>
    </row>
    <row r="47" spans="1:7" x14ac:dyDescent="0.35">
      <c r="A47" s="8" t="s">
        <v>71</v>
      </c>
      <c r="B47" s="48" t="s">
        <v>74</v>
      </c>
      <c r="C47" s="9">
        <v>43811</v>
      </c>
      <c r="D47" s="52">
        <f>32130/1.19</f>
        <v>27000</v>
      </c>
      <c r="E47" s="51" t="s">
        <v>81</v>
      </c>
      <c r="G47" s="52">
        <f>32130</f>
        <v>32130</v>
      </c>
    </row>
    <row r="48" spans="1:7" x14ac:dyDescent="0.35">
      <c r="A48" s="8" t="s">
        <v>66</v>
      </c>
      <c r="B48" s="28" t="s">
        <v>67</v>
      </c>
      <c r="C48" s="9">
        <v>43812</v>
      </c>
      <c r="D48" s="10">
        <f>250000/1.19</f>
        <v>210084.03361344538</v>
      </c>
      <c r="E48" s="51" t="s">
        <v>83</v>
      </c>
      <c r="G48" s="10">
        <v>0</v>
      </c>
    </row>
    <row r="49" spans="1:10" x14ac:dyDescent="0.35">
      <c r="A49" s="8" t="s">
        <v>69</v>
      </c>
      <c r="B49" s="28" t="s">
        <v>68</v>
      </c>
      <c r="C49" s="9">
        <v>43812</v>
      </c>
      <c r="D49" s="10">
        <f>559300/1.19</f>
        <v>470000</v>
      </c>
      <c r="E49" s="51" t="s">
        <v>82</v>
      </c>
      <c r="G49" s="10">
        <v>0</v>
      </c>
    </row>
    <row r="50" spans="1:10" x14ac:dyDescent="0.35">
      <c r="A50" s="8" t="s">
        <v>32</v>
      </c>
      <c r="B50" s="48" t="s">
        <v>72</v>
      </c>
      <c r="C50" s="9">
        <v>43815</v>
      </c>
      <c r="D50" s="10">
        <f>4760/1.19</f>
        <v>4000</v>
      </c>
      <c r="E50" s="51" t="s">
        <v>81</v>
      </c>
      <c r="G50" s="10">
        <f>4760</f>
        <v>4760</v>
      </c>
      <c r="J50" t="s">
        <v>13</v>
      </c>
    </row>
    <row r="51" spans="1:10" x14ac:dyDescent="0.35">
      <c r="A51" s="8" t="s">
        <v>88</v>
      </c>
      <c r="B51" s="28" t="s">
        <v>87</v>
      </c>
      <c r="C51" s="9">
        <v>43819</v>
      </c>
      <c r="D51" s="52">
        <f>250000/1.19</f>
        <v>210084.03361344538</v>
      </c>
      <c r="E51" s="51" t="s">
        <v>83</v>
      </c>
      <c r="G51" s="52">
        <v>0</v>
      </c>
    </row>
    <row r="52" spans="1:10" x14ac:dyDescent="0.35">
      <c r="A52" s="8" t="s">
        <v>111</v>
      </c>
      <c r="B52" s="28"/>
      <c r="C52" s="9"/>
      <c r="D52" s="52">
        <f>60*1250/1.19</f>
        <v>63025.210084033613</v>
      </c>
      <c r="E52" s="51" t="s">
        <v>81</v>
      </c>
      <c r="G52" s="52">
        <f>+D52*1.19</f>
        <v>75000</v>
      </c>
    </row>
    <row r="53" spans="1:10" x14ac:dyDescent="0.35">
      <c r="A53" s="8" t="s">
        <v>114</v>
      </c>
      <c r="B53" s="65" t="s">
        <v>113</v>
      </c>
      <c r="C53" s="9">
        <v>43822</v>
      </c>
      <c r="D53" s="10">
        <f>128137/1.19</f>
        <v>107678.15126050421</v>
      </c>
      <c r="E53" s="51" t="s">
        <v>82</v>
      </c>
      <c r="G53" s="52">
        <f>+D53*1.19</f>
        <v>128137</v>
      </c>
    </row>
    <row r="54" spans="1:10" x14ac:dyDescent="0.35">
      <c r="A54" s="50" t="s">
        <v>176</v>
      </c>
      <c r="B54" s="28" t="s">
        <v>177</v>
      </c>
      <c r="C54" s="9">
        <v>44196</v>
      </c>
      <c r="D54" s="10">
        <f>1500000/0.9</f>
        <v>1666666.6666666665</v>
      </c>
      <c r="E54" s="51" t="s">
        <v>81</v>
      </c>
      <c r="G54" s="52">
        <f>+D54*0.9</f>
        <v>1500000</v>
      </c>
    </row>
    <row r="55" spans="1:10" x14ac:dyDescent="0.35">
      <c r="B55" s="24">
        <f>+COUNTA(B28:B54)</f>
        <v>24</v>
      </c>
      <c r="C55" s="5"/>
      <c r="D55" s="7"/>
      <c r="G55" s="7"/>
    </row>
    <row r="56" spans="1:10" x14ac:dyDescent="0.35">
      <c r="C56" s="5"/>
      <c r="D56" s="7"/>
      <c r="G56" s="7"/>
    </row>
    <row r="57" spans="1:10" x14ac:dyDescent="0.35">
      <c r="C57" s="5"/>
      <c r="D57" s="7"/>
      <c r="G57" s="7"/>
    </row>
    <row r="58" spans="1:10" x14ac:dyDescent="0.35">
      <c r="C58" s="5"/>
      <c r="D58" s="7"/>
      <c r="G58" s="7"/>
    </row>
    <row r="59" spans="1:10" x14ac:dyDescent="0.35">
      <c r="D59" s="3" t="s">
        <v>13</v>
      </c>
      <c r="G59" s="3">
        <f>SUM(G28:G51)</f>
        <v>5723988</v>
      </c>
      <c r="H59" s="3">
        <f>6000000-G59</f>
        <v>276012</v>
      </c>
    </row>
    <row r="60" spans="1:10" x14ac:dyDescent="0.35">
      <c r="A60" s="4"/>
      <c r="D60" s="3"/>
      <c r="E60" s="27" t="s">
        <v>290</v>
      </c>
      <c r="F60" s="10">
        <f>+SUMIF(E28:E54,"AF",D28:D54)*1.19</f>
        <v>2985727</v>
      </c>
    </row>
    <row r="61" spans="1:10" x14ac:dyDescent="0.35">
      <c r="A61" s="4" t="s">
        <v>41</v>
      </c>
      <c r="B61" s="24" t="s">
        <v>13</v>
      </c>
      <c r="D61" s="3">
        <v>1500000</v>
      </c>
      <c r="E61" s="6" t="s">
        <v>85</v>
      </c>
    </row>
    <row r="62" spans="1:10" x14ac:dyDescent="0.35">
      <c r="A62" t="s">
        <v>59</v>
      </c>
      <c r="B62" s="24" t="s">
        <v>13</v>
      </c>
      <c r="D62" s="3">
        <v>2217710.1799999997</v>
      </c>
      <c r="E62" s="6" t="s">
        <v>85</v>
      </c>
      <c r="H62" t="s">
        <v>13</v>
      </c>
    </row>
    <row r="63" spans="1:10" x14ac:dyDescent="0.35">
      <c r="A63" t="s">
        <v>47</v>
      </c>
      <c r="B63" s="24" t="s">
        <v>13</v>
      </c>
      <c r="D63" s="3">
        <f>881470/0.9</f>
        <v>979411.11111111112</v>
      </c>
      <c r="E63" s="6" t="s">
        <v>85</v>
      </c>
    </row>
    <row r="64" spans="1:10" x14ac:dyDescent="0.35">
      <c r="A64" t="s">
        <v>49</v>
      </c>
      <c r="D64" s="3">
        <f>+E3*0.17</f>
        <v>175457.1428571429</v>
      </c>
      <c r="E64" s="6" t="s">
        <v>85</v>
      </c>
    </row>
  </sheetData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50"/>
  <sheetViews>
    <sheetView topLeftCell="A28" workbookViewId="0">
      <selection activeCell="A39" sqref="A39"/>
    </sheetView>
  </sheetViews>
  <sheetFormatPr baseColWidth="10" defaultColWidth="11.08984375" defaultRowHeight="14.5" x14ac:dyDescent="0.35"/>
  <cols>
    <col min="1" max="1" width="39.1796875" customWidth="1"/>
    <col min="2" max="2" width="11.36328125" style="24" customWidth="1"/>
    <col min="4" max="4" width="14.54296875" customWidth="1"/>
    <col min="5" max="5" width="19" style="6" customWidth="1"/>
    <col min="6" max="6" width="17" customWidth="1"/>
    <col min="7" max="7" width="15.54296875" customWidth="1"/>
    <col min="8" max="8" width="12" customWidth="1"/>
  </cols>
  <sheetData>
    <row r="1" spans="1:10" ht="15" thickBot="1" x14ac:dyDescent="0.4"/>
    <row r="2" spans="1:10" ht="45" customHeight="1" x14ac:dyDescent="0.35">
      <c r="A2" s="54" t="s">
        <v>108</v>
      </c>
      <c r="B2" s="30"/>
      <c r="C2" s="12"/>
      <c r="D2" s="12"/>
      <c r="E2" s="56" t="s">
        <v>179</v>
      </c>
      <c r="F2" s="25" t="s">
        <v>13</v>
      </c>
    </row>
    <row r="3" spans="1:10" x14ac:dyDescent="0.35">
      <c r="A3" s="14" t="s">
        <v>92</v>
      </c>
      <c r="B3" s="28"/>
      <c r="C3" s="8"/>
      <c r="D3" s="8"/>
      <c r="E3" s="31">
        <f>+SUMIF(E20:E50,"V",D20:D50)/1.19</f>
        <v>358991.59663865546</v>
      </c>
      <c r="F3" s="26" t="s">
        <v>13</v>
      </c>
    </row>
    <row r="4" spans="1:10" x14ac:dyDescent="0.35">
      <c r="A4" s="32" t="s">
        <v>115</v>
      </c>
      <c r="B4" s="29"/>
      <c r="C4" s="10"/>
      <c r="D4" s="10"/>
      <c r="E4" s="31">
        <f>+SUMIF(E20:E50,"V",F20:F50)*1250/1.19</f>
        <v>168067.22689075631</v>
      </c>
      <c r="F4" s="27" t="s">
        <v>13</v>
      </c>
      <c r="G4" s="22" t="s">
        <v>13</v>
      </c>
      <c r="H4" t="s">
        <v>13</v>
      </c>
      <c r="J4" s="3" t="s">
        <v>13</v>
      </c>
    </row>
    <row r="5" spans="1:10" x14ac:dyDescent="0.35">
      <c r="A5" s="14" t="s">
        <v>93</v>
      </c>
      <c r="B5" s="28"/>
      <c r="C5" s="8"/>
      <c r="D5" s="8"/>
      <c r="E5" s="31">
        <f>+E3-E4</f>
        <v>190924.36974789915</v>
      </c>
      <c r="F5" s="26" t="s">
        <v>13</v>
      </c>
    </row>
    <row r="6" spans="1:10" x14ac:dyDescent="0.35">
      <c r="A6" s="14" t="s">
        <v>101</v>
      </c>
      <c r="B6" s="28"/>
      <c r="C6" s="8"/>
      <c r="D6" s="8"/>
      <c r="E6" s="33">
        <f>+E5/E3</f>
        <v>0.53183520599250933</v>
      </c>
      <c r="F6" s="26"/>
    </row>
    <row r="7" spans="1:10" x14ac:dyDescent="0.35">
      <c r="A7" s="14" t="s">
        <v>81</v>
      </c>
      <c r="B7" s="28"/>
      <c r="C7" s="8"/>
      <c r="D7" s="8"/>
      <c r="E7" s="31">
        <f>+SUMIF(E20:E50,"GAV",D20:D50)</f>
        <v>1119694.3697478992</v>
      </c>
      <c r="F7" s="26" t="s">
        <v>13</v>
      </c>
      <c r="I7" t="s">
        <v>13</v>
      </c>
    </row>
    <row r="8" spans="1:10" ht="15" thickBot="1" x14ac:dyDescent="0.4">
      <c r="A8" s="16" t="s">
        <v>94</v>
      </c>
      <c r="B8" s="34"/>
      <c r="C8" s="17"/>
      <c r="D8" s="17"/>
      <c r="E8" s="35">
        <f>+E5-E7</f>
        <v>-928770.00000000012</v>
      </c>
      <c r="F8" s="26" t="s">
        <v>13</v>
      </c>
    </row>
    <row r="9" spans="1:10" ht="15" thickBot="1" x14ac:dyDescent="0.4">
      <c r="E9" s="3"/>
      <c r="F9" s="26" t="s">
        <v>98</v>
      </c>
    </row>
    <row r="10" spans="1:10" x14ac:dyDescent="0.35">
      <c r="A10" s="55" t="s">
        <v>104</v>
      </c>
      <c r="B10" s="30"/>
      <c r="C10" s="12"/>
      <c r="D10" s="12"/>
      <c r="E10" s="53"/>
    </row>
    <row r="11" spans="1:10" x14ac:dyDescent="0.35">
      <c r="A11" s="14" t="s">
        <v>110</v>
      </c>
      <c r="B11" s="28"/>
      <c r="C11" s="8"/>
      <c r="D11" s="8"/>
      <c r="E11" s="15">
        <f>+'OCT-19'!D5+'OCT-19'!D6</f>
        <v>6000000</v>
      </c>
    </row>
    <row r="12" spans="1:10" x14ac:dyDescent="0.35">
      <c r="A12" s="14" t="s">
        <v>105</v>
      </c>
      <c r="B12" s="28"/>
      <c r="C12" s="8"/>
      <c r="D12" s="8"/>
      <c r="E12" s="15">
        <f>+'DIC-19'!W14</f>
        <v>160200</v>
      </c>
    </row>
    <row r="13" spans="1:10" x14ac:dyDescent="0.35">
      <c r="A13" s="14" t="s">
        <v>106</v>
      </c>
      <c r="B13" s="28"/>
      <c r="C13" s="8"/>
      <c r="D13" s="8"/>
      <c r="E13" s="15">
        <f>+G45</f>
        <v>2890940</v>
      </c>
    </row>
    <row r="14" spans="1:10" ht="15" thickBot="1" x14ac:dyDescent="0.4">
      <c r="A14" s="16" t="s">
        <v>107</v>
      </c>
      <c r="B14" s="34"/>
      <c r="C14" s="17"/>
      <c r="D14" s="17"/>
      <c r="E14" s="19">
        <f>+E11+E12-E13</f>
        <v>3269260</v>
      </c>
    </row>
    <row r="15" spans="1:10" x14ac:dyDescent="0.35">
      <c r="E15" s="3"/>
    </row>
    <row r="16" spans="1:10" x14ac:dyDescent="0.35">
      <c r="E16" s="3"/>
    </row>
    <row r="17" spans="1:10" x14ac:dyDescent="0.35">
      <c r="E17" s="3"/>
    </row>
    <row r="18" spans="1:10" x14ac:dyDescent="0.35">
      <c r="A18" s="2" t="s">
        <v>109</v>
      </c>
      <c r="E18" s="3"/>
    </row>
    <row r="19" spans="1:10" ht="15" thickBot="1" x14ac:dyDescent="0.4">
      <c r="F19" s="6" t="s">
        <v>220</v>
      </c>
    </row>
    <row r="20" spans="1:10" x14ac:dyDescent="0.35">
      <c r="A20" s="36" t="s">
        <v>166</v>
      </c>
      <c r="B20" s="66" t="s">
        <v>19</v>
      </c>
      <c r="C20" s="38">
        <v>43836</v>
      </c>
      <c r="D20" s="39">
        <v>267000</v>
      </c>
      <c r="E20" s="40" t="s">
        <v>91</v>
      </c>
      <c r="F20">
        <f>+D20/2670</f>
        <v>100</v>
      </c>
      <c r="G20" t="s">
        <v>13</v>
      </c>
      <c r="H20" t="s">
        <v>13</v>
      </c>
    </row>
    <row r="21" spans="1:10" x14ac:dyDescent="0.35">
      <c r="A21" s="41" t="s">
        <v>174</v>
      </c>
      <c r="B21" t="s">
        <v>55</v>
      </c>
      <c r="C21" s="5">
        <v>43848</v>
      </c>
      <c r="D21" s="3">
        <v>160200</v>
      </c>
      <c r="E21" s="42" t="s">
        <v>91</v>
      </c>
      <c r="F21">
        <f>+D21/2670</f>
        <v>60</v>
      </c>
    </row>
    <row r="22" spans="1:10" x14ac:dyDescent="0.35">
      <c r="A22" s="41" t="s">
        <v>13</v>
      </c>
      <c r="B22" s="24" t="s">
        <v>13</v>
      </c>
      <c r="C22" s="5" t="s">
        <v>13</v>
      </c>
      <c r="D22" s="3" t="s">
        <v>13</v>
      </c>
      <c r="E22" s="42" t="s">
        <v>13</v>
      </c>
      <c r="F22" t="s">
        <v>13</v>
      </c>
    </row>
    <row r="23" spans="1:10" x14ac:dyDescent="0.35">
      <c r="A23" s="41" t="s">
        <v>13</v>
      </c>
      <c r="B23" s="24" t="s">
        <v>13</v>
      </c>
      <c r="C23" s="5" t="s">
        <v>13</v>
      </c>
      <c r="D23" s="3" t="s">
        <v>13</v>
      </c>
      <c r="E23" s="42" t="s">
        <v>13</v>
      </c>
      <c r="F23" t="s">
        <v>13</v>
      </c>
    </row>
    <row r="24" spans="1:10" ht="15" thickBot="1" x14ac:dyDescent="0.4">
      <c r="A24" s="43" t="s">
        <v>13</v>
      </c>
      <c r="B24" s="44" t="s">
        <v>13</v>
      </c>
      <c r="C24" s="45" t="s">
        <v>13</v>
      </c>
      <c r="D24" s="46" t="s">
        <v>13</v>
      </c>
      <c r="E24" s="47" t="s">
        <v>13</v>
      </c>
      <c r="F24" t="s">
        <v>13</v>
      </c>
      <c r="I24" s="3" t="s">
        <v>13</v>
      </c>
      <c r="J24" t="s">
        <v>13</v>
      </c>
    </row>
    <row r="25" spans="1:10" x14ac:dyDescent="0.35">
      <c r="C25" s="5" t="s">
        <v>13</v>
      </c>
      <c r="D25" s="3"/>
      <c r="I25" s="3"/>
    </row>
    <row r="26" spans="1:10" x14ac:dyDescent="0.35">
      <c r="C26" s="5"/>
      <c r="D26" s="3"/>
      <c r="I26" s="3"/>
    </row>
    <row r="27" spans="1:10" x14ac:dyDescent="0.35">
      <c r="D27" s="8" t="s">
        <v>102</v>
      </c>
      <c r="G27" s="8" t="s">
        <v>103</v>
      </c>
    </row>
    <row r="28" spans="1:10" x14ac:dyDescent="0.35">
      <c r="A28" t="s">
        <v>168</v>
      </c>
      <c r="B28" t="s">
        <v>13</v>
      </c>
      <c r="C28" s="5">
        <v>43843</v>
      </c>
      <c r="D28" s="3">
        <v>228954</v>
      </c>
      <c r="E28" s="49" t="s">
        <v>84</v>
      </c>
      <c r="G28" s="10">
        <f>+D28</f>
        <v>228954</v>
      </c>
    </row>
    <row r="29" spans="1:10" x14ac:dyDescent="0.35">
      <c r="A29" t="s">
        <v>163</v>
      </c>
      <c r="B29" t="s">
        <v>164</v>
      </c>
      <c r="C29" s="5">
        <v>43838</v>
      </c>
      <c r="D29" s="3">
        <v>440735</v>
      </c>
      <c r="E29" s="49" t="s">
        <v>81</v>
      </c>
      <c r="F29" t="s">
        <v>13</v>
      </c>
      <c r="G29" s="10">
        <f>+D29</f>
        <v>440735</v>
      </c>
      <c r="I29">
        <f>1-0.1075</f>
        <v>0.89249999999999996</v>
      </c>
    </row>
    <row r="30" spans="1:10" x14ac:dyDescent="0.35">
      <c r="A30" s="4" t="s">
        <v>167</v>
      </c>
      <c r="B30" s="24" t="s">
        <v>178</v>
      </c>
      <c r="C30" s="5">
        <v>43841</v>
      </c>
      <c r="D30" s="3">
        <v>500000</v>
      </c>
      <c r="E30" s="49" t="s">
        <v>81</v>
      </c>
      <c r="G30" s="10">
        <f>+D30</f>
        <v>500000</v>
      </c>
    </row>
    <row r="31" spans="1:10" x14ac:dyDescent="0.35">
      <c r="A31" t="s">
        <v>49</v>
      </c>
      <c r="B31"/>
      <c r="D31" s="3"/>
      <c r="E31" s="49" t="s">
        <v>81</v>
      </c>
      <c r="G31" s="10" t="s">
        <v>13</v>
      </c>
    </row>
    <row r="32" spans="1:10" x14ac:dyDescent="0.35">
      <c r="A32" t="s">
        <v>69</v>
      </c>
      <c r="B32" s="63" t="s">
        <v>68</v>
      </c>
      <c r="C32" s="5">
        <v>43812</v>
      </c>
      <c r="D32" s="3">
        <v>559300</v>
      </c>
      <c r="E32" s="49" t="s">
        <v>98</v>
      </c>
      <c r="G32" s="10" t="s">
        <v>13</v>
      </c>
    </row>
    <row r="33" spans="1:8" x14ac:dyDescent="0.35">
      <c r="A33" t="s">
        <v>75</v>
      </c>
      <c r="B33" s="63" t="s">
        <v>87</v>
      </c>
      <c r="C33" s="5">
        <v>43819</v>
      </c>
      <c r="D33" s="3">
        <f>250000/1.19</f>
        <v>210084.03361344538</v>
      </c>
      <c r="E33" s="49" t="s">
        <v>83</v>
      </c>
      <c r="G33" s="10">
        <f>+D33*1.19</f>
        <v>250000</v>
      </c>
    </row>
    <row r="34" spans="1:8" x14ac:dyDescent="0.35">
      <c r="A34" t="s">
        <v>151</v>
      </c>
      <c r="B34" s="21" t="s">
        <v>152</v>
      </c>
      <c r="C34" s="5">
        <v>43833</v>
      </c>
      <c r="D34" s="3">
        <f>930125/1.19</f>
        <v>781617.64705882361</v>
      </c>
      <c r="E34" s="49" t="s">
        <v>82</v>
      </c>
      <c r="G34" s="10">
        <f t="shared" ref="G34:G40" si="0">+D34*1.19</f>
        <v>930125</v>
      </c>
    </row>
    <row r="35" spans="1:8" x14ac:dyDescent="0.35">
      <c r="A35" t="s">
        <v>154</v>
      </c>
      <c r="B35" s="21" t="s">
        <v>153</v>
      </c>
      <c r="C35" s="5">
        <v>43833</v>
      </c>
      <c r="D35" s="3">
        <f>3145/1.19</f>
        <v>2642.8571428571431</v>
      </c>
      <c r="E35" s="49" t="s">
        <v>82</v>
      </c>
      <c r="G35" s="10">
        <f t="shared" si="0"/>
        <v>3145</v>
      </c>
    </row>
    <row r="36" spans="1:8" x14ac:dyDescent="0.35">
      <c r="A36" t="s">
        <v>155</v>
      </c>
      <c r="B36" t="s">
        <v>156</v>
      </c>
      <c r="C36" s="5">
        <v>43833</v>
      </c>
      <c r="D36" s="3">
        <f>12380/1.19</f>
        <v>10403.361344537816</v>
      </c>
      <c r="E36" s="49" t="s">
        <v>82</v>
      </c>
      <c r="G36" s="10">
        <f t="shared" si="0"/>
        <v>12380</v>
      </c>
    </row>
    <row r="37" spans="1:8" x14ac:dyDescent="0.35">
      <c r="A37" t="s">
        <v>158</v>
      </c>
      <c r="B37" t="s">
        <v>157</v>
      </c>
      <c r="C37" s="5">
        <v>43836</v>
      </c>
      <c r="D37" s="3">
        <f>17580/1.19</f>
        <v>14773.10924369748</v>
      </c>
      <c r="E37" s="49" t="s">
        <v>82</v>
      </c>
      <c r="G37" s="10">
        <f t="shared" si="0"/>
        <v>17580</v>
      </c>
    </row>
    <row r="38" spans="1:8" x14ac:dyDescent="0.35">
      <c r="A38" t="s">
        <v>159</v>
      </c>
      <c r="B38" t="s">
        <v>160</v>
      </c>
      <c r="C38" s="5">
        <v>43836</v>
      </c>
      <c r="D38" s="3">
        <f>3690/1.19</f>
        <v>3100.840336134454</v>
      </c>
      <c r="E38" s="49" t="s">
        <v>82</v>
      </c>
      <c r="G38" s="10">
        <f t="shared" si="0"/>
        <v>3690</v>
      </c>
    </row>
    <row r="39" spans="1:8" x14ac:dyDescent="0.35">
      <c r="A39" t="s">
        <v>161</v>
      </c>
      <c r="B39" t="s">
        <v>162</v>
      </c>
      <c r="C39" s="5">
        <v>43837</v>
      </c>
      <c r="D39" s="3">
        <f>297076/1.19</f>
        <v>249643.69747899161</v>
      </c>
      <c r="E39" s="49" t="s">
        <v>82</v>
      </c>
      <c r="G39" s="10">
        <f t="shared" si="0"/>
        <v>297076</v>
      </c>
    </row>
    <row r="40" spans="1:8" x14ac:dyDescent="0.35">
      <c r="A40" t="s">
        <v>76</v>
      </c>
      <c r="B40" t="s">
        <v>165</v>
      </c>
      <c r="C40" s="5">
        <v>43832</v>
      </c>
      <c r="D40" s="3">
        <f>177220/1.19</f>
        <v>148924.36974789915</v>
      </c>
      <c r="E40" s="49" t="s">
        <v>81</v>
      </c>
      <c r="G40" s="10">
        <f t="shared" si="0"/>
        <v>177219.99999999997</v>
      </c>
    </row>
    <row r="41" spans="1:8" x14ac:dyDescent="0.35">
      <c r="A41" t="s">
        <v>171</v>
      </c>
      <c r="B41" t="s">
        <v>172</v>
      </c>
      <c r="C41" s="5">
        <v>43840</v>
      </c>
      <c r="D41" s="3">
        <v>15024</v>
      </c>
      <c r="E41" s="49" t="s">
        <v>81</v>
      </c>
      <c r="G41" s="10">
        <f>+D41</f>
        <v>15024</v>
      </c>
    </row>
    <row r="42" spans="1:8" x14ac:dyDescent="0.35">
      <c r="A42" t="s">
        <v>173</v>
      </c>
      <c r="B42"/>
      <c r="C42" s="5">
        <v>43848</v>
      </c>
      <c r="D42" s="3">
        <v>15011</v>
      </c>
      <c r="E42" s="49" t="s">
        <v>81</v>
      </c>
      <c r="G42" s="10">
        <f>+D42</f>
        <v>15011</v>
      </c>
    </row>
    <row r="43" spans="1:8" x14ac:dyDescent="0.35">
      <c r="C43" s="5"/>
      <c r="D43" s="7"/>
      <c r="G43" s="7"/>
    </row>
    <row r="44" spans="1:8" x14ac:dyDescent="0.35">
      <c r="C44" s="5"/>
      <c r="D44" s="7"/>
      <c r="G44" s="7"/>
    </row>
    <row r="45" spans="1:8" x14ac:dyDescent="0.35">
      <c r="D45" s="3" t="s">
        <v>13</v>
      </c>
      <c r="G45" s="3">
        <f>SUM(G28:G42)</f>
        <v>2890940</v>
      </c>
      <c r="H45" s="3">
        <f>6000000-G45</f>
        <v>3109060</v>
      </c>
    </row>
    <row r="46" spans="1:8" x14ac:dyDescent="0.35">
      <c r="A46" s="4"/>
      <c r="D46" s="3"/>
      <c r="E46" s="6" t="s">
        <v>82</v>
      </c>
      <c r="F46" s="10">
        <f>+SUMIF(E28:E42,"AF",D28:D42)*1.19</f>
        <v>1263996.0000000002</v>
      </c>
    </row>
    <row r="47" spans="1:8" x14ac:dyDescent="0.35">
      <c r="A47" s="4" t="s">
        <v>13</v>
      </c>
      <c r="B47" s="24" t="s">
        <v>13</v>
      </c>
      <c r="D47" s="3" t="s">
        <v>13</v>
      </c>
      <c r="E47" s="6" t="s">
        <v>13</v>
      </c>
    </row>
    <row r="48" spans="1:8" x14ac:dyDescent="0.35">
      <c r="A48" t="s">
        <v>13</v>
      </c>
      <c r="B48" s="24" t="s">
        <v>13</v>
      </c>
      <c r="D48" s="3" t="s">
        <v>13</v>
      </c>
      <c r="E48" s="6" t="s">
        <v>13</v>
      </c>
      <c r="H48" t="s">
        <v>13</v>
      </c>
    </row>
    <row r="49" spans="1:5" x14ac:dyDescent="0.35">
      <c r="A49" t="s">
        <v>13</v>
      </c>
      <c r="B49" s="24" t="s">
        <v>13</v>
      </c>
      <c r="D49" s="3" t="s">
        <v>13</v>
      </c>
      <c r="E49" s="6" t="s">
        <v>13</v>
      </c>
    </row>
    <row r="50" spans="1:5" x14ac:dyDescent="0.35">
      <c r="A50" t="s">
        <v>49</v>
      </c>
      <c r="D50" s="3">
        <f>+E3*0.17</f>
        <v>61028.571428571435</v>
      </c>
      <c r="E50" s="6" t="s">
        <v>85</v>
      </c>
    </row>
  </sheetData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93"/>
  <sheetViews>
    <sheetView topLeftCell="A25" workbookViewId="0">
      <selection activeCell="A44" sqref="A44"/>
    </sheetView>
  </sheetViews>
  <sheetFormatPr baseColWidth="10" defaultColWidth="11.08984375" defaultRowHeight="14.5" x14ac:dyDescent="0.35"/>
  <cols>
    <col min="1" max="1" width="39.1796875" customWidth="1"/>
    <col min="2" max="2" width="15.54296875" style="24" customWidth="1"/>
    <col min="4" max="4" width="14.54296875" customWidth="1"/>
    <col min="5" max="5" width="19" style="6" customWidth="1"/>
    <col min="6" max="6" width="17" customWidth="1"/>
    <col min="7" max="7" width="15.54296875" customWidth="1"/>
    <col min="8" max="8" width="12" customWidth="1"/>
  </cols>
  <sheetData>
    <row r="1" spans="1:10" ht="15" thickBot="1" x14ac:dyDescent="0.4"/>
    <row r="2" spans="1:10" ht="45" customHeight="1" x14ac:dyDescent="0.35">
      <c r="A2" s="54" t="s">
        <v>108</v>
      </c>
      <c r="B2" s="30"/>
      <c r="C2" s="12"/>
      <c r="D2" s="12"/>
      <c r="E2" s="56" t="s">
        <v>221</v>
      </c>
      <c r="F2" s="25" t="s">
        <v>13</v>
      </c>
    </row>
    <row r="3" spans="1:10" x14ac:dyDescent="0.35">
      <c r="A3" s="14" t="s">
        <v>92</v>
      </c>
      <c r="B3" s="28"/>
      <c r="C3" s="8"/>
      <c r="D3" s="8"/>
      <c r="E3" s="31">
        <f>+SUMIF(E20:E49,"V",D20:D49)/1.19</f>
        <v>656578.15126050427</v>
      </c>
      <c r="F3" s="26" t="s">
        <v>13</v>
      </c>
    </row>
    <row r="4" spans="1:10" x14ac:dyDescent="0.35">
      <c r="A4" s="32" t="s">
        <v>115</v>
      </c>
      <c r="B4" s="29"/>
      <c r="C4" s="10"/>
      <c r="D4" s="10"/>
      <c r="E4" s="31">
        <f>+SUMIF(E20:E49,"V",F20:F49)*1250/1.19</f>
        <v>294117.64705882355</v>
      </c>
      <c r="F4" s="27" t="s">
        <v>13</v>
      </c>
      <c r="G4" s="22" t="s">
        <v>13</v>
      </c>
      <c r="H4" t="s">
        <v>13</v>
      </c>
      <c r="J4" s="3" t="s">
        <v>13</v>
      </c>
    </row>
    <row r="5" spans="1:10" x14ac:dyDescent="0.35">
      <c r="A5" s="14" t="s">
        <v>93</v>
      </c>
      <c r="B5" s="28"/>
      <c r="C5" s="8"/>
      <c r="D5" s="8"/>
      <c r="E5" s="31">
        <f>+E3-E4</f>
        <v>362460.50420168071</v>
      </c>
      <c r="F5" s="26" t="s">
        <v>13</v>
      </c>
    </row>
    <row r="6" spans="1:10" x14ac:dyDescent="0.35">
      <c r="A6" s="14" t="s">
        <v>101</v>
      </c>
      <c r="B6" s="28"/>
      <c r="C6" s="8"/>
      <c r="D6" s="8"/>
      <c r="E6" s="33">
        <f>+E5/E3</f>
        <v>0.55204472385477033</v>
      </c>
      <c r="F6" s="26"/>
    </row>
    <row r="7" spans="1:10" x14ac:dyDescent="0.35">
      <c r="A7" s="14" t="s">
        <v>81</v>
      </c>
      <c r="B7" s="28"/>
      <c r="C7" s="8"/>
      <c r="D7" s="8"/>
      <c r="E7" s="31">
        <f>+SUMIF(E20:E56,"GAV",D20:D56)</f>
        <v>2285637.7731092437</v>
      </c>
      <c r="F7" s="26" t="s">
        <v>13</v>
      </c>
      <c r="I7" t="s">
        <v>13</v>
      </c>
    </row>
    <row r="8" spans="1:10" ht="15" thickBot="1" x14ac:dyDescent="0.4">
      <c r="A8" s="16" t="s">
        <v>94</v>
      </c>
      <c r="B8" s="34"/>
      <c r="C8" s="17"/>
      <c r="D8" s="17"/>
      <c r="E8" s="35">
        <f>+E5-E7</f>
        <v>-1923177.2689075631</v>
      </c>
      <c r="F8" s="26" t="s">
        <v>13</v>
      </c>
    </row>
    <row r="9" spans="1:10" ht="15" thickBot="1" x14ac:dyDescent="0.4">
      <c r="E9" s="3"/>
      <c r="F9" s="26" t="s">
        <v>98</v>
      </c>
    </row>
    <row r="10" spans="1:10" x14ac:dyDescent="0.35">
      <c r="A10" s="55" t="s">
        <v>223</v>
      </c>
      <c r="B10" s="30"/>
      <c r="C10" s="12"/>
      <c r="D10" s="12"/>
      <c r="E10" s="53"/>
    </row>
    <row r="11" spans="1:10" x14ac:dyDescent="0.35">
      <c r="A11" s="14" t="s">
        <v>224</v>
      </c>
      <c r="B11" s="28"/>
      <c r="C11" s="8"/>
      <c r="D11" s="8"/>
      <c r="E11" s="15">
        <v>864789.41000000015</v>
      </c>
    </row>
    <row r="12" spans="1:10" x14ac:dyDescent="0.35">
      <c r="A12" s="14" t="s">
        <v>105</v>
      </c>
      <c r="B12" s="28"/>
      <c r="C12" s="8"/>
      <c r="D12" s="8"/>
      <c r="E12" s="15">
        <v>3034000</v>
      </c>
    </row>
    <row r="13" spans="1:10" x14ac:dyDescent="0.35">
      <c r="A13" s="14" t="s">
        <v>106</v>
      </c>
      <c r="B13" s="28"/>
      <c r="C13" s="8"/>
      <c r="D13" s="8"/>
      <c r="E13" s="15">
        <f>3074112+856208</f>
        <v>3930320</v>
      </c>
    </row>
    <row r="14" spans="1:10" ht="15" thickBot="1" x14ac:dyDescent="0.4">
      <c r="A14" s="16" t="s">
        <v>225</v>
      </c>
      <c r="B14" s="34"/>
      <c r="C14" s="17"/>
      <c r="D14" s="17"/>
      <c r="E14" s="19">
        <f>+E11+E12-E13</f>
        <v>-31530.589999999851</v>
      </c>
    </row>
    <row r="15" spans="1:10" x14ac:dyDescent="0.35">
      <c r="E15" s="3"/>
    </row>
    <row r="16" spans="1:10" x14ac:dyDescent="0.35">
      <c r="E16" s="3"/>
    </row>
    <row r="17" spans="1:10" x14ac:dyDescent="0.35">
      <c r="E17" s="3"/>
    </row>
    <row r="18" spans="1:10" x14ac:dyDescent="0.35">
      <c r="A18" s="2" t="s">
        <v>109</v>
      </c>
      <c r="E18" s="3"/>
    </row>
    <row r="19" spans="1:10" ht="15" thickBot="1" x14ac:dyDescent="0.4">
      <c r="F19" s="6" t="s">
        <v>220</v>
      </c>
    </row>
    <row r="20" spans="1:10" x14ac:dyDescent="0.35">
      <c r="A20" s="36" t="s">
        <v>166</v>
      </c>
      <c r="B20" s="66" t="s">
        <v>19</v>
      </c>
      <c r="C20" s="38">
        <v>43836</v>
      </c>
      <c r="D20" s="39">
        <v>267000</v>
      </c>
      <c r="E20" s="40" t="s">
        <v>91</v>
      </c>
      <c r="F20">
        <f>+D20/2670</f>
        <v>100</v>
      </c>
      <c r="G20" t="s">
        <v>13</v>
      </c>
      <c r="H20" t="s">
        <v>13</v>
      </c>
    </row>
    <row r="21" spans="1:10" x14ac:dyDescent="0.35">
      <c r="A21" s="41" t="s">
        <v>174</v>
      </c>
      <c r="B21" t="s">
        <v>55</v>
      </c>
      <c r="C21" s="5">
        <v>43848</v>
      </c>
      <c r="D21" s="3">
        <v>160200</v>
      </c>
      <c r="E21" s="42" t="s">
        <v>91</v>
      </c>
      <c r="F21">
        <f>+D21/2670</f>
        <v>60</v>
      </c>
    </row>
    <row r="22" spans="1:10" x14ac:dyDescent="0.35">
      <c r="A22" t="s">
        <v>199</v>
      </c>
      <c r="B22" t="s">
        <v>63</v>
      </c>
      <c r="C22" s="5">
        <v>43865</v>
      </c>
      <c r="D22" s="3">
        <v>160200</v>
      </c>
      <c r="E22" s="42" t="s">
        <v>91</v>
      </c>
      <c r="F22">
        <v>60</v>
      </c>
    </row>
    <row r="23" spans="1:10" x14ac:dyDescent="0.35">
      <c r="A23" t="s">
        <v>203</v>
      </c>
      <c r="B23" t="s">
        <v>58</v>
      </c>
      <c r="C23" s="5">
        <v>43866</v>
      </c>
      <c r="D23" s="3">
        <v>33728</v>
      </c>
      <c r="E23" s="42" t="s">
        <v>91</v>
      </c>
    </row>
    <row r="24" spans="1:10" x14ac:dyDescent="0.35">
      <c r="A24" t="s">
        <v>207</v>
      </c>
      <c r="B24" t="s">
        <v>208</v>
      </c>
      <c r="C24" s="5">
        <v>43876</v>
      </c>
      <c r="D24" s="3">
        <v>160200</v>
      </c>
      <c r="E24" s="42" t="s">
        <v>91</v>
      </c>
      <c r="F24">
        <v>60</v>
      </c>
    </row>
    <row r="25" spans="1:10" x14ac:dyDescent="0.35">
      <c r="A25" s="41" t="s">
        <v>13</v>
      </c>
      <c r="B25" s="24" t="s">
        <v>13</v>
      </c>
      <c r="C25" s="5" t="s">
        <v>13</v>
      </c>
      <c r="D25" s="3" t="s">
        <v>13</v>
      </c>
      <c r="E25" s="42" t="s">
        <v>13</v>
      </c>
      <c r="F25" t="s">
        <v>13</v>
      </c>
    </row>
    <row r="26" spans="1:10" ht="15" thickBot="1" x14ac:dyDescent="0.4">
      <c r="A26" s="43" t="s">
        <v>13</v>
      </c>
      <c r="B26" s="44" t="s">
        <v>13</v>
      </c>
      <c r="C26" s="45" t="s">
        <v>13</v>
      </c>
      <c r="D26" s="46" t="s">
        <v>13</v>
      </c>
      <c r="E26" s="47" t="s">
        <v>13</v>
      </c>
      <c r="F26" t="s">
        <v>13</v>
      </c>
      <c r="I26" s="3" t="s">
        <v>13</v>
      </c>
      <c r="J26" t="s">
        <v>13</v>
      </c>
    </row>
    <row r="27" spans="1:10" x14ac:dyDescent="0.35">
      <c r="C27" s="5" t="s">
        <v>13</v>
      </c>
      <c r="D27" s="3"/>
      <c r="I27" s="3"/>
    </row>
    <row r="28" spans="1:10" x14ac:dyDescent="0.35">
      <c r="C28" s="5"/>
      <c r="D28" s="3"/>
      <c r="I28" s="3"/>
    </row>
    <row r="29" spans="1:10" x14ac:dyDescent="0.35">
      <c r="D29" s="8" t="s">
        <v>102</v>
      </c>
      <c r="G29" s="8" t="s">
        <v>103</v>
      </c>
    </row>
    <row r="30" spans="1:10" x14ac:dyDescent="0.35">
      <c r="A30" t="s">
        <v>168</v>
      </c>
      <c r="B30" t="s">
        <v>13</v>
      </c>
      <c r="C30" s="5">
        <v>43843</v>
      </c>
      <c r="D30" s="3">
        <v>228954</v>
      </c>
      <c r="E30" s="49" t="s">
        <v>84</v>
      </c>
      <c r="G30" s="10">
        <f>+D30</f>
        <v>228954</v>
      </c>
    </row>
    <row r="31" spans="1:10" x14ac:dyDescent="0.35">
      <c r="A31" t="s">
        <v>163</v>
      </c>
      <c r="B31" t="s">
        <v>164</v>
      </c>
      <c r="C31" s="5">
        <v>43838</v>
      </c>
      <c r="D31" s="3">
        <f>440735/0.8925</f>
        <v>493820.72829131654</v>
      </c>
      <c r="E31" s="49" t="s">
        <v>81</v>
      </c>
      <c r="F31" t="s">
        <v>13</v>
      </c>
      <c r="G31" s="10">
        <f>+D31*0.8925</f>
        <v>440735</v>
      </c>
      <c r="I31" t="s">
        <v>13</v>
      </c>
    </row>
    <row r="32" spans="1:10" x14ac:dyDescent="0.35">
      <c r="A32" s="4" t="s">
        <v>167</v>
      </c>
      <c r="B32" s="24" t="s">
        <v>178</v>
      </c>
      <c r="C32" s="5">
        <v>43841</v>
      </c>
      <c r="D32" s="3">
        <f>500000/0.8925</f>
        <v>560224.08963585435</v>
      </c>
      <c r="E32" s="49" t="s">
        <v>81</v>
      </c>
      <c r="G32" s="10">
        <f>+D32*0.8925</f>
        <v>500000</v>
      </c>
    </row>
    <row r="33" spans="1:8" x14ac:dyDescent="0.35">
      <c r="A33" t="s">
        <v>151</v>
      </c>
      <c r="B33" s="21" t="s">
        <v>152</v>
      </c>
      <c r="C33" s="5">
        <v>43833</v>
      </c>
      <c r="D33" s="3">
        <f>930125/1.19</f>
        <v>781617.64705882361</v>
      </c>
      <c r="E33" s="49" t="s">
        <v>82</v>
      </c>
      <c r="G33" s="10">
        <f t="shared" ref="G33:G39" si="0">+D33*1.19</f>
        <v>930125</v>
      </c>
    </row>
    <row r="34" spans="1:8" x14ac:dyDescent="0.35">
      <c r="A34" t="s">
        <v>154</v>
      </c>
      <c r="B34" s="21" t="s">
        <v>153</v>
      </c>
      <c r="C34" s="5">
        <v>43833</v>
      </c>
      <c r="D34" s="3">
        <f>3145/1.19</f>
        <v>2642.8571428571431</v>
      </c>
      <c r="E34" s="49" t="s">
        <v>82</v>
      </c>
      <c r="G34" s="10">
        <f t="shared" si="0"/>
        <v>3145</v>
      </c>
    </row>
    <row r="35" spans="1:8" x14ac:dyDescent="0.35">
      <c r="A35" t="s">
        <v>155</v>
      </c>
      <c r="B35" t="s">
        <v>156</v>
      </c>
      <c r="C35" s="5">
        <v>43833</v>
      </c>
      <c r="D35" s="3">
        <f>12380/1.19</f>
        <v>10403.361344537816</v>
      </c>
      <c r="E35" s="49" t="s">
        <v>82</v>
      </c>
      <c r="G35" s="10">
        <f t="shared" si="0"/>
        <v>12380</v>
      </c>
    </row>
    <row r="36" spans="1:8" x14ac:dyDescent="0.35">
      <c r="A36" t="s">
        <v>158</v>
      </c>
      <c r="B36" t="s">
        <v>157</v>
      </c>
      <c r="C36" s="5">
        <v>43836</v>
      </c>
      <c r="D36" s="3">
        <f>17580/1.19</f>
        <v>14773.10924369748</v>
      </c>
      <c r="E36" s="49" t="s">
        <v>82</v>
      </c>
      <c r="G36" s="10">
        <f t="shared" si="0"/>
        <v>17580</v>
      </c>
    </row>
    <row r="37" spans="1:8" x14ac:dyDescent="0.35">
      <c r="A37" t="s">
        <v>159</v>
      </c>
      <c r="B37" t="s">
        <v>160</v>
      </c>
      <c r="C37" s="5">
        <v>43836</v>
      </c>
      <c r="D37" s="3">
        <f>3690/1.19</f>
        <v>3100.840336134454</v>
      </c>
      <c r="E37" s="49" t="s">
        <v>82</v>
      </c>
      <c r="G37" s="10">
        <f t="shared" si="0"/>
        <v>3690</v>
      </c>
    </row>
    <row r="38" spans="1:8" x14ac:dyDescent="0.35">
      <c r="A38" t="s">
        <v>161</v>
      </c>
      <c r="B38" t="s">
        <v>162</v>
      </c>
      <c r="C38" s="5">
        <v>43837</v>
      </c>
      <c r="D38" s="3">
        <f>297076/1.19</f>
        <v>249643.69747899161</v>
      </c>
      <c r="E38" s="49" t="s">
        <v>82</v>
      </c>
      <c r="G38" s="10">
        <f t="shared" si="0"/>
        <v>297076</v>
      </c>
    </row>
    <row r="39" spans="1:8" x14ac:dyDescent="0.35">
      <c r="A39" t="s">
        <v>76</v>
      </c>
      <c r="B39" t="s">
        <v>165</v>
      </c>
      <c r="C39" s="5">
        <v>43832</v>
      </c>
      <c r="D39" s="3">
        <f>177220/1.19</f>
        <v>148924.36974789915</v>
      </c>
      <c r="E39" s="49" t="s">
        <v>81</v>
      </c>
      <c r="G39" s="10">
        <f t="shared" si="0"/>
        <v>177219.99999999997</v>
      </c>
    </row>
    <row r="40" spans="1:8" x14ac:dyDescent="0.35">
      <c r="A40" t="s">
        <v>171</v>
      </c>
      <c r="B40" t="s">
        <v>172</v>
      </c>
      <c r="C40" s="5">
        <v>43840</v>
      </c>
      <c r="D40" s="3">
        <v>15024</v>
      </c>
      <c r="E40" s="49" t="s">
        <v>81</v>
      </c>
      <c r="G40" s="10">
        <f>+D40</f>
        <v>15024</v>
      </c>
    </row>
    <row r="41" spans="1:8" x14ac:dyDescent="0.35">
      <c r="A41" t="s">
        <v>173</v>
      </c>
      <c r="B41"/>
      <c r="C41" s="5">
        <v>43848</v>
      </c>
      <c r="D41" s="3">
        <v>15011</v>
      </c>
      <c r="E41" s="49" t="s">
        <v>81</v>
      </c>
      <c r="G41" s="10">
        <f>+D41</f>
        <v>15011</v>
      </c>
    </row>
    <row r="42" spans="1:8" x14ac:dyDescent="0.35">
      <c r="A42" t="s">
        <v>32</v>
      </c>
      <c r="B42" s="63" t="s">
        <v>183</v>
      </c>
      <c r="C42" s="5">
        <v>43853</v>
      </c>
      <c r="D42" s="3">
        <f>3570/1.19</f>
        <v>3000</v>
      </c>
      <c r="E42" s="49" t="s">
        <v>81</v>
      </c>
      <c r="G42" s="10">
        <f>+D42*1.19</f>
        <v>3570</v>
      </c>
    </row>
    <row r="43" spans="1:8" x14ac:dyDescent="0.35">
      <c r="A43" t="s">
        <v>194</v>
      </c>
      <c r="B43" t="s">
        <v>195</v>
      </c>
      <c r="C43" s="67">
        <v>43861</v>
      </c>
      <c r="D43" s="3">
        <v>7000</v>
      </c>
      <c r="E43" s="49" t="s">
        <v>81</v>
      </c>
      <c r="G43" s="10">
        <f>+D43</f>
        <v>7000</v>
      </c>
    </row>
    <row r="44" spans="1:8" x14ac:dyDescent="0.35">
      <c r="A44" t="s">
        <v>190</v>
      </c>
      <c r="B44" t="s">
        <v>191</v>
      </c>
      <c r="C44" s="5">
        <v>43864</v>
      </c>
      <c r="D44" s="3">
        <f>16065/1.19</f>
        <v>13500</v>
      </c>
      <c r="E44" s="49" t="s">
        <v>81</v>
      </c>
      <c r="G44" s="10">
        <f>+D44*1.19</f>
        <v>16065</v>
      </c>
    </row>
    <row r="45" spans="1:8" x14ac:dyDescent="0.35">
      <c r="A45" t="s">
        <v>218</v>
      </c>
      <c r="B45" t="s">
        <v>192</v>
      </c>
      <c r="C45" s="5">
        <v>43864</v>
      </c>
      <c r="D45" s="3">
        <v>14000</v>
      </c>
      <c r="E45" s="49" t="s">
        <v>81</v>
      </c>
      <c r="G45" s="10">
        <f>+D45</f>
        <v>14000</v>
      </c>
    </row>
    <row r="46" spans="1:8" x14ac:dyDescent="0.35">
      <c r="A46" s="4" t="s">
        <v>202</v>
      </c>
      <c r="B46" t="s">
        <v>229</v>
      </c>
      <c r="C46" s="67">
        <v>43867</v>
      </c>
      <c r="D46" s="3">
        <f>500000/0.8925</f>
        <v>560224.08963585435</v>
      </c>
      <c r="E46" s="49" t="s">
        <v>81</v>
      </c>
      <c r="G46" s="10">
        <f>+D46*0.8925</f>
        <v>500000</v>
      </c>
    </row>
    <row r="47" spans="1:8" x14ac:dyDescent="0.35">
      <c r="A47" t="s">
        <v>227</v>
      </c>
      <c r="B47" t="s">
        <v>228</v>
      </c>
      <c r="C47" s="5">
        <v>43867</v>
      </c>
      <c r="D47" s="3">
        <f>118014/0.8925</f>
        <v>132228.57142857142</v>
      </c>
      <c r="E47" s="49" t="s">
        <v>81</v>
      </c>
      <c r="G47" s="10">
        <f>+D47*0.8925</f>
        <v>118013.99999999999</v>
      </c>
      <c r="H47" t="s">
        <v>13</v>
      </c>
    </row>
    <row r="48" spans="1:8" x14ac:dyDescent="0.35">
      <c r="A48" t="s">
        <v>226</v>
      </c>
      <c r="B48" t="s">
        <v>13</v>
      </c>
      <c r="C48" s="5">
        <v>43871</v>
      </c>
      <c r="D48" s="3">
        <v>116900</v>
      </c>
      <c r="E48" s="49" t="s">
        <v>84</v>
      </c>
      <c r="G48" s="10">
        <f>+D48</f>
        <v>116900</v>
      </c>
    </row>
    <row r="49" spans="1:8" x14ac:dyDescent="0.35">
      <c r="A49" t="s">
        <v>198</v>
      </c>
      <c r="B49" s="63" t="s">
        <v>196</v>
      </c>
      <c r="C49" s="5">
        <v>43864</v>
      </c>
      <c r="D49" s="3">
        <f>285243/1.19</f>
        <v>239700</v>
      </c>
      <c r="E49" s="49" t="s">
        <v>81</v>
      </c>
      <c r="G49" s="10">
        <f>+D49*1.19</f>
        <v>285243</v>
      </c>
    </row>
    <row r="50" spans="1:8" x14ac:dyDescent="0.35">
      <c r="A50" t="s">
        <v>217</v>
      </c>
      <c r="B50" t="s">
        <v>201</v>
      </c>
      <c r="C50" s="5">
        <v>43867</v>
      </c>
      <c r="D50" s="3">
        <v>12000</v>
      </c>
      <c r="E50" s="49" t="s">
        <v>81</v>
      </c>
      <c r="G50" s="10">
        <f>+D50</f>
        <v>12000</v>
      </c>
    </row>
    <row r="51" spans="1:8" x14ac:dyDescent="0.35">
      <c r="A51" s="4" t="s">
        <v>211</v>
      </c>
      <c r="B51" t="s">
        <v>209</v>
      </c>
      <c r="C51" s="5">
        <v>43875</v>
      </c>
      <c r="D51" s="3">
        <v>7070</v>
      </c>
      <c r="E51" s="49" t="s">
        <v>81</v>
      </c>
      <c r="G51" s="10">
        <f>+D51</f>
        <v>7070</v>
      </c>
    </row>
    <row r="52" spans="1:8" x14ac:dyDescent="0.35">
      <c r="A52" s="4" t="s">
        <v>211</v>
      </c>
      <c r="B52" t="s">
        <v>210</v>
      </c>
      <c r="C52" s="5">
        <v>43876</v>
      </c>
      <c r="D52" s="3">
        <v>7500</v>
      </c>
      <c r="E52" s="49" t="s">
        <v>81</v>
      </c>
      <c r="G52" s="10">
        <f>+D52</f>
        <v>7500</v>
      </c>
    </row>
    <row r="53" spans="1:8" x14ac:dyDescent="0.35">
      <c r="A53" s="4" t="s">
        <v>219</v>
      </c>
      <c r="B53" t="s">
        <v>212</v>
      </c>
      <c r="C53" s="5">
        <v>43879</v>
      </c>
      <c r="D53" s="3">
        <v>13000</v>
      </c>
      <c r="E53" s="49" t="s">
        <v>81</v>
      </c>
      <c r="G53" s="10">
        <f>+D53</f>
        <v>13000</v>
      </c>
    </row>
    <row r="54" spans="1:8" x14ac:dyDescent="0.35">
      <c r="A54" s="4" t="s">
        <v>213</v>
      </c>
      <c r="B54" t="s">
        <v>214</v>
      </c>
      <c r="C54" s="5">
        <v>43879</v>
      </c>
      <c r="D54" s="3">
        <f>15959/1.19</f>
        <v>13410.9243697479</v>
      </c>
      <c r="E54" s="49" t="s">
        <v>81</v>
      </c>
      <c r="G54" s="10">
        <f>+D54*1.19</f>
        <v>15959</v>
      </c>
    </row>
    <row r="55" spans="1:8" x14ac:dyDescent="0.35">
      <c r="A55" t="s">
        <v>215</v>
      </c>
      <c r="B55" t="s">
        <v>216</v>
      </c>
      <c r="C55" s="5">
        <v>43879</v>
      </c>
      <c r="D55" s="3">
        <f>35700/1.19</f>
        <v>30000</v>
      </c>
      <c r="E55" s="49" t="s">
        <v>81</v>
      </c>
      <c r="G55" s="10">
        <f>+D55*1.19</f>
        <v>35700</v>
      </c>
    </row>
    <row r="56" spans="1:8" x14ac:dyDescent="0.35">
      <c r="A56" t="s">
        <v>13</v>
      </c>
      <c r="B56" s="24">
        <f>+COUNTA(B31:B55)</f>
        <v>24</v>
      </c>
      <c r="C56" s="67" t="s">
        <v>13</v>
      </c>
      <c r="D56" s="3" t="s">
        <v>13</v>
      </c>
      <c r="H56" t="s">
        <v>13</v>
      </c>
    </row>
    <row r="57" spans="1:8" x14ac:dyDescent="0.35">
      <c r="G57" s="3" t="s">
        <v>13</v>
      </c>
      <c r="H57" s="3" t="s">
        <v>13</v>
      </c>
    </row>
    <row r="60" spans="1:8" x14ac:dyDescent="0.35">
      <c r="E60" s="6" t="s">
        <v>82</v>
      </c>
      <c r="F60" s="10">
        <f>+SUMIF(E30:E55,"AF",D30:D55)*1.19</f>
        <v>1263996.0000000002</v>
      </c>
    </row>
    <row r="61" spans="1:8" x14ac:dyDescent="0.35">
      <c r="E61" s="6" t="s">
        <v>249</v>
      </c>
      <c r="F61" s="3">
        <f>+F60+'EERR 31DIC19'!F60</f>
        <v>4249723</v>
      </c>
      <c r="G61" t="s">
        <v>13</v>
      </c>
    </row>
    <row r="62" spans="1:8" x14ac:dyDescent="0.35">
      <c r="A62" t="s">
        <v>294</v>
      </c>
      <c r="B62" s="63" t="s">
        <v>293</v>
      </c>
      <c r="C62" s="5">
        <v>43884</v>
      </c>
      <c r="D62" s="71">
        <v>253499</v>
      </c>
      <c r="E62" s="6" t="s">
        <v>82</v>
      </c>
    </row>
    <row r="63" spans="1:8" x14ac:dyDescent="0.35">
      <c r="A63" s="4" t="s">
        <v>277</v>
      </c>
      <c r="B63" s="63" t="s">
        <v>278</v>
      </c>
      <c r="C63" s="5">
        <v>43902</v>
      </c>
      <c r="D63" s="71">
        <v>11662</v>
      </c>
      <c r="E63" s="6" t="s">
        <v>82</v>
      </c>
    </row>
    <row r="64" spans="1:8" x14ac:dyDescent="0.35">
      <c r="A64" s="4" t="s">
        <v>335</v>
      </c>
      <c r="B64" s="63" t="s">
        <v>285</v>
      </c>
      <c r="C64" s="5">
        <v>43902</v>
      </c>
      <c r="D64" s="71">
        <v>4990</v>
      </c>
      <c r="E64" s="6" t="s">
        <v>82</v>
      </c>
    </row>
    <row r="65" spans="1:6" x14ac:dyDescent="0.35">
      <c r="A65" s="4" t="s">
        <v>446</v>
      </c>
      <c r="B65" t="s">
        <v>508</v>
      </c>
      <c r="C65" s="67">
        <v>44112</v>
      </c>
      <c r="D65" s="3">
        <f>60000*1.19</f>
        <v>71400</v>
      </c>
      <c r="E65" s="6" t="s">
        <v>82</v>
      </c>
      <c r="F65" t="s">
        <v>139</v>
      </c>
    </row>
    <row r="66" spans="1:6" x14ac:dyDescent="0.35">
      <c r="A66" s="4" t="s">
        <v>464</v>
      </c>
      <c r="B66" t="s">
        <v>463</v>
      </c>
      <c r="C66" s="67">
        <v>44134</v>
      </c>
      <c r="D66" s="3">
        <v>19111</v>
      </c>
      <c r="E66" s="6" t="s">
        <v>82</v>
      </c>
    </row>
    <row r="67" spans="1:6" x14ac:dyDescent="0.35">
      <c r="A67" s="4" t="s">
        <v>469</v>
      </c>
      <c r="B67" t="s">
        <v>465</v>
      </c>
      <c r="C67" s="5">
        <v>44137</v>
      </c>
      <c r="D67" s="3">
        <v>71400</v>
      </c>
      <c r="E67" s="6" t="s">
        <v>82</v>
      </c>
      <c r="F67" t="s">
        <v>139</v>
      </c>
    </row>
    <row r="68" spans="1:6" x14ac:dyDescent="0.35">
      <c r="A68" s="4" t="s">
        <v>497</v>
      </c>
      <c r="B68" t="s">
        <v>498</v>
      </c>
      <c r="C68" s="67">
        <v>44152</v>
      </c>
      <c r="D68" s="3">
        <f>1647*1.19</f>
        <v>1959.9299999999998</v>
      </c>
      <c r="E68" s="6" t="s">
        <v>82</v>
      </c>
    </row>
    <row r="69" spans="1:6" x14ac:dyDescent="0.35">
      <c r="A69" s="4" t="s">
        <v>482</v>
      </c>
      <c r="B69" t="s">
        <v>483</v>
      </c>
      <c r="C69" s="67">
        <v>44153</v>
      </c>
      <c r="D69" s="3">
        <f>112020*1.19</f>
        <v>133303.79999999999</v>
      </c>
      <c r="E69" s="6" t="s">
        <v>82</v>
      </c>
    </row>
    <row r="70" spans="1:6" x14ac:dyDescent="0.35">
      <c r="A70" s="4" t="s">
        <v>504</v>
      </c>
      <c r="B70" s="24" t="s">
        <v>502</v>
      </c>
      <c r="C70" s="67">
        <v>44167</v>
      </c>
      <c r="D70" s="3">
        <v>22000</v>
      </c>
      <c r="E70" s="6" t="s">
        <v>82</v>
      </c>
    </row>
    <row r="71" spans="1:6" x14ac:dyDescent="0.35">
      <c r="A71" s="4" t="s">
        <v>505</v>
      </c>
      <c r="C71" s="67">
        <v>44167</v>
      </c>
      <c r="D71" s="3">
        <v>60000</v>
      </c>
      <c r="E71" s="6" t="s">
        <v>82</v>
      </c>
    </row>
    <row r="72" spans="1:6" x14ac:dyDescent="0.35">
      <c r="A72" s="4" t="s">
        <v>515</v>
      </c>
      <c r="B72" t="s">
        <v>514</v>
      </c>
      <c r="C72" s="5">
        <v>44167</v>
      </c>
      <c r="D72" s="3">
        <f>71400*2</f>
        <v>142800</v>
      </c>
      <c r="E72" s="6" t="s">
        <v>82</v>
      </c>
      <c r="F72" t="s">
        <v>139</v>
      </c>
    </row>
    <row r="73" spans="1:6" x14ac:dyDescent="0.35">
      <c r="A73" s="4" t="s">
        <v>519</v>
      </c>
      <c r="B73" s="24" t="s">
        <v>518</v>
      </c>
      <c r="C73" s="67">
        <v>44168</v>
      </c>
      <c r="D73" s="3">
        <v>11180</v>
      </c>
      <c r="E73" s="6" t="s">
        <v>82</v>
      </c>
    </row>
    <row r="74" spans="1:6" x14ac:dyDescent="0.35">
      <c r="A74" s="4" t="s">
        <v>510</v>
      </c>
      <c r="B74" t="s">
        <v>511</v>
      </c>
      <c r="C74" s="67">
        <v>44168</v>
      </c>
      <c r="D74" s="3">
        <f>(65020+7000)*1.19</f>
        <v>85703.8</v>
      </c>
      <c r="E74" s="6" t="s">
        <v>82</v>
      </c>
    </row>
    <row r="75" spans="1:6" x14ac:dyDescent="0.35">
      <c r="A75" s="4" t="s">
        <v>546</v>
      </c>
      <c r="B75" s="24" t="s">
        <v>564</v>
      </c>
      <c r="C75" s="67">
        <v>44202</v>
      </c>
      <c r="D75" s="3">
        <v>475030</v>
      </c>
      <c r="E75" s="6" t="s">
        <v>82</v>
      </c>
      <c r="F75" t="s">
        <v>139</v>
      </c>
    </row>
    <row r="76" spans="1:6" x14ac:dyDescent="0.35">
      <c r="A76" s="4" t="s">
        <v>547</v>
      </c>
      <c r="B76" s="24" t="s">
        <v>565</v>
      </c>
      <c r="C76" s="67">
        <v>44202</v>
      </c>
      <c r="D76" s="3">
        <v>142800</v>
      </c>
      <c r="E76" s="6" t="s">
        <v>82</v>
      </c>
      <c r="F76" t="s">
        <v>139</v>
      </c>
    </row>
    <row r="77" spans="1:6" x14ac:dyDescent="0.35">
      <c r="A77" s="4" t="s">
        <v>536</v>
      </c>
      <c r="B77" t="s">
        <v>537</v>
      </c>
      <c r="C77" s="67">
        <v>44202</v>
      </c>
      <c r="D77" s="3">
        <f>164901+7000</f>
        <v>171901</v>
      </c>
      <c r="E77" s="6" t="s">
        <v>82</v>
      </c>
    </row>
    <row r="78" spans="1:6" x14ac:dyDescent="0.35">
      <c r="A78" s="4" t="s">
        <v>561</v>
      </c>
      <c r="B78" s="24" t="s">
        <v>560</v>
      </c>
      <c r="C78" s="67">
        <v>44203</v>
      </c>
      <c r="D78" s="3">
        <v>283101</v>
      </c>
      <c r="E78" s="6" t="s">
        <v>82</v>
      </c>
    </row>
    <row r="79" spans="1:6" x14ac:dyDescent="0.35">
      <c r="A79" s="4" t="s">
        <v>548</v>
      </c>
      <c r="B79" s="24" t="s">
        <v>563</v>
      </c>
      <c r="C79" s="67">
        <v>44203</v>
      </c>
      <c r="D79" s="3">
        <v>28988</v>
      </c>
      <c r="E79" s="6" t="s">
        <v>82</v>
      </c>
    </row>
    <row r="80" spans="1:6" x14ac:dyDescent="0.35">
      <c r="A80" s="4" t="s">
        <v>538</v>
      </c>
      <c r="B80"/>
      <c r="C80" s="67">
        <v>44203</v>
      </c>
      <c r="D80" s="3">
        <v>250000</v>
      </c>
      <c r="E80" s="6" t="s">
        <v>82</v>
      </c>
    </row>
    <row r="81" spans="1:6" x14ac:dyDescent="0.35">
      <c r="A81" s="4" t="s">
        <v>578</v>
      </c>
      <c r="C81" s="67">
        <v>44216</v>
      </c>
      <c r="D81" s="3">
        <v>129000</v>
      </c>
      <c r="E81" s="6" t="s">
        <v>82</v>
      </c>
    </row>
    <row r="82" spans="1:6" x14ac:dyDescent="0.35">
      <c r="A82" s="4" t="s">
        <v>590</v>
      </c>
      <c r="B82" s="24" t="s">
        <v>591</v>
      </c>
      <c r="C82" s="67">
        <v>44229</v>
      </c>
      <c r="D82" s="3">
        <v>4990</v>
      </c>
      <c r="E82" s="6" t="s">
        <v>82</v>
      </c>
    </row>
    <row r="83" spans="1:6" x14ac:dyDescent="0.35">
      <c r="A83" s="4" t="s">
        <v>593</v>
      </c>
      <c r="B83" s="24" t="s">
        <v>592</v>
      </c>
      <c r="C83" s="67">
        <v>44229</v>
      </c>
      <c r="D83" s="71">
        <f>60000*1.19</f>
        <v>71400</v>
      </c>
      <c r="E83" s="6" t="s">
        <v>82</v>
      </c>
      <c r="F83" t="s">
        <v>139</v>
      </c>
    </row>
    <row r="84" spans="1:6" x14ac:dyDescent="0.35">
      <c r="A84" s="4" t="s">
        <v>594</v>
      </c>
      <c r="B84" s="24" t="s">
        <v>595</v>
      </c>
      <c r="C84" s="67">
        <v>44229</v>
      </c>
      <c r="D84" s="71">
        <f>60000*1.19</f>
        <v>71400</v>
      </c>
      <c r="E84" s="6" t="s">
        <v>82</v>
      </c>
      <c r="F84" t="s">
        <v>139</v>
      </c>
    </row>
    <row r="85" spans="1:6" x14ac:dyDescent="0.35">
      <c r="A85" s="4" t="s">
        <v>614</v>
      </c>
      <c r="C85" s="67">
        <v>44239</v>
      </c>
      <c r="D85" s="3">
        <v>129000</v>
      </c>
      <c r="E85" s="6" t="s">
        <v>82</v>
      </c>
    </row>
    <row r="86" spans="1:6" x14ac:dyDescent="0.35">
      <c r="A86" s="4" t="s">
        <v>633</v>
      </c>
      <c r="B86" s="24" t="s">
        <v>634</v>
      </c>
      <c r="C86" s="67">
        <v>44259</v>
      </c>
      <c r="D86" s="71">
        <v>475030</v>
      </c>
      <c r="E86" s="6" t="s">
        <v>82</v>
      </c>
      <c r="F86" t="s">
        <v>139</v>
      </c>
    </row>
    <row r="87" spans="1:6" x14ac:dyDescent="0.35">
      <c r="A87" s="4" t="s">
        <v>635</v>
      </c>
      <c r="B87" s="24" t="s">
        <v>636</v>
      </c>
      <c r="C87" s="67">
        <v>44259</v>
      </c>
      <c r="D87" s="71">
        <f>60000*1.19</f>
        <v>71400</v>
      </c>
      <c r="E87" s="6" t="s">
        <v>82</v>
      </c>
      <c r="F87" t="s">
        <v>139</v>
      </c>
    </row>
    <row r="88" spans="1:6" x14ac:dyDescent="0.35">
      <c r="A88" s="4" t="s">
        <v>726</v>
      </c>
      <c r="B88" s="24" t="s">
        <v>652</v>
      </c>
      <c r="C88" s="5">
        <v>44298</v>
      </c>
      <c r="D88" s="71">
        <f>262085*1.19</f>
        <v>311881.14999999997</v>
      </c>
      <c r="E88" s="6" t="s">
        <v>82</v>
      </c>
      <c r="F88" t="s">
        <v>139</v>
      </c>
    </row>
    <row r="89" spans="1:6" x14ac:dyDescent="0.35">
      <c r="A89" s="4" t="s">
        <v>707</v>
      </c>
      <c r="B89" s="24" t="s">
        <v>708</v>
      </c>
      <c r="C89" s="5">
        <v>44369</v>
      </c>
      <c r="D89" s="3">
        <v>29750</v>
      </c>
      <c r="E89" s="6" t="s">
        <v>82</v>
      </c>
    </row>
    <row r="90" spans="1:6" x14ac:dyDescent="0.35">
      <c r="A90" s="4" t="s">
        <v>719</v>
      </c>
      <c r="B90" s="24" t="s">
        <v>720</v>
      </c>
      <c r="C90" s="5">
        <v>44384</v>
      </c>
      <c r="D90" s="3">
        <v>6990</v>
      </c>
      <c r="E90" s="6" t="s">
        <v>82</v>
      </c>
    </row>
    <row r="91" spans="1:6" x14ac:dyDescent="0.35">
      <c r="A91" s="4" t="s">
        <v>322</v>
      </c>
      <c r="B91" t="s">
        <v>323</v>
      </c>
      <c r="C91" s="5">
        <v>43906</v>
      </c>
      <c r="D91" s="71">
        <v>3990</v>
      </c>
      <c r="E91" s="6" t="s">
        <v>82</v>
      </c>
    </row>
    <row r="92" spans="1:6" x14ac:dyDescent="0.35">
      <c r="A92" s="4" t="s">
        <v>513</v>
      </c>
      <c r="B92" t="s">
        <v>512</v>
      </c>
      <c r="C92" s="5">
        <v>44168</v>
      </c>
      <c r="D92" s="3">
        <v>71400</v>
      </c>
      <c r="E92" s="6" t="s">
        <v>82</v>
      </c>
      <c r="F92" t="s">
        <v>139</v>
      </c>
    </row>
    <row r="93" spans="1:6" x14ac:dyDescent="0.35">
      <c r="D93" s="3">
        <f>SUM(D62:D92)</f>
        <v>3617060.68</v>
      </c>
    </row>
  </sheetData>
  <autoFilter ref="A62:E92" xr:uid="{00000000-0009-0000-0000-000034000000}">
    <sortState xmlns:xlrd2="http://schemas.microsoft.com/office/spreadsheetml/2017/richdata2" ref="A63:E155">
      <sortCondition ref="E63:E155"/>
    </sortState>
  </autoFilter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T42"/>
  <sheetViews>
    <sheetView workbookViewId="0"/>
  </sheetViews>
  <sheetFormatPr baseColWidth="10" defaultColWidth="11.08984375" defaultRowHeight="14.5" x14ac:dyDescent="0.35"/>
  <cols>
    <col min="1" max="1" width="74.36328125" customWidth="1"/>
    <col min="2" max="2" width="5.7265625" customWidth="1"/>
    <col min="3" max="3" width="11.36328125" customWidth="1"/>
    <col min="4" max="4" width="14.7265625" bestFit="1" customWidth="1"/>
    <col min="5" max="16" width="10.26953125" customWidth="1"/>
    <col min="17" max="17" width="32.26953125" customWidth="1"/>
    <col min="18" max="18" width="17" customWidth="1"/>
  </cols>
  <sheetData>
    <row r="2" spans="1:20" ht="15" thickBot="1" x14ac:dyDescent="0.4"/>
    <row r="3" spans="1:20" ht="15" thickBot="1" x14ac:dyDescent="0.4">
      <c r="R3" s="137" t="s">
        <v>435</v>
      </c>
      <c r="S3" s="153" t="s">
        <v>437</v>
      </c>
    </row>
    <row r="4" spans="1:20" x14ac:dyDescent="0.35">
      <c r="A4" s="11"/>
      <c r="B4" s="12"/>
      <c r="C4" s="12"/>
      <c r="D4" s="12"/>
      <c r="E4" s="13">
        <v>43788</v>
      </c>
      <c r="F4" s="13">
        <v>43790</v>
      </c>
      <c r="G4" s="13">
        <v>43796</v>
      </c>
      <c r="H4" s="13">
        <v>43815</v>
      </c>
      <c r="I4" s="13">
        <v>43829</v>
      </c>
      <c r="J4" s="13">
        <v>43828</v>
      </c>
      <c r="K4" s="13">
        <v>43840</v>
      </c>
      <c r="L4" s="13">
        <v>43850</v>
      </c>
      <c r="M4" s="13">
        <v>43487</v>
      </c>
      <c r="N4" s="13">
        <v>43494</v>
      </c>
      <c r="O4" s="124">
        <v>43908</v>
      </c>
      <c r="P4" s="124">
        <v>43935</v>
      </c>
      <c r="Q4" s="144">
        <v>43948</v>
      </c>
      <c r="R4" s="136"/>
      <c r="S4" s="153"/>
    </row>
    <row r="5" spans="1:20" x14ac:dyDescent="0.35">
      <c r="A5" s="132" t="s">
        <v>417</v>
      </c>
      <c r="B5" s="8" t="s">
        <v>19</v>
      </c>
      <c r="C5" s="9">
        <v>43780</v>
      </c>
      <c r="D5" s="10">
        <f>+(180000+290000)*1.19</f>
        <v>559300</v>
      </c>
      <c r="E5" s="20">
        <v>200000</v>
      </c>
      <c r="F5" s="20">
        <v>79650</v>
      </c>
      <c r="G5" s="20">
        <f>559300/2</f>
        <v>279650</v>
      </c>
      <c r="H5" s="10"/>
      <c r="I5" s="8"/>
      <c r="J5" s="8"/>
      <c r="K5" s="8"/>
      <c r="L5" s="8"/>
      <c r="M5" s="8"/>
      <c r="N5" s="8"/>
      <c r="O5" s="8"/>
      <c r="P5" s="8"/>
      <c r="Q5" s="133"/>
      <c r="R5" s="134" t="s">
        <v>412</v>
      </c>
      <c r="S5" s="153"/>
    </row>
    <row r="6" spans="1:20" x14ac:dyDescent="0.35">
      <c r="A6" s="14" t="s">
        <v>418</v>
      </c>
      <c r="B6" s="8" t="s">
        <v>55</v>
      </c>
      <c r="C6" s="9">
        <v>43789</v>
      </c>
      <c r="D6" s="10">
        <v>125000</v>
      </c>
      <c r="E6" s="10" t="s">
        <v>13</v>
      </c>
      <c r="F6" s="10" t="s">
        <v>13</v>
      </c>
      <c r="G6" s="10" t="s">
        <v>13</v>
      </c>
      <c r="H6" s="20">
        <v>125000</v>
      </c>
      <c r="I6" s="10" t="s">
        <v>13</v>
      </c>
      <c r="J6" s="10" t="s">
        <v>13</v>
      </c>
      <c r="K6" s="10" t="s">
        <v>13</v>
      </c>
      <c r="L6" s="10" t="s">
        <v>13</v>
      </c>
      <c r="M6" s="8"/>
      <c r="N6" s="10" t="s">
        <v>13</v>
      </c>
      <c r="O6" s="10" t="s">
        <v>13</v>
      </c>
      <c r="P6" s="8"/>
      <c r="Q6" s="133"/>
      <c r="R6" s="134"/>
      <c r="S6" s="153"/>
    </row>
    <row r="7" spans="1:20" x14ac:dyDescent="0.35">
      <c r="A7" s="14" t="s">
        <v>419</v>
      </c>
      <c r="B7" s="8" t="s">
        <v>63</v>
      </c>
      <c r="C7" s="9">
        <v>43798</v>
      </c>
      <c r="D7" s="10">
        <v>250000</v>
      </c>
      <c r="E7" s="10"/>
      <c r="F7" s="10"/>
      <c r="G7" s="10"/>
      <c r="H7" s="20">
        <v>250000</v>
      </c>
      <c r="I7" s="10"/>
      <c r="J7" s="8"/>
      <c r="K7" s="10"/>
      <c r="L7" s="10"/>
      <c r="M7" s="8"/>
      <c r="N7" s="10"/>
      <c r="O7" s="10"/>
      <c r="P7" s="8"/>
      <c r="Q7" s="133"/>
      <c r="R7" s="135"/>
      <c r="S7" s="153"/>
    </row>
    <row r="8" spans="1:20" x14ac:dyDescent="0.35">
      <c r="A8" s="129" t="s">
        <v>415</v>
      </c>
      <c r="B8" s="65" t="s">
        <v>58</v>
      </c>
      <c r="C8" s="130">
        <v>43801</v>
      </c>
      <c r="D8" s="20">
        <f>81213*2*1.19</f>
        <v>193286.94</v>
      </c>
      <c r="E8" s="10"/>
      <c r="F8" s="10"/>
      <c r="G8" s="10"/>
      <c r="H8" s="10"/>
      <c r="I8" s="20">
        <v>193287</v>
      </c>
      <c r="J8" s="10"/>
      <c r="K8" s="10"/>
      <c r="L8" s="10"/>
      <c r="M8" s="8"/>
      <c r="N8" s="10"/>
      <c r="O8" s="10"/>
      <c r="P8" s="8"/>
      <c r="Q8" s="133"/>
      <c r="R8" s="135">
        <f>81213*1.19*12/30</f>
        <v>38657.388000000006</v>
      </c>
      <c r="S8" s="166">
        <f>81213/100</f>
        <v>812.13</v>
      </c>
    </row>
    <row r="9" spans="1:20" x14ac:dyDescent="0.35">
      <c r="A9" s="14" t="s">
        <v>420</v>
      </c>
      <c r="B9" s="8" t="s">
        <v>67</v>
      </c>
      <c r="C9" s="9">
        <v>43812</v>
      </c>
      <c r="D9" s="10">
        <v>250000</v>
      </c>
      <c r="E9" s="10"/>
      <c r="F9" s="10"/>
      <c r="G9" s="10"/>
      <c r="H9" s="10"/>
      <c r="I9" s="20">
        <v>250000</v>
      </c>
      <c r="J9" s="10"/>
      <c r="K9" s="8"/>
      <c r="L9" s="10"/>
      <c r="M9" s="8"/>
      <c r="N9" s="10"/>
      <c r="O9" s="10"/>
      <c r="P9" s="8"/>
      <c r="Q9" s="133"/>
      <c r="R9" s="135"/>
      <c r="S9" s="166"/>
    </row>
    <row r="10" spans="1:20" x14ac:dyDescent="0.35">
      <c r="A10" s="125" t="s">
        <v>416</v>
      </c>
      <c r="B10" s="121" t="s">
        <v>68</v>
      </c>
      <c r="C10" s="122">
        <v>43812</v>
      </c>
      <c r="D10" s="123">
        <f>559300</f>
        <v>559300</v>
      </c>
      <c r="E10" s="10"/>
      <c r="F10" s="10"/>
      <c r="G10" s="10"/>
      <c r="H10" s="10" t="s">
        <v>13</v>
      </c>
      <c r="I10" s="10"/>
      <c r="J10" s="10"/>
      <c r="K10" s="10"/>
      <c r="L10" s="10" t="s">
        <v>13</v>
      </c>
      <c r="M10" s="8" t="s">
        <v>13</v>
      </c>
      <c r="N10" s="10"/>
      <c r="O10" s="10"/>
      <c r="P10" s="8"/>
      <c r="Q10" s="133"/>
      <c r="R10" s="135">
        <v>0</v>
      </c>
      <c r="S10" s="166"/>
    </row>
    <row r="11" spans="1:20" x14ac:dyDescent="0.35">
      <c r="A11" s="14" t="s">
        <v>421</v>
      </c>
      <c r="B11" s="8" t="s">
        <v>87</v>
      </c>
      <c r="C11" s="9">
        <v>43819</v>
      </c>
      <c r="D11" s="10">
        <v>250000</v>
      </c>
      <c r="E11" s="10"/>
      <c r="F11" s="10"/>
      <c r="G11" s="10"/>
      <c r="H11" s="10" t="s">
        <v>13</v>
      </c>
      <c r="I11" s="10"/>
      <c r="J11" s="10"/>
      <c r="K11" s="20">
        <v>250000</v>
      </c>
      <c r="L11" s="10" t="s">
        <v>13</v>
      </c>
      <c r="M11" s="8"/>
      <c r="N11" s="10"/>
      <c r="O11" s="10"/>
      <c r="P11" s="8"/>
      <c r="Q11" s="133"/>
      <c r="R11" s="135"/>
      <c r="S11" s="166"/>
    </row>
    <row r="12" spans="1:20" x14ac:dyDescent="0.35">
      <c r="A12" s="129" t="s">
        <v>422</v>
      </c>
      <c r="B12" s="65" t="s">
        <v>165</v>
      </c>
      <c r="C12" s="130">
        <v>43467</v>
      </c>
      <c r="D12" s="20">
        <f>2*74462*1.19</f>
        <v>177219.56</v>
      </c>
      <c r="E12" s="10"/>
      <c r="F12" s="10"/>
      <c r="G12" s="10"/>
      <c r="H12" s="10"/>
      <c r="I12" s="10"/>
      <c r="J12" s="10"/>
      <c r="K12" s="10"/>
      <c r="L12" s="10"/>
      <c r="M12" s="20">
        <v>177220</v>
      </c>
      <c r="N12" s="10"/>
      <c r="O12" s="10"/>
      <c r="P12" s="8"/>
      <c r="Q12" s="133"/>
      <c r="R12" s="135">
        <f>74462*1.19</f>
        <v>88609.78</v>
      </c>
      <c r="S12" s="166">
        <f>74462/100</f>
        <v>744.62</v>
      </c>
    </row>
    <row r="13" spans="1:20" x14ac:dyDescent="0.35">
      <c r="A13" s="14" t="s">
        <v>428</v>
      </c>
      <c r="B13" s="8" t="s">
        <v>186</v>
      </c>
      <c r="C13" s="9">
        <v>43471</v>
      </c>
      <c r="D13" s="10">
        <v>250000</v>
      </c>
      <c r="E13" s="10"/>
      <c r="F13" s="10"/>
      <c r="G13" s="10"/>
      <c r="H13" s="10"/>
      <c r="I13" s="10"/>
      <c r="J13" s="10"/>
      <c r="K13" s="10"/>
      <c r="L13" s="10"/>
      <c r="M13" s="8"/>
      <c r="N13" s="20">
        <v>250000</v>
      </c>
      <c r="O13" s="10"/>
      <c r="P13" s="8"/>
      <c r="Q13" s="133"/>
      <c r="R13" s="134"/>
      <c r="S13" s="166"/>
    </row>
    <row r="14" spans="1:20" x14ac:dyDescent="0.35">
      <c r="A14" s="126" t="s">
        <v>423</v>
      </c>
      <c r="B14" s="138" t="s">
        <v>196</v>
      </c>
      <c r="C14" s="131">
        <v>43864</v>
      </c>
      <c r="D14" s="10">
        <f>3*79900*1.19</f>
        <v>285243</v>
      </c>
      <c r="E14" s="10"/>
      <c r="F14" s="10"/>
      <c r="G14" s="10"/>
      <c r="H14" s="10"/>
      <c r="I14" s="10"/>
      <c r="J14" s="10"/>
      <c r="K14" s="10"/>
      <c r="L14" s="10"/>
      <c r="M14" s="8"/>
      <c r="N14" s="10"/>
      <c r="O14" s="10"/>
      <c r="P14" s="8"/>
      <c r="Q14" s="133"/>
      <c r="R14" s="135">
        <f>79900*1.19</f>
        <v>95081</v>
      </c>
      <c r="S14" s="166">
        <f>79900/100</f>
        <v>799</v>
      </c>
      <c r="T14" s="3" t="s">
        <v>13</v>
      </c>
    </row>
    <row r="15" spans="1:20" x14ac:dyDescent="0.35">
      <c r="A15" s="132" t="s">
        <v>424</v>
      </c>
      <c r="B15" s="8" t="s">
        <v>293</v>
      </c>
      <c r="C15" s="9">
        <v>43884</v>
      </c>
      <c r="D15" s="10">
        <f>+(21008*3+150000)*1.19</f>
        <v>253498.56</v>
      </c>
      <c r="E15" s="10"/>
      <c r="F15" s="10"/>
      <c r="G15" s="10"/>
      <c r="H15" s="10"/>
      <c r="I15" s="10"/>
      <c r="J15" s="10"/>
      <c r="K15" s="10"/>
      <c r="L15" s="10"/>
      <c r="M15" s="8"/>
      <c r="N15" s="10"/>
      <c r="O15" s="20">
        <v>253499</v>
      </c>
      <c r="P15" s="8"/>
      <c r="Q15" s="133"/>
      <c r="R15" s="134" t="s">
        <v>413</v>
      </c>
      <c r="S15" s="166"/>
    </row>
    <row r="16" spans="1:20" x14ac:dyDescent="0.35">
      <c r="A16" s="127" t="s">
        <v>425</v>
      </c>
      <c r="B16" s="138" t="s">
        <v>295</v>
      </c>
      <c r="C16" s="131">
        <v>43890</v>
      </c>
      <c r="D16" s="10">
        <f>+(3*81600*0.5+3*21008)*1.19</f>
        <v>220654.56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33"/>
      <c r="R16" s="135">
        <f>+(81600+3*21008)*1.19</f>
        <v>172102.56</v>
      </c>
      <c r="S16" s="166">
        <f>81600/100</f>
        <v>816</v>
      </c>
    </row>
    <row r="17" spans="1:19" x14ac:dyDescent="0.35">
      <c r="A17" s="14" t="s">
        <v>426</v>
      </c>
      <c r="B17" s="8" t="s">
        <v>297</v>
      </c>
      <c r="C17" s="9">
        <v>43905</v>
      </c>
      <c r="D17" s="10">
        <v>124998</v>
      </c>
      <c r="E17" s="10"/>
      <c r="F17" s="10"/>
      <c r="G17" s="10"/>
      <c r="H17" s="10"/>
      <c r="I17" s="10"/>
      <c r="J17" s="10"/>
      <c r="K17" s="10"/>
      <c r="L17" s="10"/>
      <c r="M17" s="8"/>
      <c r="N17" s="10"/>
      <c r="O17" s="10"/>
      <c r="P17" s="8"/>
      <c r="Q17" s="167">
        <v>124998</v>
      </c>
      <c r="R17" s="134"/>
      <c r="S17" s="153"/>
    </row>
    <row r="18" spans="1:19" x14ac:dyDescent="0.35">
      <c r="A18" s="14" t="s">
        <v>427</v>
      </c>
      <c r="B18" s="8" t="s">
        <v>326</v>
      </c>
      <c r="C18" s="9">
        <v>43906</v>
      </c>
      <c r="D18" s="10">
        <v>24395</v>
      </c>
      <c r="E18" s="10"/>
      <c r="F18" s="10"/>
      <c r="G18" s="10"/>
      <c r="H18" s="10"/>
      <c r="I18" s="10"/>
      <c r="J18" s="10"/>
      <c r="K18" s="10"/>
      <c r="L18" s="10"/>
      <c r="M18" s="8"/>
      <c r="N18" s="10"/>
      <c r="O18" s="10"/>
      <c r="P18" s="20">
        <v>24395</v>
      </c>
      <c r="Q18" s="133"/>
      <c r="R18" s="134"/>
      <c r="S18" s="153"/>
    </row>
    <row r="19" spans="1:19" x14ac:dyDescent="0.35">
      <c r="A19" s="14" t="s">
        <v>429</v>
      </c>
      <c r="B19" s="8" t="s">
        <v>333</v>
      </c>
      <c r="C19" s="9">
        <v>43909</v>
      </c>
      <c r="D19" s="10">
        <v>250000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20">
        <v>250000</v>
      </c>
      <c r="P19" s="52"/>
      <c r="Q19" s="133"/>
      <c r="R19" s="134" t="s">
        <v>414</v>
      </c>
      <c r="S19" s="153"/>
    </row>
    <row r="20" spans="1:19" ht="15" thickBot="1" x14ac:dyDescent="0.4">
      <c r="A20" s="128" t="s">
        <v>423</v>
      </c>
      <c r="B20" s="139" t="s">
        <v>355</v>
      </c>
      <c r="C20" s="154">
        <v>43920</v>
      </c>
      <c r="D20" s="155">
        <f>3*83500*0.5*1.19</f>
        <v>149047.5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7"/>
      <c r="P20" s="17"/>
      <c r="Q20" s="140"/>
      <c r="R20" s="141">
        <f>83500*14/30*1.19</f>
        <v>46370.333333333328</v>
      </c>
      <c r="S20" s="153">
        <f>83500/100</f>
        <v>835</v>
      </c>
    </row>
    <row r="21" spans="1:19" ht="52.5" customHeight="1" thickBot="1" x14ac:dyDescent="0.4">
      <c r="B21" s="153">
        <f>+COUNTA(B5:B20)</f>
        <v>16</v>
      </c>
      <c r="C21" s="156" t="s">
        <v>434</v>
      </c>
      <c r="D21" s="157">
        <f>+D20+D16+D14+D12+D8</f>
        <v>1025451.56</v>
      </c>
      <c r="E21" s="3"/>
      <c r="F21" s="3"/>
      <c r="G21" s="3"/>
      <c r="H21" s="3"/>
      <c r="I21" s="3"/>
      <c r="J21" s="3"/>
      <c r="K21" s="3"/>
      <c r="L21" s="3"/>
      <c r="M21" s="3"/>
      <c r="N21" s="3"/>
      <c r="Q21" s="158" t="s">
        <v>436</v>
      </c>
      <c r="R21" s="159">
        <f>SUM(R8:R20)</f>
        <v>440821.06133333332</v>
      </c>
    </row>
    <row r="22" spans="1:19" x14ac:dyDescent="0.35"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Q22" s="160" t="s">
        <v>438</v>
      </c>
      <c r="R22" s="161">
        <f>+D8+D12</f>
        <v>370506.5</v>
      </c>
    </row>
    <row r="23" spans="1:19" x14ac:dyDescent="0.35">
      <c r="Q23" s="160" t="s">
        <v>431</v>
      </c>
      <c r="R23" s="161">
        <f>+R21-R22</f>
        <v>70314.561333333317</v>
      </c>
    </row>
    <row r="24" spans="1:19" x14ac:dyDescent="0.35">
      <c r="D24" t="s">
        <v>13</v>
      </c>
      <c r="Q24" s="160" t="s">
        <v>433</v>
      </c>
      <c r="R24" s="161">
        <v>250000</v>
      </c>
    </row>
    <row r="25" spans="1:19" ht="15" thickBot="1" x14ac:dyDescent="0.4">
      <c r="Q25" s="162" t="s">
        <v>432</v>
      </c>
      <c r="R25" s="163">
        <f>+R24-R23</f>
        <v>179685.43866666668</v>
      </c>
    </row>
    <row r="26" spans="1:19" ht="15" thickBot="1" x14ac:dyDescent="0.4"/>
    <row r="27" spans="1:19" ht="15" thickBot="1" x14ac:dyDescent="0.4">
      <c r="Q27" s="164" t="s">
        <v>439</v>
      </c>
      <c r="R27" s="165">
        <f>SUM(E5:Q20)</f>
        <v>2707699</v>
      </c>
    </row>
    <row r="28" spans="1:19" ht="15" thickBot="1" x14ac:dyDescent="0.4">
      <c r="R28" s="64" t="s">
        <v>13</v>
      </c>
    </row>
    <row r="29" spans="1:19" ht="15" thickBot="1" x14ac:dyDescent="0.4">
      <c r="A29" s="150" t="s">
        <v>92</v>
      </c>
      <c r="B29" s="151">
        <f>SUM(B30:B37)</f>
        <v>680</v>
      </c>
      <c r="C29" s="152" t="s">
        <v>13</v>
      </c>
      <c r="R29" t="s">
        <v>13</v>
      </c>
    </row>
    <row r="30" spans="1:19" x14ac:dyDescent="0.35">
      <c r="A30" s="11" t="s">
        <v>39</v>
      </c>
      <c r="B30" s="12">
        <v>60</v>
      </c>
      <c r="C30" s="147"/>
      <c r="R30" t="s">
        <v>13</v>
      </c>
    </row>
    <row r="31" spans="1:19" x14ac:dyDescent="0.35">
      <c r="A31" s="14" t="s">
        <v>40</v>
      </c>
      <c r="B31" s="8">
        <v>100</v>
      </c>
      <c r="C31" s="148"/>
      <c r="R31" t="s">
        <v>13</v>
      </c>
    </row>
    <row r="32" spans="1:19" x14ac:dyDescent="0.35">
      <c r="A32" s="14" t="s">
        <v>77</v>
      </c>
      <c r="B32" s="8">
        <v>100</v>
      </c>
      <c r="C32" s="148"/>
    </row>
    <row r="33" spans="1:18" x14ac:dyDescent="0.35">
      <c r="A33" s="14" t="s">
        <v>78</v>
      </c>
      <c r="B33" s="8">
        <v>100</v>
      </c>
      <c r="C33" s="148"/>
      <c r="R33" t="s">
        <v>13</v>
      </c>
    </row>
    <row r="34" spans="1:18" x14ac:dyDescent="0.35">
      <c r="A34" s="14" t="s">
        <v>90</v>
      </c>
      <c r="B34" s="8">
        <v>100</v>
      </c>
      <c r="C34" s="148"/>
    </row>
    <row r="35" spans="1:18" x14ac:dyDescent="0.35">
      <c r="A35" s="14" t="s">
        <v>19</v>
      </c>
      <c r="B35" s="8">
        <v>100</v>
      </c>
      <c r="C35" s="148"/>
      <c r="D35" t="s">
        <v>13</v>
      </c>
      <c r="F35" t="s">
        <v>13</v>
      </c>
    </row>
    <row r="36" spans="1:18" x14ac:dyDescent="0.35">
      <c r="A36" s="14" t="s">
        <v>55</v>
      </c>
      <c r="B36" s="8">
        <v>60</v>
      </c>
      <c r="C36" s="148"/>
    </row>
    <row r="37" spans="1:18" x14ac:dyDescent="0.35">
      <c r="A37" s="14" t="s">
        <v>63</v>
      </c>
      <c r="B37" s="8">
        <v>60</v>
      </c>
      <c r="C37" s="148"/>
    </row>
    <row r="38" spans="1:18" x14ac:dyDescent="0.35">
      <c r="A38" s="142" t="s">
        <v>200</v>
      </c>
      <c r="B38" s="8">
        <v>20</v>
      </c>
      <c r="C38" s="148"/>
    </row>
    <row r="39" spans="1:18" ht="15" thickBot="1" x14ac:dyDescent="0.4">
      <c r="A39" s="143" t="s">
        <v>430</v>
      </c>
      <c r="B39" s="17">
        <f>(1+2)*20</f>
        <v>60</v>
      </c>
      <c r="C39" s="149"/>
    </row>
    <row r="40" spans="1:18" x14ac:dyDescent="0.35">
      <c r="A40" s="146" t="s">
        <v>123</v>
      </c>
      <c r="B40" s="146">
        <f>SUM(B30:B39)</f>
        <v>760</v>
      </c>
      <c r="C40" s="117" t="s">
        <v>13</v>
      </c>
    </row>
    <row r="41" spans="1:18" x14ac:dyDescent="0.35">
      <c r="A41" s="145" t="s">
        <v>205</v>
      </c>
      <c r="B41" s="145">
        <v>900</v>
      </c>
      <c r="C41" s="8"/>
    </row>
    <row r="42" spans="1:18" x14ac:dyDescent="0.35">
      <c r="A42" s="145" t="s">
        <v>206</v>
      </c>
      <c r="B42" s="145">
        <f>+B41-B40</f>
        <v>140</v>
      </c>
      <c r="C42" s="69">
        <f>+B42*1250</f>
        <v>175000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21"/>
  <sheetViews>
    <sheetView workbookViewId="0"/>
  </sheetViews>
  <sheetFormatPr baseColWidth="10" defaultColWidth="11.08984375" defaultRowHeight="14.5" x14ac:dyDescent="0.35"/>
  <cols>
    <col min="1" max="1" width="22.54296875" customWidth="1"/>
    <col min="2" max="2" width="21.36328125" customWidth="1"/>
    <col min="3" max="5" width="11.54296875" bestFit="1" customWidth="1"/>
    <col min="6" max="7" width="11.81640625" bestFit="1" customWidth="1"/>
  </cols>
  <sheetData>
    <row r="1" spans="1:8" ht="15" thickBot="1" x14ac:dyDescent="0.4">
      <c r="C1" s="420" t="s">
        <v>319</v>
      </c>
      <c r="D1" s="421"/>
      <c r="E1" s="421"/>
      <c r="F1" s="421"/>
      <c r="G1" s="422"/>
    </row>
    <row r="2" spans="1:8" x14ac:dyDescent="0.35">
      <c r="C2" s="6" t="s">
        <v>312</v>
      </c>
      <c r="D2" s="6" t="s">
        <v>313</v>
      </c>
      <c r="E2" s="6" t="s">
        <v>314</v>
      </c>
      <c r="F2" s="6" t="s">
        <v>315</v>
      </c>
    </row>
    <row r="3" spans="1:8" x14ac:dyDescent="0.35">
      <c r="A3" s="100"/>
      <c r="B3" s="100"/>
      <c r="C3" s="101" t="s">
        <v>301</v>
      </c>
      <c r="D3" s="101" t="s">
        <v>302</v>
      </c>
      <c r="E3" s="101" t="s">
        <v>303</v>
      </c>
      <c r="F3" s="101" t="s">
        <v>304</v>
      </c>
    </row>
    <row r="4" spans="1:8" x14ac:dyDescent="0.35">
      <c r="A4" s="100" t="s">
        <v>305</v>
      </c>
      <c r="B4" s="100"/>
      <c r="C4" s="102">
        <v>4</v>
      </c>
      <c r="D4" s="102">
        <v>4</v>
      </c>
      <c r="E4" s="102">
        <v>4</v>
      </c>
      <c r="F4" s="102">
        <v>6</v>
      </c>
    </row>
    <row r="5" spans="1:8" x14ac:dyDescent="0.35">
      <c r="A5" s="103" t="s">
        <v>306</v>
      </c>
      <c r="B5" s="103" t="s">
        <v>306</v>
      </c>
      <c r="C5" s="105">
        <v>1800000</v>
      </c>
      <c r="D5" s="105">
        <v>1800000</v>
      </c>
      <c r="E5" s="105">
        <v>1800000</v>
      </c>
      <c r="F5" s="105">
        <v>2700000</v>
      </c>
      <c r="G5" s="3">
        <f>SUM(C5:F5)</f>
        <v>8100000</v>
      </c>
    </row>
    <row r="6" spans="1:8" x14ac:dyDescent="0.35">
      <c r="A6" t="s">
        <v>316</v>
      </c>
      <c r="B6" t="s">
        <v>101</v>
      </c>
      <c r="C6" s="3">
        <v>816806.72268907551</v>
      </c>
      <c r="D6" s="3">
        <v>816806.72268907551</v>
      </c>
      <c r="E6" s="3">
        <v>816806.72268907551</v>
      </c>
      <c r="F6" s="3">
        <v>1225210.0840336133</v>
      </c>
      <c r="G6" s="3">
        <f>SUM(C6:F6)</f>
        <v>3675630.2521008402</v>
      </c>
      <c r="H6" s="104">
        <f>+G6/G5</f>
        <v>0.45378151260504201</v>
      </c>
    </row>
    <row r="7" spans="1:8" x14ac:dyDescent="0.35">
      <c r="A7" t="s">
        <v>307</v>
      </c>
      <c r="B7" t="s">
        <v>307</v>
      </c>
      <c r="C7" s="3">
        <v>-2332000</v>
      </c>
      <c r="D7" s="3">
        <v>-2132000</v>
      </c>
      <c r="E7" s="3">
        <v>-2132000</v>
      </c>
      <c r="F7" s="3">
        <v>-2798000</v>
      </c>
      <c r="G7" s="3">
        <f>SUM(C7:F7)</f>
        <v>-9394000</v>
      </c>
    </row>
    <row r="8" spans="1:8" x14ac:dyDescent="0.35">
      <c r="A8" t="s">
        <v>308</v>
      </c>
      <c r="B8" t="s">
        <v>308</v>
      </c>
      <c r="C8" s="3">
        <v>-3361344.5378151299</v>
      </c>
      <c r="D8" s="3">
        <v>0</v>
      </c>
      <c r="E8" s="3">
        <v>-1680672.26890756</v>
      </c>
      <c r="F8" s="3">
        <v>0</v>
      </c>
      <c r="G8" s="3">
        <f>SUM(C8:F8)</f>
        <v>-5042016.8067226894</v>
      </c>
    </row>
    <row r="9" spans="1:8" x14ac:dyDescent="0.35">
      <c r="A9" t="s">
        <v>309</v>
      </c>
      <c r="B9" t="s">
        <v>309</v>
      </c>
      <c r="C9" s="3">
        <v>-4876537.8151260503</v>
      </c>
      <c r="D9" s="3">
        <v>-1315193.2773109246</v>
      </c>
      <c r="E9" s="3">
        <v>-2995865.5462184874</v>
      </c>
      <c r="F9" s="3">
        <v>-1572789.9159663867</v>
      </c>
      <c r="G9" s="106">
        <f>SUM(C9:F9)</f>
        <v>-10760386.554621847</v>
      </c>
    </row>
    <row r="10" spans="1:8" x14ac:dyDescent="0.35">
      <c r="A10" s="2" t="s">
        <v>310</v>
      </c>
      <c r="B10" s="2" t="s">
        <v>311</v>
      </c>
      <c r="C10" s="72"/>
      <c r="D10" s="72">
        <v>-6191731.0924369749</v>
      </c>
      <c r="E10" s="72">
        <v>-9187596.6386554614</v>
      </c>
      <c r="F10" s="72">
        <v>-10760386.554621847</v>
      </c>
      <c r="G10" s="3"/>
    </row>
    <row r="11" spans="1:8" ht="15" thickBot="1" x14ac:dyDescent="0.4">
      <c r="C11" s="59"/>
      <c r="D11" s="59"/>
      <c r="E11" s="59"/>
      <c r="F11" s="59"/>
    </row>
    <row r="12" spans="1:8" ht="15" thickBot="1" x14ac:dyDescent="0.4">
      <c r="C12" s="420" t="s">
        <v>318</v>
      </c>
      <c r="D12" s="421"/>
      <c r="E12" s="421"/>
      <c r="F12" s="421"/>
      <c r="G12" s="422"/>
    </row>
    <row r="13" spans="1:8" x14ac:dyDescent="0.35">
      <c r="A13" t="s">
        <v>317</v>
      </c>
      <c r="C13" s="64">
        <f>+C16/(44874/20)</f>
        <v>159.99982022492111</v>
      </c>
      <c r="D13" s="64">
        <f>+D16/(44874/20)</f>
        <v>299.99966292172707</v>
      </c>
      <c r="E13" s="64">
        <f>+E16/(44874/20)</f>
        <v>159.99982022492111</v>
      </c>
      <c r="F13" s="64">
        <f>+F16/(44874/20)</f>
        <v>252.63192588173123</v>
      </c>
    </row>
    <row r="14" spans="1:8" x14ac:dyDescent="0.35">
      <c r="A14" s="100" t="s">
        <v>320</v>
      </c>
      <c r="C14" s="64">
        <v>2</v>
      </c>
      <c r="D14" s="64">
        <v>2</v>
      </c>
      <c r="E14" s="64">
        <v>3</v>
      </c>
      <c r="F14" s="64">
        <v>3</v>
      </c>
    </row>
    <row r="15" spans="1:8" x14ac:dyDescent="0.35">
      <c r="A15" s="100" t="s">
        <v>305</v>
      </c>
      <c r="C15" s="59">
        <v>1</v>
      </c>
      <c r="D15" s="59">
        <v>1</v>
      </c>
      <c r="E15" s="59">
        <v>1</v>
      </c>
      <c r="F15" s="59">
        <v>1</v>
      </c>
    </row>
    <row r="16" spans="1:8" x14ac:dyDescent="0.35">
      <c r="A16" s="103" t="s">
        <v>306</v>
      </c>
      <c r="B16" s="2"/>
      <c r="C16" s="105">
        <f>427200/1.19</f>
        <v>358991.59663865546</v>
      </c>
      <c r="D16" s="105">
        <f>801000/1.19</f>
        <v>673109.24369747902</v>
      </c>
      <c r="E16" s="105">
        <f>427200/1.19</f>
        <v>358991.59663865546</v>
      </c>
      <c r="F16" s="105">
        <f>674528/1.19</f>
        <v>566830.25210084033</v>
      </c>
      <c r="G16" s="3">
        <f>SUM(C16:F16)</f>
        <v>1957922.6890756302</v>
      </c>
    </row>
    <row r="17" spans="1:8" x14ac:dyDescent="0.35">
      <c r="A17" t="s">
        <v>316</v>
      </c>
      <c r="C17" s="3">
        <f>+C16-C13*1250/1.19</f>
        <v>190924.55858726773</v>
      </c>
      <c r="D17" s="3">
        <f>+D16-D13*1250/1.19</f>
        <v>357983.54735112702</v>
      </c>
      <c r="E17" s="3">
        <f>+E16-E13*1250/1.19</f>
        <v>190924.55858726773</v>
      </c>
      <c r="F17" s="3">
        <f>+F16-F13*1250/1.19</f>
        <v>301460.58205700497</v>
      </c>
      <c r="G17" s="3">
        <f>SUM(C17:F17)</f>
        <v>1041293.2465826676</v>
      </c>
      <c r="H17" s="104">
        <f>+G17/G16</f>
        <v>0.53183573201977674</v>
      </c>
    </row>
    <row r="18" spans="1:8" x14ac:dyDescent="0.35">
      <c r="A18" t="s">
        <v>307</v>
      </c>
      <c r="C18" s="3">
        <f>-765466/1.19</f>
        <v>-643248.73949579836</v>
      </c>
      <c r="D18" s="3">
        <f>-(2117890-1500000)/1.19</f>
        <v>-519235.29411764711</v>
      </c>
      <c r="E18" s="3">
        <f>-1158560/1.19</f>
        <v>-973579.83193277312</v>
      </c>
      <c r="F18" s="3">
        <f>-901783/1.19</f>
        <v>-757800.84033613454</v>
      </c>
      <c r="G18" s="3">
        <f>SUM(C18:F18)</f>
        <v>-2893864.7058823532</v>
      </c>
    </row>
    <row r="19" spans="1:8" x14ac:dyDescent="0.35">
      <c r="A19" t="s">
        <v>308</v>
      </c>
      <c r="C19" s="3">
        <f>-(1600990+138000+(180000+290000)*1.19)/1.19</f>
        <v>-1931336.1344537816</v>
      </c>
      <c r="D19" s="3">
        <f>-128137/1.19</f>
        <v>-107678.15126050421</v>
      </c>
      <c r="E19" s="3">
        <f>-(930125-97968+'ENE-20'!D22+'ENE-20'!D23+'ENE-20'!D24+'ENE-20'!D25+'ENE-20'!D27)/1.19</f>
        <v>-979855.46218487399</v>
      </c>
      <c r="F19" s="3">
        <v>0</v>
      </c>
      <c r="G19" s="3">
        <f>SUM(C19:F19)</f>
        <v>-3018869.7478991598</v>
      </c>
    </row>
    <row r="20" spans="1:8" x14ac:dyDescent="0.35">
      <c r="A20" t="s">
        <v>309</v>
      </c>
      <c r="C20" s="3">
        <f>SUM(C17:C19)</f>
        <v>-2383660.3153623124</v>
      </c>
      <c r="D20" s="3">
        <f>SUM(D17:D19)</f>
        <v>-268929.89802702429</v>
      </c>
      <c r="E20" s="3">
        <f>SUM(E17:E19)</f>
        <v>-1762510.7355303792</v>
      </c>
      <c r="F20" s="3">
        <f>SUM(F17:F19)</f>
        <v>-456340.25827912957</v>
      </c>
      <c r="G20" s="106">
        <f>SUM(C20:F20)</f>
        <v>-4871441.2071988452</v>
      </c>
    </row>
    <row r="21" spans="1:8" x14ac:dyDescent="0.35">
      <c r="A21" s="2" t="s">
        <v>310</v>
      </c>
      <c r="B21" s="2"/>
      <c r="C21" s="72">
        <f>+C20</f>
        <v>-2383660.3153623124</v>
      </c>
      <c r="D21" s="72">
        <f>+C21+D20</f>
        <v>-2652590.2133893366</v>
      </c>
      <c r="E21" s="72">
        <f>+D21+E20</f>
        <v>-4415100.9489197154</v>
      </c>
      <c r="F21" s="72">
        <f>+E21+F20</f>
        <v>-4871441.2071988452</v>
      </c>
      <c r="G21" s="3"/>
    </row>
  </sheetData>
  <mergeCells count="2">
    <mergeCell ref="C1:G1"/>
    <mergeCell ref="C12:G12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5:N167"/>
  <sheetViews>
    <sheetView topLeftCell="A57" workbookViewId="0">
      <selection activeCell="A82" sqref="A82"/>
    </sheetView>
  </sheetViews>
  <sheetFormatPr baseColWidth="10" defaultColWidth="11.08984375" defaultRowHeight="14.5" x14ac:dyDescent="0.35"/>
  <cols>
    <col min="1" max="1" width="25.54296875" customWidth="1"/>
    <col min="2" max="2" width="31.7265625" customWidth="1"/>
    <col min="3" max="3" width="32.36328125" customWidth="1"/>
  </cols>
  <sheetData>
    <row r="5" spans="1:7" x14ac:dyDescent="0.35">
      <c r="B5" t="s">
        <v>18</v>
      </c>
    </row>
    <row r="6" spans="1:7" x14ac:dyDescent="0.35">
      <c r="B6">
        <f>470000/2</f>
        <v>235000</v>
      </c>
      <c r="C6">
        <f>+B6*0.19</f>
        <v>44650</v>
      </c>
      <c r="D6">
        <f>+C6+B6</f>
        <v>279650</v>
      </c>
    </row>
    <row r="9" spans="1:7" x14ac:dyDescent="0.35">
      <c r="A9">
        <f>2000/1.395</f>
        <v>1433.6917562724013</v>
      </c>
      <c r="C9">
        <v>2670</v>
      </c>
      <c r="D9">
        <f>+C9*20</f>
        <v>53400</v>
      </c>
      <c r="E9">
        <f>+C9/1.395</f>
        <v>1913.9784946236559</v>
      </c>
      <c r="G9" t="s">
        <v>13</v>
      </c>
    </row>
    <row r="10" spans="1:7" x14ac:dyDescent="0.35">
      <c r="A10">
        <f>+A9/0.75</f>
        <v>1911.5890083632019</v>
      </c>
      <c r="C10">
        <f>+C9/1.395</f>
        <v>1913.9784946236559</v>
      </c>
    </row>
    <row r="11" spans="1:7" x14ac:dyDescent="0.35">
      <c r="C11">
        <f>+C9*0.75</f>
        <v>2002.5</v>
      </c>
    </row>
    <row r="13" spans="1:7" x14ac:dyDescent="0.35">
      <c r="C13">
        <f>120*0.75</f>
        <v>90</v>
      </c>
    </row>
    <row r="15" spans="1:7" x14ac:dyDescent="0.35">
      <c r="A15" t="s">
        <v>45</v>
      </c>
      <c r="D15" s="3">
        <f>423691+13625+530+10600+84913+83200</f>
        <v>616559</v>
      </c>
      <c r="E15">
        <v>0</v>
      </c>
      <c r="F15">
        <f>+D15*E15</f>
        <v>0</v>
      </c>
    </row>
    <row r="16" spans="1:7" x14ac:dyDescent="0.35">
      <c r="A16" t="s">
        <v>46</v>
      </c>
      <c r="D16" s="3">
        <f>436411+165540+60251+17088+28768+3028+2725+15000</f>
        <v>728811</v>
      </c>
      <c r="E16">
        <v>2</v>
      </c>
      <c r="F16" s="3">
        <f>+D16*E16</f>
        <v>1457622</v>
      </c>
    </row>
    <row r="17" spans="1:14" x14ac:dyDescent="0.35">
      <c r="C17" t="s">
        <v>50</v>
      </c>
      <c r="D17" s="3">
        <f>+D16+D15</f>
        <v>1345370</v>
      </c>
      <c r="F17" s="3">
        <f>+F16+F15</f>
        <v>1457622</v>
      </c>
    </row>
    <row r="18" spans="1:14" x14ac:dyDescent="0.35">
      <c r="C18" t="s">
        <v>51</v>
      </c>
      <c r="D18" s="3">
        <f>+D17*1.19</f>
        <v>1600990.2999999998</v>
      </c>
      <c r="F18" s="3">
        <f>+F17*1.19</f>
        <v>1734570.18</v>
      </c>
    </row>
    <row r="19" spans="1:14" x14ac:dyDescent="0.35">
      <c r="A19" t="s">
        <v>52</v>
      </c>
      <c r="B19" t="s">
        <v>54</v>
      </c>
      <c r="D19">
        <v>290000</v>
      </c>
      <c r="E19">
        <v>1</v>
      </c>
      <c r="F19">
        <f>+E19*D19</f>
        <v>290000</v>
      </c>
    </row>
    <row r="20" spans="1:14" x14ac:dyDescent="0.35">
      <c r="A20" t="s">
        <v>53</v>
      </c>
      <c r="D20">
        <v>180000</v>
      </c>
      <c r="E20">
        <v>1</v>
      </c>
      <c r="F20">
        <f>+E20*D20</f>
        <v>180000</v>
      </c>
    </row>
    <row r="21" spans="1:14" x14ac:dyDescent="0.35">
      <c r="C21" t="s">
        <v>50</v>
      </c>
      <c r="F21">
        <f>+F19+F20</f>
        <v>470000</v>
      </c>
    </row>
    <row r="22" spans="1:14" x14ac:dyDescent="0.35">
      <c r="C22" t="s">
        <v>51</v>
      </c>
      <c r="F22">
        <f>+F21*1.19</f>
        <v>559300</v>
      </c>
    </row>
    <row r="23" spans="1:14" x14ac:dyDescent="0.35">
      <c r="F23" s="3">
        <f>+F22+F18</f>
        <v>2293870.1799999997</v>
      </c>
    </row>
    <row r="25" spans="1:14" x14ac:dyDescent="0.35">
      <c r="A25" t="s">
        <v>116</v>
      </c>
    </row>
    <row r="26" spans="1:14" x14ac:dyDescent="0.35">
      <c r="A26" t="s">
        <v>117</v>
      </c>
      <c r="B26" t="s">
        <v>118</v>
      </c>
      <c r="C26" t="s">
        <v>119</v>
      </c>
      <c r="D26" t="s">
        <v>120</v>
      </c>
      <c r="E26" t="s">
        <v>121</v>
      </c>
      <c r="F26" t="s">
        <v>122</v>
      </c>
      <c r="G26" t="s">
        <v>123</v>
      </c>
    </row>
    <row r="28" spans="1:14" x14ac:dyDescent="0.35">
      <c r="A28">
        <f>--------------------------------------------------------------------------------------------1</f>
        <v>1</v>
      </c>
      <c r="B28">
        <v>71008</v>
      </c>
      <c r="C28" t="s">
        <v>124</v>
      </c>
      <c r="D28">
        <v>1</v>
      </c>
      <c r="E28" s="58">
        <v>593280</v>
      </c>
      <c r="G28" s="59">
        <f t="shared" ref="G28:G38" si="0">+E28*D28</f>
        <v>593280</v>
      </c>
      <c r="H28" t="s">
        <v>125</v>
      </c>
      <c r="I28" t="s">
        <v>126</v>
      </c>
      <c r="J28">
        <v>100</v>
      </c>
      <c r="K28">
        <v>3</v>
      </c>
      <c r="L28" t="s">
        <v>127</v>
      </c>
    </row>
    <row r="29" spans="1:14" x14ac:dyDescent="0.35">
      <c r="A29">
        <f>--------------------------------------------------------------------------------------------2</f>
        <v>2</v>
      </c>
      <c r="B29">
        <v>810020</v>
      </c>
      <c r="C29" t="s">
        <v>124</v>
      </c>
      <c r="D29">
        <v>1</v>
      </c>
      <c r="E29" s="60">
        <v>82770</v>
      </c>
      <c r="G29" s="59">
        <f t="shared" si="0"/>
        <v>82770</v>
      </c>
      <c r="H29" t="s">
        <v>128</v>
      </c>
      <c r="I29" t="s">
        <v>129</v>
      </c>
      <c r="J29" t="s">
        <v>130</v>
      </c>
      <c r="K29" t="s">
        <v>131</v>
      </c>
      <c r="L29" s="61">
        <v>2</v>
      </c>
      <c r="M29" s="61" t="s">
        <v>127</v>
      </c>
      <c r="N29" t="s">
        <v>125</v>
      </c>
    </row>
    <row r="30" spans="1:14" x14ac:dyDescent="0.35">
      <c r="A30">
        <f>--------------------------------------------------------------------------------------------3</f>
        <v>3</v>
      </c>
      <c r="B30">
        <v>810009</v>
      </c>
      <c r="C30" t="s">
        <v>124</v>
      </c>
      <c r="D30" s="61">
        <v>2</v>
      </c>
      <c r="E30" s="58">
        <v>35442</v>
      </c>
      <c r="G30" s="59">
        <f t="shared" si="0"/>
        <v>70884</v>
      </c>
      <c r="H30" t="s">
        <v>132</v>
      </c>
      <c r="I30" t="s">
        <v>125</v>
      </c>
    </row>
    <row r="31" spans="1:14" x14ac:dyDescent="0.35">
      <c r="A31">
        <f>--------------------------------------------------------------------------------------------4</f>
        <v>4</v>
      </c>
      <c r="B31">
        <v>810015</v>
      </c>
      <c r="C31" t="s">
        <v>124</v>
      </c>
      <c r="D31">
        <v>2</v>
      </c>
      <c r="E31" s="58">
        <v>8544</v>
      </c>
      <c r="G31" s="59">
        <f t="shared" si="0"/>
        <v>17088</v>
      </c>
      <c r="H31" t="s">
        <v>133</v>
      </c>
      <c r="I31" t="s">
        <v>134</v>
      </c>
    </row>
    <row r="32" spans="1:14" x14ac:dyDescent="0.35">
      <c r="A32">
        <f>--------------------------------------------------------------------------------------------5</f>
        <v>5</v>
      </c>
      <c r="B32">
        <v>812008</v>
      </c>
      <c r="C32" t="s">
        <v>124</v>
      </c>
      <c r="D32" s="62">
        <v>5</v>
      </c>
      <c r="E32" s="58">
        <v>2725</v>
      </c>
      <c r="G32" s="59">
        <f t="shared" si="0"/>
        <v>13625</v>
      </c>
      <c r="H32" t="s">
        <v>135</v>
      </c>
      <c r="I32" t="s">
        <v>13</v>
      </c>
      <c r="J32" t="s">
        <v>13</v>
      </c>
      <c r="K32" t="s">
        <v>13</v>
      </c>
    </row>
    <row r="33" spans="1:14" x14ac:dyDescent="0.35">
      <c r="A33">
        <f>--------------------------------------------------------------------------------------------6</f>
        <v>6</v>
      </c>
      <c r="B33">
        <v>812003</v>
      </c>
      <c r="C33" t="s">
        <v>124</v>
      </c>
      <c r="D33">
        <v>1</v>
      </c>
      <c r="E33" s="58">
        <v>2725</v>
      </c>
      <c r="G33" s="59">
        <f t="shared" si="0"/>
        <v>2725</v>
      </c>
      <c r="H33" t="s">
        <v>135</v>
      </c>
      <c r="I33" t="s">
        <v>13</v>
      </c>
      <c r="J33" t="s">
        <v>13</v>
      </c>
      <c r="K33" t="s">
        <v>13</v>
      </c>
    </row>
    <row r="34" spans="1:14" x14ac:dyDescent="0.35">
      <c r="A34">
        <f>--------------------------------------------------------------------------------------------7</f>
        <v>7</v>
      </c>
      <c r="B34">
        <v>810002</v>
      </c>
      <c r="C34" t="s">
        <v>124</v>
      </c>
      <c r="D34">
        <v>1</v>
      </c>
      <c r="E34" s="60">
        <v>28768</v>
      </c>
      <c r="G34" s="59">
        <f t="shared" si="0"/>
        <v>28768</v>
      </c>
      <c r="H34" t="s">
        <v>136</v>
      </c>
      <c r="I34" t="s">
        <v>137</v>
      </c>
      <c r="J34" t="s">
        <v>138</v>
      </c>
      <c r="K34">
        <v>40</v>
      </c>
      <c r="L34" t="s">
        <v>139</v>
      </c>
      <c r="M34">
        <v>22</v>
      </c>
    </row>
    <row r="35" spans="1:14" x14ac:dyDescent="0.35">
      <c r="A35">
        <f>--------------------------------------------------------------------------------------------8</f>
        <v>8</v>
      </c>
      <c r="B35">
        <v>813005</v>
      </c>
      <c r="C35" t="s">
        <v>140</v>
      </c>
      <c r="D35" s="61">
        <v>0</v>
      </c>
      <c r="E35">
        <v>530</v>
      </c>
      <c r="G35" s="59">
        <f t="shared" si="0"/>
        <v>0</v>
      </c>
      <c r="H35" t="s">
        <v>141</v>
      </c>
      <c r="I35" t="s">
        <v>142</v>
      </c>
      <c r="J35" s="5">
        <v>44046</v>
      </c>
      <c r="K35" t="s">
        <v>139</v>
      </c>
      <c r="L35">
        <v>0</v>
      </c>
      <c r="M35">
        <v>265</v>
      </c>
      <c r="N35" t="s">
        <v>143</v>
      </c>
    </row>
    <row r="36" spans="1:14" x14ac:dyDescent="0.35">
      <c r="A36">
        <v>9</v>
      </c>
      <c r="B36">
        <v>811008</v>
      </c>
      <c r="C36" t="s">
        <v>124</v>
      </c>
      <c r="D36" s="61">
        <v>2</v>
      </c>
      <c r="E36" s="58">
        <v>42436</v>
      </c>
      <c r="G36" s="59">
        <f t="shared" si="0"/>
        <v>84872</v>
      </c>
      <c r="H36" t="s">
        <v>144</v>
      </c>
      <c r="I36" t="s">
        <v>145</v>
      </c>
      <c r="J36" t="s">
        <v>130</v>
      </c>
      <c r="K36" t="s">
        <v>146</v>
      </c>
      <c r="L36" t="s">
        <v>147</v>
      </c>
    </row>
    <row r="37" spans="1:14" x14ac:dyDescent="0.35">
      <c r="A37">
        <f>--------------------------------------------------------------------------------------------10</f>
        <v>10</v>
      </c>
      <c r="B37">
        <v>811047</v>
      </c>
      <c r="C37" t="s">
        <v>124</v>
      </c>
      <c r="D37" s="61">
        <v>0</v>
      </c>
      <c r="E37" s="58">
        <v>47174</v>
      </c>
      <c r="G37" s="59">
        <f t="shared" si="0"/>
        <v>0</v>
      </c>
      <c r="H37" t="s">
        <v>148</v>
      </c>
      <c r="I37" t="s">
        <v>149</v>
      </c>
      <c r="J37" t="s">
        <v>150</v>
      </c>
      <c r="K37">
        <v>1</v>
      </c>
      <c r="L37" t="s">
        <v>127</v>
      </c>
      <c r="M37" t="s">
        <v>147</v>
      </c>
    </row>
    <row r="38" spans="1:14" x14ac:dyDescent="0.35">
      <c r="A38">
        <f>--------------------------------------------------------------------------------------------11</f>
        <v>11</v>
      </c>
      <c r="B38">
        <v>812001</v>
      </c>
      <c r="C38" t="s">
        <v>124</v>
      </c>
      <c r="D38" s="61">
        <v>0</v>
      </c>
      <c r="E38" s="58">
        <v>4867</v>
      </c>
      <c r="G38" s="59">
        <f t="shared" si="0"/>
        <v>0</v>
      </c>
    </row>
    <row r="40" spans="1:14" x14ac:dyDescent="0.35">
      <c r="G40" s="59">
        <f>SUM(G28:G39)</f>
        <v>894012</v>
      </c>
    </row>
    <row r="41" spans="1:14" x14ac:dyDescent="0.35">
      <c r="G41" s="59"/>
    </row>
    <row r="42" spans="1:14" x14ac:dyDescent="0.35">
      <c r="G42" s="59"/>
    </row>
    <row r="43" spans="1:14" x14ac:dyDescent="0.35">
      <c r="A43" t="s">
        <v>76</v>
      </c>
      <c r="B43" t="s">
        <v>165</v>
      </c>
      <c r="C43" s="5">
        <v>43832</v>
      </c>
      <c r="D43" s="3">
        <f>177220/1.19</f>
        <v>148924.36974789915</v>
      </c>
      <c r="E43" s="49" t="s">
        <v>81</v>
      </c>
      <c r="G43" s="10">
        <f t="shared" ref="G43:G49" si="1">+D43*1.19</f>
        <v>177219.99999999997</v>
      </c>
    </row>
    <row r="44" spans="1:14" x14ac:dyDescent="0.35">
      <c r="A44" t="s">
        <v>151</v>
      </c>
      <c r="B44" s="21" t="s">
        <v>152</v>
      </c>
      <c r="C44" s="5">
        <v>43833</v>
      </c>
      <c r="D44" s="3">
        <f>930125/1.19</f>
        <v>781617.64705882361</v>
      </c>
      <c r="E44" s="49" t="s">
        <v>82</v>
      </c>
      <c r="G44" s="10">
        <f t="shared" si="1"/>
        <v>930125</v>
      </c>
    </row>
    <row r="45" spans="1:14" x14ac:dyDescent="0.35">
      <c r="A45" t="s">
        <v>154</v>
      </c>
      <c r="B45" s="21" t="s">
        <v>153</v>
      </c>
      <c r="C45" s="5">
        <v>43833</v>
      </c>
      <c r="D45" s="3">
        <f>3145/1.19</f>
        <v>2642.8571428571431</v>
      </c>
      <c r="E45" s="49" t="s">
        <v>82</v>
      </c>
      <c r="G45" s="10">
        <f t="shared" si="1"/>
        <v>3145</v>
      </c>
    </row>
    <row r="46" spans="1:14" x14ac:dyDescent="0.35">
      <c r="A46" t="s">
        <v>155</v>
      </c>
      <c r="B46" t="s">
        <v>156</v>
      </c>
      <c r="C46" s="5">
        <v>43833</v>
      </c>
      <c r="D46" s="3">
        <f>12380/1.19</f>
        <v>10403.361344537816</v>
      </c>
      <c r="E46" s="49" t="s">
        <v>82</v>
      </c>
      <c r="G46" s="10">
        <f t="shared" si="1"/>
        <v>12380</v>
      </c>
    </row>
    <row r="47" spans="1:14" x14ac:dyDescent="0.35">
      <c r="A47" t="s">
        <v>158</v>
      </c>
      <c r="B47" t="s">
        <v>157</v>
      </c>
      <c r="C47" s="5">
        <v>43836</v>
      </c>
      <c r="D47" s="3">
        <f>17580/1.19</f>
        <v>14773.10924369748</v>
      </c>
      <c r="E47" s="49" t="s">
        <v>82</v>
      </c>
      <c r="G47" s="10">
        <f t="shared" si="1"/>
        <v>17580</v>
      </c>
    </row>
    <row r="48" spans="1:14" x14ac:dyDescent="0.35">
      <c r="A48" t="s">
        <v>159</v>
      </c>
      <c r="B48" t="s">
        <v>160</v>
      </c>
      <c r="C48" s="5">
        <v>43836</v>
      </c>
      <c r="D48" s="3">
        <f>3690/1.19</f>
        <v>3100.840336134454</v>
      </c>
      <c r="E48" s="49" t="s">
        <v>82</v>
      </c>
      <c r="G48" s="10">
        <f t="shared" si="1"/>
        <v>3690</v>
      </c>
    </row>
    <row r="49" spans="1:7" x14ac:dyDescent="0.35">
      <c r="A49" t="s">
        <v>161</v>
      </c>
      <c r="B49" t="s">
        <v>162</v>
      </c>
      <c r="C49" s="5">
        <v>43837</v>
      </c>
      <c r="D49" s="3">
        <f>297076/1.19</f>
        <v>249643.69747899161</v>
      </c>
      <c r="E49" s="49" t="s">
        <v>82</v>
      </c>
      <c r="G49" s="10">
        <f t="shared" si="1"/>
        <v>297076</v>
      </c>
    </row>
    <row r="50" spans="1:7" x14ac:dyDescent="0.35">
      <c r="A50" t="s">
        <v>163</v>
      </c>
      <c r="B50" t="s">
        <v>164</v>
      </c>
      <c r="C50" s="5">
        <v>43838</v>
      </c>
      <c r="D50" s="3">
        <f>440735/0.8925</f>
        <v>493820.72829131654</v>
      </c>
      <c r="E50" s="49" t="s">
        <v>81</v>
      </c>
      <c r="F50" t="s">
        <v>13</v>
      </c>
      <c r="G50" s="10">
        <f>+D50*0.8925</f>
        <v>440735</v>
      </c>
    </row>
    <row r="51" spans="1:7" x14ac:dyDescent="0.35">
      <c r="A51" t="s">
        <v>171</v>
      </c>
      <c r="B51" t="s">
        <v>172</v>
      </c>
      <c r="C51" s="5">
        <v>43840</v>
      </c>
      <c r="D51" s="3">
        <v>15024</v>
      </c>
      <c r="E51" s="49" t="s">
        <v>81</v>
      </c>
      <c r="G51" s="10">
        <f>+D51</f>
        <v>15024</v>
      </c>
    </row>
    <row r="52" spans="1:7" x14ac:dyDescent="0.35">
      <c r="A52" s="4" t="s">
        <v>167</v>
      </c>
      <c r="B52" s="24" t="s">
        <v>178</v>
      </c>
      <c r="C52" s="5">
        <v>43841</v>
      </c>
      <c r="D52" s="3">
        <f>500000/0.8925</f>
        <v>560224.08963585435</v>
      </c>
      <c r="E52" s="49" t="s">
        <v>81</v>
      </c>
      <c r="G52" s="10">
        <f>+D52*0.8925</f>
        <v>500000</v>
      </c>
    </row>
    <row r="53" spans="1:7" x14ac:dyDescent="0.35">
      <c r="A53" t="s">
        <v>168</v>
      </c>
      <c r="B53" t="s">
        <v>13</v>
      </c>
      <c r="C53" s="5">
        <v>43843</v>
      </c>
      <c r="D53" s="3">
        <v>228954</v>
      </c>
      <c r="E53" s="49" t="s">
        <v>84</v>
      </c>
      <c r="G53" s="10">
        <f>+D53</f>
        <v>228954</v>
      </c>
    </row>
    <row r="54" spans="1:7" x14ac:dyDescent="0.35">
      <c r="A54" t="s">
        <v>173</v>
      </c>
      <c r="C54" s="5">
        <v>43848</v>
      </c>
      <c r="D54" s="3">
        <v>15011</v>
      </c>
      <c r="E54" s="49" t="s">
        <v>81</v>
      </c>
      <c r="G54" s="10">
        <f>+D54</f>
        <v>15011</v>
      </c>
    </row>
    <row r="55" spans="1:7" x14ac:dyDescent="0.35">
      <c r="A55" t="s">
        <v>32</v>
      </c>
      <c r="B55" s="63" t="s">
        <v>183</v>
      </c>
      <c r="C55" s="5">
        <v>43853</v>
      </c>
      <c r="D55" s="3">
        <f>3570/1.19</f>
        <v>3000</v>
      </c>
      <c r="E55" s="49" t="s">
        <v>81</v>
      </c>
      <c r="G55" s="10">
        <f>+D55*1.19</f>
        <v>3570</v>
      </c>
    </row>
    <row r="56" spans="1:7" x14ac:dyDescent="0.35">
      <c r="A56" t="s">
        <v>194</v>
      </c>
      <c r="B56" t="s">
        <v>195</v>
      </c>
      <c r="C56" s="67">
        <v>43861</v>
      </c>
      <c r="D56" s="3">
        <v>7000</v>
      </c>
      <c r="E56" s="49" t="s">
        <v>81</v>
      </c>
      <c r="G56" s="10">
        <f>+D56</f>
        <v>7000</v>
      </c>
    </row>
    <row r="57" spans="1:7" x14ac:dyDescent="0.35">
      <c r="A57" t="s">
        <v>190</v>
      </c>
      <c r="B57" t="s">
        <v>191</v>
      </c>
      <c r="C57" s="5">
        <v>43864</v>
      </c>
      <c r="D57" s="3">
        <f>16065/1.19</f>
        <v>13500</v>
      </c>
      <c r="E57" s="49" t="s">
        <v>81</v>
      </c>
      <c r="G57" s="10">
        <f>+D57*1.19</f>
        <v>16065</v>
      </c>
    </row>
    <row r="58" spans="1:7" x14ac:dyDescent="0.35">
      <c r="A58" t="s">
        <v>218</v>
      </c>
      <c r="B58" t="s">
        <v>192</v>
      </c>
      <c r="C58" s="5">
        <v>43864</v>
      </c>
      <c r="D58" s="3">
        <v>14000</v>
      </c>
      <c r="E58" s="49" t="s">
        <v>81</v>
      </c>
      <c r="G58" s="10">
        <f>+D58</f>
        <v>14000</v>
      </c>
    </row>
    <row r="59" spans="1:7" x14ac:dyDescent="0.35">
      <c r="A59" t="s">
        <v>198</v>
      </c>
      <c r="B59" s="63" t="s">
        <v>196</v>
      </c>
      <c r="C59" s="5">
        <v>43864</v>
      </c>
      <c r="D59" s="3">
        <f>285243/1.19</f>
        <v>239700</v>
      </c>
      <c r="E59" s="49" t="s">
        <v>81</v>
      </c>
      <c r="G59" s="10">
        <f>+D59*1.19</f>
        <v>285243</v>
      </c>
    </row>
    <row r="60" spans="1:7" x14ac:dyDescent="0.35">
      <c r="A60" t="s">
        <v>198</v>
      </c>
      <c r="B60" s="63" t="s">
        <v>196</v>
      </c>
      <c r="C60" s="5">
        <v>43864</v>
      </c>
      <c r="D60" s="3">
        <v>285243</v>
      </c>
      <c r="E60" s="8"/>
      <c r="G60" s="8"/>
    </row>
    <row r="61" spans="1:7" x14ac:dyDescent="0.35">
      <c r="A61" t="s">
        <v>198</v>
      </c>
      <c r="B61" s="63" t="s">
        <v>355</v>
      </c>
      <c r="C61" s="5">
        <v>43864</v>
      </c>
      <c r="D61" s="3">
        <v>149048</v>
      </c>
      <c r="E61" s="8"/>
      <c r="G61" s="8"/>
    </row>
    <row r="62" spans="1:7" x14ac:dyDescent="0.35">
      <c r="A62" s="4" t="s">
        <v>202</v>
      </c>
      <c r="B62" t="s">
        <v>229</v>
      </c>
      <c r="C62" s="67">
        <v>43867</v>
      </c>
      <c r="D62" s="3">
        <f>500000/0.8925</f>
        <v>560224.08963585435</v>
      </c>
      <c r="E62" s="49" t="s">
        <v>81</v>
      </c>
      <c r="G62" s="10">
        <f>+D62*0.8925</f>
        <v>500000</v>
      </c>
    </row>
    <row r="63" spans="1:7" x14ac:dyDescent="0.35">
      <c r="A63" t="s">
        <v>227</v>
      </c>
      <c r="B63" t="s">
        <v>228</v>
      </c>
      <c r="C63" s="5">
        <v>43867</v>
      </c>
      <c r="D63" s="3">
        <f>118014/0.8925</f>
        <v>132228.57142857142</v>
      </c>
      <c r="E63" s="49" t="s">
        <v>81</v>
      </c>
      <c r="G63" s="10">
        <f>+D63*0.8925</f>
        <v>118013.99999999999</v>
      </c>
    </row>
    <row r="64" spans="1:7" x14ac:dyDescent="0.35">
      <c r="A64" t="s">
        <v>217</v>
      </c>
      <c r="B64" t="s">
        <v>201</v>
      </c>
      <c r="C64" s="5">
        <v>43867</v>
      </c>
      <c r="D64" s="3">
        <v>12000</v>
      </c>
      <c r="E64" s="49" t="s">
        <v>81</v>
      </c>
      <c r="G64" s="10">
        <f>+D64</f>
        <v>12000</v>
      </c>
    </row>
    <row r="65" spans="1:7" x14ac:dyDescent="0.35">
      <c r="A65" t="s">
        <v>226</v>
      </c>
      <c r="B65" t="s">
        <v>13</v>
      </c>
      <c r="C65" s="5">
        <v>43871</v>
      </c>
      <c r="D65" s="3">
        <v>116900</v>
      </c>
      <c r="E65" s="49" t="s">
        <v>84</v>
      </c>
      <c r="G65" s="10">
        <f>+D65</f>
        <v>116900</v>
      </c>
    </row>
    <row r="66" spans="1:7" x14ac:dyDescent="0.35">
      <c r="A66" s="4" t="s">
        <v>211</v>
      </c>
      <c r="B66" t="s">
        <v>209</v>
      </c>
      <c r="C66" s="5">
        <v>43875</v>
      </c>
      <c r="D66" s="3">
        <v>7070</v>
      </c>
      <c r="E66" s="49" t="s">
        <v>81</v>
      </c>
      <c r="G66" s="10">
        <f>+D66</f>
        <v>7070</v>
      </c>
    </row>
    <row r="67" spans="1:7" x14ac:dyDescent="0.35">
      <c r="A67" s="4" t="s">
        <v>211</v>
      </c>
      <c r="B67" t="s">
        <v>210</v>
      </c>
      <c r="C67" s="5">
        <v>43876</v>
      </c>
      <c r="D67" s="3">
        <v>7500</v>
      </c>
      <c r="E67" s="49" t="s">
        <v>81</v>
      </c>
      <c r="G67" s="10">
        <f>+D67</f>
        <v>7500</v>
      </c>
    </row>
    <row r="68" spans="1:7" x14ac:dyDescent="0.35">
      <c r="A68" s="4" t="s">
        <v>219</v>
      </c>
      <c r="B68" t="s">
        <v>212</v>
      </c>
      <c r="C68" s="5">
        <v>43879</v>
      </c>
      <c r="D68" s="3">
        <v>13000</v>
      </c>
      <c r="E68" s="49" t="s">
        <v>81</v>
      </c>
      <c r="G68" s="10">
        <f>+D68</f>
        <v>13000</v>
      </c>
    </row>
    <row r="69" spans="1:7" x14ac:dyDescent="0.35">
      <c r="A69" s="4" t="s">
        <v>213</v>
      </c>
      <c r="B69" t="s">
        <v>214</v>
      </c>
      <c r="C69" s="5">
        <v>43879</v>
      </c>
      <c r="D69" s="3">
        <f>15959/1.19</f>
        <v>13410.9243697479</v>
      </c>
      <c r="E69" s="22" t="s">
        <v>81</v>
      </c>
      <c r="G69" s="3">
        <f>+D69*1.19</f>
        <v>15959</v>
      </c>
    </row>
    <row r="70" spans="1:7" x14ac:dyDescent="0.35">
      <c r="A70" t="s">
        <v>215</v>
      </c>
      <c r="B70" t="s">
        <v>216</v>
      </c>
      <c r="C70" s="5">
        <v>43879</v>
      </c>
      <c r="D70" s="3">
        <f>35700/1.19</f>
        <v>30000</v>
      </c>
      <c r="E70" s="22" t="s">
        <v>81</v>
      </c>
      <c r="G70" s="3">
        <f>+D70*1.19</f>
        <v>35700</v>
      </c>
    </row>
    <row r="71" spans="1:7" x14ac:dyDescent="0.35">
      <c r="A71" s="4" t="s">
        <v>230</v>
      </c>
      <c r="B71" t="s">
        <v>233</v>
      </c>
      <c r="C71" s="67">
        <v>43881</v>
      </c>
      <c r="D71" s="3">
        <v>8017</v>
      </c>
    </row>
    <row r="72" spans="1:7" x14ac:dyDescent="0.35">
      <c r="A72" t="s">
        <v>232</v>
      </c>
      <c r="B72" t="s">
        <v>231</v>
      </c>
      <c r="C72" s="67">
        <v>43882</v>
      </c>
      <c r="D72" s="3">
        <v>14639</v>
      </c>
    </row>
    <row r="73" spans="1:7" x14ac:dyDescent="0.35">
      <c r="A73" t="s">
        <v>236</v>
      </c>
      <c r="C73" s="67">
        <v>43882</v>
      </c>
      <c r="D73" s="3">
        <v>18185</v>
      </c>
    </row>
    <row r="74" spans="1:7" x14ac:dyDescent="0.35">
      <c r="A74" t="s">
        <v>294</v>
      </c>
      <c r="B74" s="63" t="s">
        <v>293</v>
      </c>
      <c r="C74" s="5">
        <v>43884</v>
      </c>
      <c r="D74" s="3">
        <v>253499</v>
      </c>
    </row>
    <row r="75" spans="1:7" x14ac:dyDescent="0.35">
      <c r="A75" t="s">
        <v>237</v>
      </c>
      <c r="B75" s="63" t="s">
        <v>238</v>
      </c>
      <c r="C75" s="67">
        <v>43885</v>
      </c>
      <c r="D75" s="3">
        <v>3325</v>
      </c>
    </row>
    <row r="76" spans="1:7" x14ac:dyDescent="0.35">
      <c r="A76" t="s">
        <v>236</v>
      </c>
      <c r="C76" s="67">
        <v>43889</v>
      </c>
      <c r="D76" s="3">
        <v>19594</v>
      </c>
    </row>
    <row r="77" spans="1:7" x14ac:dyDescent="0.35">
      <c r="A77" s="4" t="s">
        <v>296</v>
      </c>
      <c r="B77" s="63" t="s">
        <v>295</v>
      </c>
      <c r="C77" s="5">
        <v>43890</v>
      </c>
      <c r="D77" s="3">
        <v>220655</v>
      </c>
    </row>
    <row r="78" spans="1:7" x14ac:dyDescent="0.35">
      <c r="A78" s="4" t="s">
        <v>240</v>
      </c>
      <c r="B78" s="68" t="s">
        <v>239</v>
      </c>
      <c r="C78" s="67">
        <v>43892</v>
      </c>
      <c r="D78" s="3">
        <f>45500*1.19</f>
        <v>54145</v>
      </c>
    </row>
    <row r="79" spans="1:7" x14ac:dyDescent="0.35">
      <c r="A79" s="4" t="s">
        <v>324</v>
      </c>
      <c r="B79" s="24" t="s">
        <v>338</v>
      </c>
      <c r="C79" s="67">
        <v>43896</v>
      </c>
      <c r="D79" s="3">
        <v>500000</v>
      </c>
    </row>
    <row r="80" spans="1:7" x14ac:dyDescent="0.35">
      <c r="A80" s="4" t="s">
        <v>273</v>
      </c>
      <c r="B80" t="s">
        <v>274</v>
      </c>
      <c r="C80" s="5">
        <v>43900</v>
      </c>
      <c r="D80" s="3">
        <v>8500</v>
      </c>
    </row>
    <row r="81" spans="1:4" x14ac:dyDescent="0.35">
      <c r="A81" t="s">
        <v>246</v>
      </c>
      <c r="B81" t="s">
        <v>13</v>
      </c>
      <c r="C81" s="5">
        <v>43902</v>
      </c>
      <c r="D81" s="3">
        <v>75855.736694677878</v>
      </c>
    </row>
    <row r="82" spans="1:4" x14ac:dyDescent="0.35">
      <c r="A82" t="s">
        <v>275</v>
      </c>
      <c r="B82" s="108" t="s">
        <v>276</v>
      </c>
      <c r="C82" s="5">
        <v>43902</v>
      </c>
      <c r="D82" s="3">
        <v>19635</v>
      </c>
    </row>
    <row r="83" spans="1:4" x14ac:dyDescent="0.35">
      <c r="A83" s="4" t="s">
        <v>277</v>
      </c>
      <c r="B83" s="63" t="s">
        <v>278</v>
      </c>
      <c r="C83" s="5">
        <v>43902</v>
      </c>
      <c r="D83" s="3">
        <v>11662</v>
      </c>
    </row>
    <row r="84" spans="1:4" x14ac:dyDescent="0.35">
      <c r="A84" t="s">
        <v>279</v>
      </c>
      <c r="B84" s="63" t="s">
        <v>280</v>
      </c>
      <c r="C84" s="67">
        <v>43902</v>
      </c>
      <c r="D84" s="3">
        <v>14000</v>
      </c>
    </row>
    <row r="85" spans="1:4" x14ac:dyDescent="0.35">
      <c r="A85" s="4" t="s">
        <v>281</v>
      </c>
      <c r="B85" t="s">
        <v>282</v>
      </c>
      <c r="C85" s="5">
        <v>43902</v>
      </c>
      <c r="D85" s="3">
        <v>15903</v>
      </c>
    </row>
    <row r="86" spans="1:4" x14ac:dyDescent="0.35">
      <c r="A86" s="4" t="s">
        <v>283</v>
      </c>
      <c r="B86" s="63" t="s">
        <v>327</v>
      </c>
      <c r="C86" s="5">
        <v>43902</v>
      </c>
      <c r="D86" s="3">
        <v>14490</v>
      </c>
    </row>
    <row r="87" spans="1:4" x14ac:dyDescent="0.35">
      <c r="A87" s="4" t="s">
        <v>284</v>
      </c>
      <c r="B87" s="63" t="s">
        <v>336</v>
      </c>
      <c r="C87" s="5">
        <v>43902</v>
      </c>
      <c r="D87" s="3">
        <v>116875</v>
      </c>
    </row>
    <row r="88" spans="1:4" x14ac:dyDescent="0.35">
      <c r="A88" s="4" t="s">
        <v>335</v>
      </c>
      <c r="B88" s="63" t="s">
        <v>285</v>
      </c>
      <c r="C88" s="5">
        <v>43902</v>
      </c>
      <c r="D88" s="3">
        <v>4990</v>
      </c>
    </row>
    <row r="89" spans="1:4" x14ac:dyDescent="0.35">
      <c r="A89" s="4" t="s">
        <v>287</v>
      </c>
      <c r="B89" t="s">
        <v>289</v>
      </c>
      <c r="C89" s="5">
        <v>43903</v>
      </c>
      <c r="D89" s="3">
        <v>15000</v>
      </c>
    </row>
    <row r="90" spans="1:4" x14ac:dyDescent="0.35">
      <c r="A90" s="4" t="s">
        <v>288</v>
      </c>
      <c r="B90" t="s">
        <v>286</v>
      </c>
      <c r="C90" s="5">
        <v>43904</v>
      </c>
      <c r="D90" s="3">
        <v>7037</v>
      </c>
    </row>
    <row r="91" spans="1:4" x14ac:dyDescent="0.35">
      <c r="A91" t="s">
        <v>298</v>
      </c>
      <c r="B91" s="63" t="s">
        <v>297</v>
      </c>
      <c r="C91" s="5">
        <v>43905</v>
      </c>
      <c r="D91" s="3">
        <v>125998</v>
      </c>
    </row>
    <row r="92" spans="1:4" x14ac:dyDescent="0.35">
      <c r="A92" s="4" t="s">
        <v>288</v>
      </c>
      <c r="B92" t="s">
        <v>321</v>
      </c>
      <c r="C92" s="5">
        <v>43906</v>
      </c>
      <c r="D92" s="3">
        <v>4278</v>
      </c>
    </row>
    <row r="93" spans="1:4" x14ac:dyDescent="0.35">
      <c r="A93" s="4" t="s">
        <v>322</v>
      </c>
      <c r="B93" t="s">
        <v>323</v>
      </c>
      <c r="C93" s="5">
        <v>43906</v>
      </c>
      <c r="D93" s="3">
        <v>3990</v>
      </c>
    </row>
    <row r="94" spans="1:4" x14ac:dyDescent="0.35">
      <c r="A94" t="s">
        <v>332</v>
      </c>
      <c r="B94" s="63" t="s">
        <v>326</v>
      </c>
      <c r="C94" s="5">
        <v>43906</v>
      </c>
      <c r="D94" s="3">
        <v>24395</v>
      </c>
    </row>
    <row r="95" spans="1:4" x14ac:dyDescent="0.35">
      <c r="A95" t="s">
        <v>334</v>
      </c>
      <c r="B95" s="63" t="s">
        <v>333</v>
      </c>
      <c r="C95" s="5">
        <v>43909</v>
      </c>
      <c r="D95" s="3">
        <v>250007</v>
      </c>
    </row>
    <row r="96" spans="1:4" x14ac:dyDescent="0.35">
      <c r="A96" s="4" t="s">
        <v>328</v>
      </c>
      <c r="B96" t="s">
        <v>329</v>
      </c>
      <c r="C96" s="5">
        <v>43910</v>
      </c>
      <c r="D96" s="3">
        <v>14750</v>
      </c>
    </row>
    <row r="97" spans="1:10" x14ac:dyDescent="0.35">
      <c r="A97" t="s">
        <v>248</v>
      </c>
      <c r="B97" s="63" t="s">
        <v>331</v>
      </c>
      <c r="C97" s="5">
        <v>43916</v>
      </c>
      <c r="D97" s="3">
        <f>58000</f>
        <v>58000</v>
      </c>
    </row>
    <row r="100" spans="1:10" x14ac:dyDescent="0.35">
      <c r="B100" s="168" t="s">
        <v>754</v>
      </c>
      <c r="C100" t="s">
        <v>755</v>
      </c>
      <c r="D100" t="s">
        <v>756</v>
      </c>
      <c r="E100" s="59">
        <v>71</v>
      </c>
      <c r="F100" s="168">
        <v>44420</v>
      </c>
      <c r="G100">
        <v>31333</v>
      </c>
      <c r="H100" t="s">
        <v>757</v>
      </c>
    </row>
    <row r="101" spans="1:10" x14ac:dyDescent="0.35">
      <c r="A101" s="168"/>
      <c r="B101" t="s">
        <v>758</v>
      </c>
      <c r="C101" t="s">
        <v>759</v>
      </c>
      <c r="D101" t="s">
        <v>756</v>
      </c>
      <c r="E101">
        <v>70</v>
      </c>
      <c r="F101" s="168">
        <v>44415</v>
      </c>
      <c r="G101">
        <v>21182</v>
      </c>
      <c r="H101" t="s">
        <v>757</v>
      </c>
    </row>
    <row r="102" spans="1:10" x14ac:dyDescent="0.35">
      <c r="A102" s="168"/>
      <c r="B102" t="s">
        <v>754</v>
      </c>
      <c r="C102" t="s">
        <v>755</v>
      </c>
      <c r="D102" s="59" t="s">
        <v>756</v>
      </c>
      <c r="E102">
        <v>69</v>
      </c>
      <c r="F102" s="168">
        <v>44411</v>
      </c>
      <c r="G102">
        <v>31333</v>
      </c>
      <c r="H102" t="s">
        <v>757</v>
      </c>
    </row>
    <row r="103" spans="1:10" x14ac:dyDescent="0.35">
      <c r="A103" s="168"/>
      <c r="B103" t="s">
        <v>758</v>
      </c>
      <c r="C103" t="s">
        <v>759</v>
      </c>
      <c r="D103" s="59" t="s">
        <v>756</v>
      </c>
      <c r="E103">
        <v>68</v>
      </c>
      <c r="F103" s="168">
        <v>44407</v>
      </c>
      <c r="G103">
        <v>7616</v>
      </c>
      <c r="H103" t="s">
        <v>757</v>
      </c>
      <c r="J103">
        <f>SUM(G103:G127)</f>
        <v>2281843</v>
      </c>
    </row>
    <row r="104" spans="1:10" x14ac:dyDescent="0.35">
      <c r="A104" s="168"/>
      <c r="B104" t="s">
        <v>754</v>
      </c>
      <c r="C104" t="s">
        <v>755</v>
      </c>
      <c r="D104" s="59" t="s">
        <v>756</v>
      </c>
      <c r="E104">
        <v>67</v>
      </c>
      <c r="F104" s="168">
        <v>44406</v>
      </c>
      <c r="G104">
        <v>31333</v>
      </c>
      <c r="H104" t="s">
        <v>757</v>
      </c>
      <c r="J104">
        <f>+J103/785</f>
        <v>2906.8063694267516</v>
      </c>
    </row>
    <row r="105" spans="1:10" x14ac:dyDescent="0.35">
      <c r="A105" s="168"/>
      <c r="B105" t="s">
        <v>758</v>
      </c>
      <c r="C105" t="s">
        <v>759</v>
      </c>
      <c r="D105" s="59" t="s">
        <v>756</v>
      </c>
      <c r="E105">
        <v>66</v>
      </c>
      <c r="F105" s="168">
        <v>44397</v>
      </c>
      <c r="G105">
        <v>15232</v>
      </c>
      <c r="H105" t="s">
        <v>757</v>
      </c>
    </row>
    <row r="106" spans="1:10" x14ac:dyDescent="0.35">
      <c r="A106" s="168"/>
      <c r="B106" t="s">
        <v>760</v>
      </c>
      <c r="C106" t="s">
        <v>761</v>
      </c>
      <c r="D106" s="59" t="s">
        <v>756</v>
      </c>
      <c r="E106">
        <v>65</v>
      </c>
      <c r="F106" s="168">
        <v>44384</v>
      </c>
      <c r="G106">
        <v>45339</v>
      </c>
      <c r="H106" t="s">
        <v>757</v>
      </c>
    </row>
    <row r="107" spans="1:10" x14ac:dyDescent="0.35">
      <c r="A107" s="168"/>
      <c r="B107" t="s">
        <v>760</v>
      </c>
      <c r="C107" t="s">
        <v>761</v>
      </c>
      <c r="D107" s="59" t="s">
        <v>756</v>
      </c>
      <c r="E107">
        <v>64</v>
      </c>
      <c r="F107" s="168">
        <v>44384</v>
      </c>
      <c r="G107">
        <v>136017</v>
      </c>
      <c r="H107" t="s">
        <v>757</v>
      </c>
    </row>
    <row r="108" spans="1:10" x14ac:dyDescent="0.35">
      <c r="A108" s="168"/>
      <c r="B108" t="s">
        <v>758</v>
      </c>
      <c r="C108" t="s">
        <v>759</v>
      </c>
      <c r="D108" s="59" t="s">
        <v>756</v>
      </c>
      <c r="E108">
        <v>63</v>
      </c>
      <c r="F108" s="168">
        <v>44384</v>
      </c>
      <c r="G108">
        <v>499800</v>
      </c>
      <c r="H108" t="s">
        <v>757</v>
      </c>
    </row>
    <row r="109" spans="1:10" x14ac:dyDescent="0.35">
      <c r="A109" s="168"/>
      <c r="B109" t="s">
        <v>758</v>
      </c>
      <c r="C109" t="s">
        <v>759</v>
      </c>
      <c r="D109" s="59" t="s">
        <v>756</v>
      </c>
      <c r="E109">
        <v>62</v>
      </c>
      <c r="F109" s="168">
        <v>44381</v>
      </c>
      <c r="G109">
        <v>19278</v>
      </c>
      <c r="H109" t="s">
        <v>757</v>
      </c>
    </row>
    <row r="110" spans="1:10" x14ac:dyDescent="0.35">
      <c r="A110" s="168"/>
      <c r="B110" t="s">
        <v>754</v>
      </c>
      <c r="C110" t="s">
        <v>755</v>
      </c>
      <c r="D110" s="59" t="s">
        <v>756</v>
      </c>
      <c r="E110">
        <v>61</v>
      </c>
      <c r="F110" s="168">
        <v>44335</v>
      </c>
      <c r="G110">
        <v>76160</v>
      </c>
      <c r="H110" t="s">
        <v>757</v>
      </c>
    </row>
    <row r="111" spans="1:10" x14ac:dyDescent="0.35">
      <c r="A111" s="168"/>
      <c r="B111" t="s">
        <v>754</v>
      </c>
      <c r="C111" t="s">
        <v>755</v>
      </c>
      <c r="D111" s="59" t="s">
        <v>756</v>
      </c>
      <c r="E111">
        <v>60</v>
      </c>
      <c r="F111" s="168">
        <v>44328</v>
      </c>
      <c r="G111">
        <v>138825</v>
      </c>
      <c r="H111" t="s">
        <v>757</v>
      </c>
    </row>
    <row r="112" spans="1:10" x14ac:dyDescent="0.35">
      <c r="A112" s="168"/>
      <c r="B112" t="s">
        <v>762</v>
      </c>
      <c r="C112" t="s">
        <v>763</v>
      </c>
      <c r="D112" s="59" t="s">
        <v>764</v>
      </c>
      <c r="E112">
        <v>2</v>
      </c>
      <c r="F112" s="168">
        <v>44258</v>
      </c>
      <c r="G112">
        <v>66902</v>
      </c>
      <c r="H112" t="s">
        <v>757</v>
      </c>
    </row>
    <row r="113" spans="1:8" x14ac:dyDescent="0.35">
      <c r="A113" s="168"/>
      <c r="B113" t="s">
        <v>765</v>
      </c>
      <c r="C113" t="s">
        <v>766</v>
      </c>
      <c r="D113" s="59" t="s">
        <v>756</v>
      </c>
      <c r="E113">
        <v>59</v>
      </c>
      <c r="F113" s="168">
        <v>44257</v>
      </c>
      <c r="G113">
        <v>23247</v>
      </c>
      <c r="H113" t="s">
        <v>757</v>
      </c>
    </row>
    <row r="114" spans="1:8" x14ac:dyDescent="0.35">
      <c r="A114" s="168"/>
      <c r="B114" t="s">
        <v>765</v>
      </c>
      <c r="C114" t="s">
        <v>766</v>
      </c>
      <c r="D114" s="59" t="s">
        <v>756</v>
      </c>
      <c r="E114">
        <v>58</v>
      </c>
      <c r="F114" s="168">
        <v>44257</v>
      </c>
      <c r="G114">
        <v>251864</v>
      </c>
      <c r="H114" t="s">
        <v>757</v>
      </c>
    </row>
    <row r="115" spans="1:8" x14ac:dyDescent="0.35">
      <c r="A115" s="168"/>
      <c r="B115" t="s">
        <v>762</v>
      </c>
      <c r="C115" t="s">
        <v>763</v>
      </c>
      <c r="D115" s="59" t="s">
        <v>756</v>
      </c>
      <c r="E115">
        <v>57</v>
      </c>
      <c r="F115" s="168">
        <v>44251</v>
      </c>
      <c r="G115">
        <v>31333</v>
      </c>
      <c r="H115" t="s">
        <v>757</v>
      </c>
    </row>
    <row r="116" spans="1:8" x14ac:dyDescent="0.35">
      <c r="A116" s="168"/>
      <c r="B116" t="s">
        <v>765</v>
      </c>
      <c r="C116" t="s">
        <v>766</v>
      </c>
      <c r="D116" s="59" t="s">
        <v>756</v>
      </c>
      <c r="E116">
        <v>56</v>
      </c>
      <c r="F116" s="168">
        <v>44251</v>
      </c>
      <c r="G116">
        <v>141598</v>
      </c>
      <c r="H116" t="s">
        <v>757</v>
      </c>
    </row>
    <row r="117" spans="1:8" x14ac:dyDescent="0.35">
      <c r="A117" s="168"/>
      <c r="B117" t="s">
        <v>765</v>
      </c>
      <c r="C117" t="s">
        <v>766</v>
      </c>
      <c r="D117" s="59" t="s">
        <v>756</v>
      </c>
      <c r="E117">
        <v>55</v>
      </c>
      <c r="F117" s="168">
        <v>44243</v>
      </c>
      <c r="G117">
        <v>150714</v>
      </c>
      <c r="H117" t="s">
        <v>757</v>
      </c>
    </row>
    <row r="118" spans="1:8" x14ac:dyDescent="0.35">
      <c r="A118" s="168"/>
      <c r="B118" t="s">
        <v>765</v>
      </c>
      <c r="C118" t="s">
        <v>766</v>
      </c>
      <c r="D118" t="s">
        <v>756</v>
      </c>
      <c r="E118">
        <v>54</v>
      </c>
      <c r="F118" s="168">
        <v>44242</v>
      </c>
      <c r="G118">
        <v>31333</v>
      </c>
      <c r="H118" t="s">
        <v>757</v>
      </c>
    </row>
    <row r="119" spans="1:8" x14ac:dyDescent="0.35">
      <c r="A119" s="168"/>
      <c r="B119" t="s">
        <v>765</v>
      </c>
      <c r="C119" t="s">
        <v>766</v>
      </c>
      <c r="D119" s="59" t="s">
        <v>756</v>
      </c>
      <c r="E119">
        <v>53</v>
      </c>
      <c r="F119" s="168">
        <v>44238</v>
      </c>
      <c r="G119">
        <v>189198</v>
      </c>
      <c r="H119" t="s">
        <v>757</v>
      </c>
    </row>
    <row r="120" spans="1:8" x14ac:dyDescent="0.35">
      <c r="A120" s="168"/>
      <c r="B120" t="s">
        <v>765</v>
      </c>
      <c r="C120" t="s">
        <v>766</v>
      </c>
      <c r="D120" s="59" t="s">
        <v>756</v>
      </c>
      <c r="E120">
        <v>52</v>
      </c>
      <c r="F120" s="168">
        <v>44235</v>
      </c>
      <c r="G120">
        <v>78933</v>
      </c>
      <c r="H120" t="s">
        <v>757</v>
      </c>
    </row>
    <row r="121" spans="1:8" x14ac:dyDescent="0.35">
      <c r="A121" s="168"/>
      <c r="B121" t="s">
        <v>765</v>
      </c>
      <c r="C121" t="s">
        <v>766</v>
      </c>
      <c r="D121" s="59" t="s">
        <v>756</v>
      </c>
      <c r="E121">
        <v>51</v>
      </c>
      <c r="F121" s="168">
        <v>44231</v>
      </c>
      <c r="G121">
        <v>110265</v>
      </c>
      <c r="H121" t="s">
        <v>757</v>
      </c>
    </row>
    <row r="122" spans="1:8" x14ac:dyDescent="0.35">
      <c r="A122" s="168"/>
      <c r="B122" t="s">
        <v>765</v>
      </c>
      <c r="C122" t="s">
        <v>766</v>
      </c>
      <c r="D122" s="59" t="s">
        <v>756</v>
      </c>
      <c r="E122">
        <v>50</v>
      </c>
      <c r="F122" s="168">
        <v>44229</v>
      </c>
      <c r="G122">
        <v>50956</v>
      </c>
      <c r="H122" t="s">
        <v>757</v>
      </c>
    </row>
    <row r="123" spans="1:8" x14ac:dyDescent="0.35">
      <c r="A123" s="168"/>
      <c r="B123" t="s">
        <v>765</v>
      </c>
      <c r="C123" t="s">
        <v>766</v>
      </c>
      <c r="D123" s="59" t="s">
        <v>764</v>
      </c>
      <c r="E123">
        <v>1</v>
      </c>
      <c r="F123" s="168">
        <v>44229</v>
      </c>
      <c r="G123">
        <v>15666</v>
      </c>
      <c r="H123" t="s">
        <v>757</v>
      </c>
    </row>
    <row r="124" spans="1:8" x14ac:dyDescent="0.35">
      <c r="A124" s="168"/>
      <c r="B124" t="s">
        <v>765</v>
      </c>
      <c r="C124" t="s">
        <v>766</v>
      </c>
      <c r="D124" s="59" t="s">
        <v>756</v>
      </c>
      <c r="E124">
        <v>49</v>
      </c>
      <c r="F124" s="168">
        <v>44229</v>
      </c>
      <c r="G124">
        <v>15666</v>
      </c>
      <c r="H124" t="s">
        <v>757</v>
      </c>
    </row>
    <row r="125" spans="1:8" x14ac:dyDescent="0.35">
      <c r="A125" s="168"/>
      <c r="B125" t="s">
        <v>765</v>
      </c>
      <c r="C125" t="s">
        <v>766</v>
      </c>
      <c r="D125" s="59" t="s">
        <v>756</v>
      </c>
      <c r="E125">
        <v>48</v>
      </c>
      <c r="F125" s="168">
        <v>44229</v>
      </c>
      <c r="G125">
        <v>15666</v>
      </c>
      <c r="H125" t="s">
        <v>757</v>
      </c>
    </row>
    <row r="126" spans="1:8" x14ac:dyDescent="0.35">
      <c r="A126" s="168"/>
      <c r="B126" t="s">
        <v>762</v>
      </c>
      <c r="C126" t="s">
        <v>763</v>
      </c>
      <c r="D126" s="59" t="s">
        <v>756</v>
      </c>
      <c r="E126">
        <v>47</v>
      </c>
      <c r="F126" s="168">
        <v>44229</v>
      </c>
      <c r="G126">
        <v>66902</v>
      </c>
      <c r="H126" t="s">
        <v>757</v>
      </c>
    </row>
    <row r="127" spans="1:8" x14ac:dyDescent="0.35">
      <c r="A127" s="168"/>
      <c r="B127" t="s">
        <v>762</v>
      </c>
      <c r="C127" t="s">
        <v>763</v>
      </c>
      <c r="D127" s="59" t="s">
        <v>756</v>
      </c>
      <c r="E127">
        <v>46</v>
      </c>
      <c r="F127" s="168">
        <v>44229</v>
      </c>
      <c r="G127">
        <v>72000</v>
      </c>
      <c r="H127" t="s">
        <v>757</v>
      </c>
    </row>
    <row r="128" spans="1:8" x14ac:dyDescent="0.35">
      <c r="A128" s="168"/>
      <c r="B128" t="s">
        <v>765</v>
      </c>
      <c r="C128" t="s">
        <v>766</v>
      </c>
      <c r="D128" s="59" t="s">
        <v>756</v>
      </c>
      <c r="E128">
        <v>45</v>
      </c>
      <c r="F128" s="168">
        <v>44209</v>
      </c>
      <c r="G128">
        <v>156664</v>
      </c>
      <c r="H128" t="s">
        <v>757</v>
      </c>
    </row>
    <row r="129" spans="1:8" x14ac:dyDescent="0.35">
      <c r="A129" s="168"/>
      <c r="B129" t="s">
        <v>762</v>
      </c>
      <c r="C129" t="s">
        <v>763</v>
      </c>
      <c r="D129" s="59" t="s">
        <v>756</v>
      </c>
      <c r="E129">
        <v>44</v>
      </c>
      <c r="F129" s="168">
        <v>44209</v>
      </c>
      <c r="G129">
        <v>31333</v>
      </c>
      <c r="H129" t="s">
        <v>757</v>
      </c>
    </row>
    <row r="130" spans="1:8" x14ac:dyDescent="0.35">
      <c r="A130" s="168"/>
      <c r="B130" t="s">
        <v>765</v>
      </c>
      <c r="C130" t="s">
        <v>766</v>
      </c>
      <c r="D130" s="59" t="s">
        <v>756</v>
      </c>
      <c r="E130">
        <v>43</v>
      </c>
      <c r="F130" s="168">
        <v>44207</v>
      </c>
      <c r="G130">
        <v>47600</v>
      </c>
      <c r="H130" t="s">
        <v>757</v>
      </c>
    </row>
    <row r="131" spans="1:8" x14ac:dyDescent="0.35">
      <c r="A131" s="168"/>
      <c r="B131" t="s">
        <v>765</v>
      </c>
      <c r="C131" t="s">
        <v>766</v>
      </c>
      <c r="D131" s="59" t="s">
        <v>756</v>
      </c>
      <c r="E131">
        <v>42</v>
      </c>
      <c r="F131" s="168">
        <v>44207</v>
      </c>
      <c r="G131">
        <v>51885</v>
      </c>
      <c r="H131" t="s">
        <v>757</v>
      </c>
    </row>
    <row r="132" spans="1:8" x14ac:dyDescent="0.35">
      <c r="A132" s="168"/>
      <c r="B132" t="s">
        <v>765</v>
      </c>
      <c r="C132" t="s">
        <v>766</v>
      </c>
      <c r="D132" s="59" t="s">
        <v>756</v>
      </c>
      <c r="E132">
        <v>41</v>
      </c>
      <c r="F132" s="168">
        <v>44202</v>
      </c>
      <c r="G132">
        <v>62665</v>
      </c>
      <c r="H132" t="s">
        <v>757</v>
      </c>
    </row>
    <row r="133" spans="1:8" x14ac:dyDescent="0.35">
      <c r="A133" s="168"/>
      <c r="B133" t="s">
        <v>765</v>
      </c>
      <c r="C133" t="s">
        <v>766</v>
      </c>
      <c r="D133" t="s">
        <v>756</v>
      </c>
      <c r="E133">
        <v>40</v>
      </c>
      <c r="F133" s="168">
        <v>44194</v>
      </c>
      <c r="G133">
        <v>62665</v>
      </c>
      <c r="H133" t="s">
        <v>757</v>
      </c>
    </row>
    <row r="134" spans="1:8" x14ac:dyDescent="0.35">
      <c r="B134" t="s">
        <v>762</v>
      </c>
      <c r="C134" t="s">
        <v>763</v>
      </c>
      <c r="D134" t="s">
        <v>756</v>
      </c>
      <c r="E134">
        <v>39</v>
      </c>
      <c r="F134" s="168">
        <v>44194</v>
      </c>
      <c r="G134">
        <v>31333</v>
      </c>
      <c r="H134" t="s">
        <v>757</v>
      </c>
    </row>
    <row r="135" spans="1:8" x14ac:dyDescent="0.35">
      <c r="A135" s="168"/>
      <c r="B135" t="s">
        <v>765</v>
      </c>
      <c r="C135" t="s">
        <v>766</v>
      </c>
      <c r="D135" s="59" t="s">
        <v>756</v>
      </c>
      <c r="E135">
        <v>38</v>
      </c>
      <c r="F135" s="168">
        <v>44187</v>
      </c>
      <c r="G135">
        <v>34604</v>
      </c>
      <c r="H135" t="s">
        <v>757</v>
      </c>
    </row>
    <row r="136" spans="1:8" x14ac:dyDescent="0.35">
      <c r="A136" s="168"/>
      <c r="B136" t="s">
        <v>765</v>
      </c>
      <c r="C136" t="s">
        <v>766</v>
      </c>
      <c r="D136" s="59" t="s">
        <v>756</v>
      </c>
      <c r="E136">
        <v>37</v>
      </c>
      <c r="F136" s="168">
        <v>44186</v>
      </c>
      <c r="G136">
        <v>62665</v>
      </c>
      <c r="H136" t="s">
        <v>757</v>
      </c>
    </row>
    <row r="137" spans="1:8" x14ac:dyDescent="0.35">
      <c r="A137" s="168"/>
      <c r="B137" t="s">
        <v>765</v>
      </c>
      <c r="C137" t="s">
        <v>766</v>
      </c>
      <c r="D137" s="59" t="s">
        <v>756</v>
      </c>
      <c r="E137">
        <v>36</v>
      </c>
      <c r="F137" s="168">
        <v>44180</v>
      </c>
      <c r="G137">
        <v>31333</v>
      </c>
      <c r="H137" t="s">
        <v>757</v>
      </c>
    </row>
    <row r="138" spans="1:8" x14ac:dyDescent="0.35">
      <c r="A138" s="168"/>
      <c r="B138" t="s">
        <v>762</v>
      </c>
      <c r="C138" t="s">
        <v>763</v>
      </c>
      <c r="D138" s="59" t="s">
        <v>756</v>
      </c>
      <c r="E138">
        <v>35</v>
      </c>
      <c r="F138" s="168">
        <v>44175</v>
      </c>
      <c r="G138">
        <v>31333</v>
      </c>
      <c r="H138" t="s">
        <v>757</v>
      </c>
    </row>
    <row r="139" spans="1:8" x14ac:dyDescent="0.35">
      <c r="A139" s="168"/>
      <c r="B139" t="s">
        <v>765</v>
      </c>
      <c r="C139" t="s">
        <v>766</v>
      </c>
      <c r="D139" s="59" t="s">
        <v>756</v>
      </c>
      <c r="E139">
        <v>34</v>
      </c>
      <c r="F139" s="168">
        <v>44174</v>
      </c>
      <c r="G139">
        <v>62665</v>
      </c>
      <c r="H139" t="s">
        <v>757</v>
      </c>
    </row>
    <row r="140" spans="1:8" x14ac:dyDescent="0.35">
      <c r="A140" s="168"/>
      <c r="B140" t="s">
        <v>765</v>
      </c>
      <c r="C140" t="s">
        <v>766</v>
      </c>
      <c r="D140" s="59" t="s">
        <v>756</v>
      </c>
      <c r="E140">
        <v>33</v>
      </c>
      <c r="F140" s="168">
        <v>44161</v>
      </c>
      <c r="G140">
        <v>125331</v>
      </c>
      <c r="H140" t="s">
        <v>757</v>
      </c>
    </row>
    <row r="141" spans="1:8" x14ac:dyDescent="0.35">
      <c r="A141" s="168"/>
      <c r="B141" t="s">
        <v>762</v>
      </c>
      <c r="C141" t="s">
        <v>763</v>
      </c>
      <c r="D141" s="59" t="s">
        <v>756</v>
      </c>
      <c r="E141">
        <v>32</v>
      </c>
      <c r="F141" s="168">
        <v>44155</v>
      </c>
      <c r="G141">
        <v>115199</v>
      </c>
      <c r="H141" t="s">
        <v>757</v>
      </c>
    </row>
    <row r="142" spans="1:8" x14ac:dyDescent="0.35">
      <c r="A142" s="168"/>
      <c r="B142" t="s">
        <v>765</v>
      </c>
      <c r="C142" t="s">
        <v>766</v>
      </c>
      <c r="D142" s="59" t="s">
        <v>756</v>
      </c>
      <c r="E142">
        <v>31</v>
      </c>
      <c r="F142" s="168">
        <v>44155</v>
      </c>
      <c r="G142">
        <v>62665</v>
      </c>
      <c r="H142" t="s">
        <v>757</v>
      </c>
    </row>
    <row r="143" spans="1:8" x14ac:dyDescent="0.35">
      <c r="A143" s="168"/>
      <c r="B143" t="s">
        <v>765</v>
      </c>
      <c r="C143" t="s">
        <v>766</v>
      </c>
      <c r="D143" s="59" t="s">
        <v>756</v>
      </c>
      <c r="E143">
        <v>30</v>
      </c>
      <c r="F143" s="168">
        <v>44148</v>
      </c>
      <c r="G143">
        <v>125331</v>
      </c>
      <c r="H143" t="s">
        <v>757</v>
      </c>
    </row>
    <row r="144" spans="1:8" x14ac:dyDescent="0.35">
      <c r="A144" s="168"/>
      <c r="B144" t="s">
        <v>765</v>
      </c>
      <c r="C144" t="s">
        <v>766</v>
      </c>
      <c r="D144" s="59" t="s">
        <v>756</v>
      </c>
      <c r="E144">
        <v>29</v>
      </c>
      <c r="F144" s="168">
        <v>44136</v>
      </c>
      <c r="G144">
        <v>93998</v>
      </c>
      <c r="H144" t="s">
        <v>757</v>
      </c>
    </row>
    <row r="145" spans="1:8" x14ac:dyDescent="0.35">
      <c r="A145" s="168"/>
      <c r="B145" t="s">
        <v>765</v>
      </c>
      <c r="C145" t="s">
        <v>766</v>
      </c>
      <c r="D145" s="59" t="s">
        <v>756</v>
      </c>
      <c r="E145">
        <v>28</v>
      </c>
      <c r="F145" s="168">
        <v>44136</v>
      </c>
      <c r="G145">
        <v>62665</v>
      </c>
      <c r="H145" t="s">
        <v>757</v>
      </c>
    </row>
    <row r="146" spans="1:8" x14ac:dyDescent="0.35">
      <c r="A146" s="168"/>
      <c r="B146" t="s">
        <v>765</v>
      </c>
      <c r="C146" t="s">
        <v>766</v>
      </c>
      <c r="D146" s="59" t="s">
        <v>756</v>
      </c>
      <c r="E146">
        <v>27</v>
      </c>
      <c r="F146" s="168">
        <v>44133</v>
      </c>
      <c r="G146">
        <v>31333</v>
      </c>
      <c r="H146" t="s">
        <v>757</v>
      </c>
    </row>
    <row r="147" spans="1:8" x14ac:dyDescent="0.35">
      <c r="A147" s="168"/>
      <c r="B147" t="s">
        <v>765</v>
      </c>
      <c r="C147" t="s">
        <v>766</v>
      </c>
      <c r="D147" s="59" t="s">
        <v>756</v>
      </c>
      <c r="E147">
        <v>26</v>
      </c>
      <c r="F147" s="168">
        <v>44128</v>
      </c>
      <c r="G147">
        <v>31333</v>
      </c>
      <c r="H147" t="s">
        <v>757</v>
      </c>
    </row>
    <row r="148" spans="1:8" x14ac:dyDescent="0.35">
      <c r="A148" s="168"/>
      <c r="B148" t="s">
        <v>765</v>
      </c>
      <c r="C148" t="s">
        <v>766</v>
      </c>
      <c r="D148" s="59" t="s">
        <v>756</v>
      </c>
      <c r="E148">
        <v>25</v>
      </c>
      <c r="F148" s="168">
        <v>44127</v>
      </c>
      <c r="G148">
        <v>62665</v>
      </c>
      <c r="H148" t="s">
        <v>757</v>
      </c>
    </row>
    <row r="149" spans="1:8" x14ac:dyDescent="0.35">
      <c r="A149" s="168"/>
      <c r="B149" t="s">
        <v>767</v>
      </c>
      <c r="C149" t="s">
        <v>768</v>
      </c>
      <c r="D149" s="59" t="s">
        <v>756</v>
      </c>
      <c r="E149">
        <v>15</v>
      </c>
      <c r="F149" s="168">
        <v>43904</v>
      </c>
      <c r="G149">
        <v>160200</v>
      </c>
      <c r="H149" t="s">
        <v>757</v>
      </c>
    </row>
    <row r="150" spans="1:8" x14ac:dyDescent="0.35">
      <c r="A150" s="168"/>
      <c r="B150" t="s">
        <v>767</v>
      </c>
      <c r="C150" t="s">
        <v>768</v>
      </c>
      <c r="D150" s="59" t="s">
        <v>756</v>
      </c>
      <c r="E150">
        <v>14</v>
      </c>
      <c r="F150" s="168">
        <v>43892</v>
      </c>
      <c r="G150">
        <v>33886</v>
      </c>
      <c r="H150" t="s">
        <v>757</v>
      </c>
    </row>
    <row r="151" spans="1:8" x14ac:dyDescent="0.35">
      <c r="A151" s="168"/>
      <c r="B151" t="s">
        <v>767</v>
      </c>
      <c r="C151" t="s">
        <v>768</v>
      </c>
      <c r="D151" s="59" t="s">
        <v>756</v>
      </c>
      <c r="E151">
        <v>13</v>
      </c>
      <c r="F151" s="168">
        <v>43889</v>
      </c>
      <c r="G151">
        <v>160200</v>
      </c>
      <c r="H151" t="s">
        <v>757</v>
      </c>
    </row>
    <row r="152" spans="1:8" x14ac:dyDescent="0.35">
      <c r="A152" s="168"/>
      <c r="B152" t="s">
        <v>767</v>
      </c>
      <c r="C152" t="s">
        <v>768</v>
      </c>
      <c r="D152" s="59" t="s">
        <v>756</v>
      </c>
      <c r="E152">
        <v>12</v>
      </c>
      <c r="F152" s="168">
        <v>43882</v>
      </c>
      <c r="G152">
        <v>160200</v>
      </c>
      <c r="H152" t="s">
        <v>757</v>
      </c>
    </row>
    <row r="153" spans="1:8" x14ac:dyDescent="0.35">
      <c r="A153" s="168"/>
      <c r="B153" t="s">
        <v>767</v>
      </c>
      <c r="C153" t="s">
        <v>768</v>
      </c>
      <c r="D153" s="59" t="s">
        <v>756</v>
      </c>
      <c r="E153">
        <v>11</v>
      </c>
      <c r="F153" s="168">
        <v>43876</v>
      </c>
      <c r="G153">
        <v>160200</v>
      </c>
      <c r="H153" t="s">
        <v>757</v>
      </c>
    </row>
    <row r="154" spans="1:8" x14ac:dyDescent="0.35">
      <c r="A154" s="168"/>
      <c r="B154" t="s">
        <v>767</v>
      </c>
      <c r="C154" t="s">
        <v>768</v>
      </c>
      <c r="D154" s="59" t="s">
        <v>756</v>
      </c>
      <c r="E154">
        <v>10</v>
      </c>
      <c r="F154" s="168">
        <v>43866</v>
      </c>
      <c r="G154">
        <v>33728</v>
      </c>
      <c r="H154" t="s">
        <v>757</v>
      </c>
    </row>
    <row r="155" spans="1:8" x14ac:dyDescent="0.35">
      <c r="A155" s="168"/>
      <c r="B155" t="s">
        <v>767</v>
      </c>
      <c r="C155" t="s">
        <v>768</v>
      </c>
      <c r="D155" s="59" t="s">
        <v>756</v>
      </c>
      <c r="E155">
        <v>9</v>
      </c>
      <c r="F155" s="168">
        <v>43865</v>
      </c>
      <c r="G155">
        <v>160200</v>
      </c>
      <c r="H155" t="s">
        <v>757</v>
      </c>
    </row>
    <row r="156" spans="1:8" x14ac:dyDescent="0.35">
      <c r="A156" s="168"/>
      <c r="B156" t="s">
        <v>767</v>
      </c>
      <c r="C156" t="s">
        <v>768</v>
      </c>
      <c r="D156" s="59" t="s">
        <v>756</v>
      </c>
      <c r="E156">
        <v>8</v>
      </c>
      <c r="F156" s="168">
        <v>43848</v>
      </c>
      <c r="G156">
        <v>160200</v>
      </c>
      <c r="H156" t="s">
        <v>757</v>
      </c>
    </row>
    <row r="157" spans="1:8" x14ac:dyDescent="0.35">
      <c r="A157" s="168"/>
      <c r="B157" t="s">
        <v>767</v>
      </c>
      <c r="C157" t="s">
        <v>768</v>
      </c>
      <c r="D157" s="59" t="s">
        <v>756</v>
      </c>
      <c r="E157">
        <v>7</v>
      </c>
      <c r="F157" s="168">
        <v>43836</v>
      </c>
      <c r="G157">
        <v>267000</v>
      </c>
      <c r="H157" t="s">
        <v>757</v>
      </c>
    </row>
    <row r="158" spans="1:8" x14ac:dyDescent="0.35">
      <c r="A158" s="168"/>
      <c r="B158" t="s">
        <v>767</v>
      </c>
      <c r="C158" t="s">
        <v>768</v>
      </c>
      <c r="D158" s="59" t="s">
        <v>756</v>
      </c>
      <c r="E158">
        <v>6</v>
      </c>
      <c r="F158" s="168">
        <v>43820</v>
      </c>
      <c r="G158">
        <v>267000</v>
      </c>
      <c r="H158" t="s">
        <v>757</v>
      </c>
    </row>
    <row r="159" spans="1:8" x14ac:dyDescent="0.35">
      <c r="A159" s="168"/>
      <c r="B159" t="s">
        <v>767</v>
      </c>
      <c r="C159" t="s">
        <v>768</v>
      </c>
      <c r="D159" s="59" t="s">
        <v>756</v>
      </c>
      <c r="E159">
        <v>5</v>
      </c>
      <c r="F159" s="168">
        <v>43817</v>
      </c>
      <c r="G159">
        <v>267000</v>
      </c>
      <c r="H159" t="s">
        <v>769</v>
      </c>
    </row>
    <row r="160" spans="1:8" x14ac:dyDescent="0.35">
      <c r="A160" s="168"/>
      <c r="B160" t="s">
        <v>767</v>
      </c>
      <c r="C160" t="s">
        <v>768</v>
      </c>
      <c r="D160" s="59" t="s">
        <v>756</v>
      </c>
      <c r="E160">
        <v>4</v>
      </c>
      <c r="F160" s="168">
        <v>43805</v>
      </c>
      <c r="G160">
        <v>267000</v>
      </c>
      <c r="H160" t="s">
        <v>757</v>
      </c>
    </row>
    <row r="161" spans="1:8" x14ac:dyDescent="0.35">
      <c r="A161" s="168"/>
      <c r="B161" t="s">
        <v>767</v>
      </c>
      <c r="C161" t="s">
        <v>768</v>
      </c>
      <c r="D161" s="59" t="s">
        <v>756</v>
      </c>
      <c r="E161">
        <v>3</v>
      </c>
      <c r="F161" s="168">
        <v>43799</v>
      </c>
      <c r="G161">
        <v>267000</v>
      </c>
      <c r="H161" t="s">
        <v>757</v>
      </c>
    </row>
    <row r="162" spans="1:8" x14ac:dyDescent="0.35">
      <c r="A162" s="168"/>
      <c r="B162" t="s">
        <v>767</v>
      </c>
      <c r="C162" t="s">
        <v>768</v>
      </c>
      <c r="D162" s="59" t="s">
        <v>756</v>
      </c>
      <c r="E162">
        <v>2</v>
      </c>
      <c r="F162" s="168">
        <v>43790</v>
      </c>
      <c r="G162">
        <v>160200</v>
      </c>
      <c r="H162" t="s">
        <v>769</v>
      </c>
    </row>
    <row r="164" spans="1:8" x14ac:dyDescent="0.35">
      <c r="G164">
        <f>SUM(G100:G162)</f>
        <v>6266970</v>
      </c>
    </row>
    <row r="165" spans="1:8" x14ac:dyDescent="0.35">
      <c r="G165">
        <f>+G164/785</f>
        <v>7983.4012738853507</v>
      </c>
    </row>
    <row r="166" spans="1:8" x14ac:dyDescent="0.35">
      <c r="D166">
        <f>64000*2/785</f>
        <v>163.05732484076432</v>
      </c>
    </row>
    <row r="167" spans="1:8" x14ac:dyDescent="0.35">
      <c r="D167">
        <f>26330/785</f>
        <v>33.541401273885349</v>
      </c>
    </row>
  </sheetData>
  <pageMargins left="0.7" right="0.7" top="0.75" bottom="0.75" header="0.3" footer="0.3"/>
  <pageSetup orientation="portrait" horizontalDpi="360" verticalDpi="360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F22"/>
  <sheetViews>
    <sheetView workbookViewId="0"/>
  </sheetViews>
  <sheetFormatPr baseColWidth="10" defaultColWidth="11.08984375" defaultRowHeight="14.5" x14ac:dyDescent="0.35"/>
  <cols>
    <col min="1" max="1" width="0.6328125" customWidth="1"/>
    <col min="2" max="2" width="34.7265625" customWidth="1"/>
    <col min="3" max="3" width="0.81640625" customWidth="1"/>
    <col min="4" max="4" width="3" customWidth="1"/>
    <col min="5" max="6" width="8.6328125" customWidth="1"/>
  </cols>
  <sheetData>
    <row r="1" spans="2:6" ht="29" x14ac:dyDescent="0.35">
      <c r="B1" s="293" t="s">
        <v>1269</v>
      </c>
      <c r="C1" s="293"/>
      <c r="D1" s="302"/>
      <c r="E1" s="302"/>
      <c r="F1" s="302"/>
    </row>
    <row r="2" spans="2:6" x14ac:dyDescent="0.35">
      <c r="B2" s="293" t="s">
        <v>1270</v>
      </c>
      <c r="C2" s="293"/>
      <c r="D2" s="302"/>
      <c r="E2" s="302"/>
      <c r="F2" s="302"/>
    </row>
    <row r="3" spans="2:6" x14ac:dyDescent="0.35">
      <c r="B3" s="294"/>
      <c r="C3" s="294"/>
      <c r="D3" s="303"/>
      <c r="E3" s="303"/>
      <c r="F3" s="303"/>
    </row>
    <row r="4" spans="2:6" ht="72.5" x14ac:dyDescent="0.35">
      <c r="B4" s="294" t="s">
        <v>1271</v>
      </c>
      <c r="C4" s="294"/>
      <c r="D4" s="303"/>
      <c r="E4" s="303"/>
      <c r="F4" s="303"/>
    </row>
    <row r="5" spans="2:6" x14ac:dyDescent="0.35">
      <c r="B5" s="294"/>
      <c r="C5" s="294"/>
      <c r="D5" s="303"/>
      <c r="E5" s="303"/>
      <c r="F5" s="303"/>
    </row>
    <row r="6" spans="2:6" ht="43.5" x14ac:dyDescent="0.35">
      <c r="B6" s="293" t="s">
        <v>1272</v>
      </c>
      <c r="C6" s="293"/>
      <c r="D6" s="302"/>
      <c r="E6" s="302" t="s">
        <v>1273</v>
      </c>
      <c r="F6" s="302" t="s">
        <v>1274</v>
      </c>
    </row>
    <row r="7" spans="2:6" ht="15" thickBot="1" x14ac:dyDescent="0.4">
      <c r="B7" s="294"/>
      <c r="C7" s="294"/>
      <c r="D7" s="303"/>
      <c r="E7" s="303"/>
      <c r="F7" s="303"/>
    </row>
    <row r="8" spans="2:6" ht="87" x14ac:dyDescent="0.35">
      <c r="B8" s="295" t="s">
        <v>1275</v>
      </c>
      <c r="C8" s="296"/>
      <c r="D8" s="304"/>
      <c r="E8" s="304">
        <v>1</v>
      </c>
      <c r="F8" s="305"/>
    </row>
    <row r="9" spans="2:6" ht="44" thickBot="1" x14ac:dyDescent="0.4">
      <c r="B9" s="297"/>
      <c r="C9" s="298"/>
      <c r="D9" s="306"/>
      <c r="E9" s="307" t="s">
        <v>1276</v>
      </c>
      <c r="F9" s="308" t="s">
        <v>1277</v>
      </c>
    </row>
    <row r="10" spans="2:6" ht="15" thickBot="1" x14ac:dyDescent="0.4">
      <c r="B10" s="294"/>
      <c r="C10" s="294"/>
      <c r="D10" s="303"/>
      <c r="E10" s="303"/>
      <c r="F10" s="303"/>
    </row>
    <row r="11" spans="2:6" ht="43.5" x14ac:dyDescent="0.35">
      <c r="B11" s="295" t="s">
        <v>1278</v>
      </c>
      <c r="C11" s="296"/>
      <c r="D11" s="304"/>
      <c r="E11" s="304">
        <v>2</v>
      </c>
      <c r="F11" s="305"/>
    </row>
    <row r="12" spans="2:6" ht="44" thickBot="1" x14ac:dyDescent="0.4">
      <c r="B12" s="297"/>
      <c r="C12" s="298"/>
      <c r="D12" s="306"/>
      <c r="E12" s="307" t="s">
        <v>1279</v>
      </c>
      <c r="F12" s="308" t="s">
        <v>1277</v>
      </c>
    </row>
    <row r="13" spans="2:6" x14ac:dyDescent="0.35">
      <c r="B13" s="294"/>
      <c r="C13" s="294"/>
      <c r="D13" s="303"/>
      <c r="E13" s="303"/>
      <c r="F13" s="303"/>
    </row>
    <row r="14" spans="2:6" x14ac:dyDescent="0.35">
      <c r="B14" s="294"/>
      <c r="C14" s="294"/>
      <c r="D14" s="303"/>
      <c r="E14" s="303"/>
      <c r="F14" s="303"/>
    </row>
    <row r="15" spans="2:6" x14ac:dyDescent="0.35">
      <c r="B15" s="293" t="s">
        <v>1280</v>
      </c>
      <c r="C15" s="293"/>
      <c r="D15" s="302"/>
      <c r="E15" s="302"/>
      <c r="F15" s="302"/>
    </row>
    <row r="16" spans="2:6" ht="15" thickBot="1" x14ac:dyDescent="0.4">
      <c r="B16" s="294"/>
      <c r="C16" s="294"/>
      <c r="D16" s="303"/>
      <c r="E16" s="303"/>
      <c r="F16" s="303"/>
    </row>
    <row r="17" spans="2:6" ht="116" x14ac:dyDescent="0.35">
      <c r="B17" s="295" t="s">
        <v>1281</v>
      </c>
      <c r="C17" s="296"/>
      <c r="D17" s="304"/>
      <c r="E17" s="304">
        <v>2</v>
      </c>
      <c r="F17" s="305"/>
    </row>
    <row r="18" spans="2:6" ht="29" x14ac:dyDescent="0.35">
      <c r="B18" s="299"/>
      <c r="C18" s="294"/>
      <c r="D18" s="303"/>
      <c r="E18" s="309" t="s">
        <v>1282</v>
      </c>
      <c r="F18" s="310" t="s">
        <v>1277</v>
      </c>
    </row>
    <row r="19" spans="2:6" ht="29.5" thickBot="1" x14ac:dyDescent="0.4">
      <c r="B19" s="297"/>
      <c r="C19" s="298"/>
      <c r="D19" s="306"/>
      <c r="E19" s="307" t="s">
        <v>1283</v>
      </c>
      <c r="F19" s="308"/>
    </row>
    <row r="20" spans="2:6" ht="15" thickBot="1" x14ac:dyDescent="0.4">
      <c r="B20" s="294"/>
      <c r="C20" s="294"/>
      <c r="D20" s="303"/>
      <c r="E20" s="303"/>
      <c r="F20" s="303"/>
    </row>
    <row r="21" spans="2:6" ht="73" thickBot="1" x14ac:dyDescent="0.4">
      <c r="B21" s="300" t="s">
        <v>1284</v>
      </c>
      <c r="C21" s="301"/>
      <c r="D21" s="311"/>
      <c r="E21" s="311">
        <v>12</v>
      </c>
      <c r="F21" s="312" t="s">
        <v>1277</v>
      </c>
    </row>
    <row r="22" spans="2:6" x14ac:dyDescent="0.35">
      <c r="B22" s="294"/>
      <c r="C22" s="294"/>
      <c r="D22" s="303"/>
      <c r="E22" s="303"/>
      <c r="F22" s="303"/>
    </row>
  </sheetData>
  <hyperlinks>
    <hyperlink ref="E9" location="'Valor Equipos'!O8" display="'Valor Equipos'!O8" xr:uid="{00000000-0004-0000-3800-000000000000}"/>
    <hyperlink ref="E12" location="'ES-Ventas'!A1:T73" display="'ES-Ventas'!A1:T73" xr:uid="{00000000-0004-0000-3800-000001000000}"/>
    <hyperlink ref="E18" location="'NOV-19'!AF25" display="'NOV-19'!AF25" xr:uid="{00000000-0004-0000-3800-000002000000}"/>
    <hyperlink ref="E19" location="'NOV-19'!AI25" display="'NOV-19'!AI25" xr:uid="{00000000-0004-0000-38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77</vt:i4>
      </vt:variant>
      <vt:variant>
        <vt:lpstr>Rangos con nombre</vt:lpstr>
      </vt:variant>
      <vt:variant>
        <vt:i4>1</vt:i4>
      </vt:variant>
    </vt:vector>
  </HeadingPairs>
  <TitlesOfParts>
    <vt:vector size="78" baseType="lpstr">
      <vt:lpstr>OCT-19</vt:lpstr>
      <vt:lpstr>NOV-19</vt:lpstr>
      <vt:lpstr>DIC-19</vt:lpstr>
      <vt:lpstr>ENE-20</vt:lpstr>
      <vt:lpstr>FEB-20</vt:lpstr>
      <vt:lpstr>MAR-20</vt:lpstr>
      <vt:lpstr>ABR-20</vt:lpstr>
      <vt:lpstr>MAY-20</vt:lpstr>
      <vt:lpstr>JUN-20</vt:lpstr>
      <vt:lpstr>JUL-20</vt:lpstr>
      <vt:lpstr>AGO-20</vt:lpstr>
      <vt:lpstr>SEPT-20</vt:lpstr>
      <vt:lpstr>OCT-20</vt:lpstr>
      <vt:lpstr>NOV-20</vt:lpstr>
      <vt:lpstr>DIC-20</vt:lpstr>
      <vt:lpstr>ENE-21</vt:lpstr>
      <vt:lpstr>FEB-21</vt:lpstr>
      <vt:lpstr>MAR-21</vt:lpstr>
      <vt:lpstr>ABR-21</vt:lpstr>
      <vt:lpstr>MAY-21</vt:lpstr>
      <vt:lpstr>JUN-21</vt:lpstr>
      <vt:lpstr>JUL-21</vt:lpstr>
      <vt:lpstr>AGO-21</vt:lpstr>
      <vt:lpstr>SEP-21</vt:lpstr>
      <vt:lpstr>OCT-21</vt:lpstr>
      <vt:lpstr>NOV-21</vt:lpstr>
      <vt:lpstr>DIC-21</vt:lpstr>
      <vt:lpstr>ENE-22</vt:lpstr>
      <vt:lpstr>FEB-22</vt:lpstr>
      <vt:lpstr>MAR-22</vt:lpstr>
      <vt:lpstr>ABR-22</vt:lpstr>
      <vt:lpstr>May-22</vt:lpstr>
      <vt:lpstr>Jun-22</vt:lpstr>
      <vt:lpstr>Jul-22</vt:lpstr>
      <vt:lpstr>Ago-22</vt:lpstr>
      <vt:lpstr>Sep-22</vt:lpstr>
      <vt:lpstr>Oct-22</vt:lpstr>
      <vt:lpstr>Nov-22</vt:lpstr>
      <vt:lpstr>Dic-22</vt:lpstr>
      <vt:lpstr>Ene-23</vt:lpstr>
      <vt:lpstr>Feb-23</vt:lpstr>
      <vt:lpstr>Mar-23</vt:lpstr>
      <vt:lpstr>Abr-23</vt:lpstr>
      <vt:lpstr>May-23</vt:lpstr>
      <vt:lpstr>Jun-23</vt:lpstr>
      <vt:lpstr>Jul-23</vt:lpstr>
      <vt:lpstr>Ago-23</vt:lpstr>
      <vt:lpstr>Sep-23</vt:lpstr>
      <vt:lpstr>Oct-23</vt:lpstr>
      <vt:lpstr>Nov-23</vt:lpstr>
      <vt:lpstr>Dic-23</vt:lpstr>
      <vt:lpstr>Ene-24</vt:lpstr>
      <vt:lpstr>Feb-24</vt:lpstr>
      <vt:lpstr>Mar-24</vt:lpstr>
      <vt:lpstr>Abr-24</vt:lpstr>
      <vt:lpstr>May-24</vt:lpstr>
      <vt:lpstr>Jun-24</vt:lpstr>
      <vt:lpstr>Jul-24</vt:lpstr>
      <vt:lpstr>Ago-24</vt:lpstr>
      <vt:lpstr>Sep-24</vt:lpstr>
      <vt:lpstr>Oct-24</vt:lpstr>
      <vt:lpstr>Nov-24</vt:lpstr>
      <vt:lpstr>Dic-24</vt:lpstr>
      <vt:lpstr>Ene-25</vt:lpstr>
      <vt:lpstr>Feb-25</vt:lpstr>
      <vt:lpstr>ES-Ventas</vt:lpstr>
      <vt:lpstr>Valor Equipos</vt:lpstr>
      <vt:lpstr>Inventarios</vt:lpstr>
      <vt:lpstr>Aportes- Estado Situacion </vt:lpstr>
      <vt:lpstr>EERR contable y Resumen Flujo</vt:lpstr>
      <vt:lpstr>EERR 31DIC19</vt:lpstr>
      <vt:lpstr>EERR 20ENE20</vt:lpstr>
      <vt:lpstr>EERR 19FEB20+AF Mar20 a Sep21</vt:lpstr>
      <vt:lpstr>OC SIDTECH</vt:lpstr>
      <vt:lpstr>Plan vs Real</vt:lpstr>
      <vt:lpstr>datos</vt:lpstr>
      <vt:lpstr>Informe de compatibilidad</vt:lpstr>
      <vt:lpstr>'Aportes- Estado Situacion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SURFACE</cp:lastModifiedBy>
  <cp:lastPrinted>2022-08-18T15:02:02Z</cp:lastPrinted>
  <dcterms:created xsi:type="dcterms:W3CDTF">2019-10-16T20:25:15Z</dcterms:created>
  <dcterms:modified xsi:type="dcterms:W3CDTF">2025-02-22T02:10:43Z</dcterms:modified>
</cp:coreProperties>
</file>